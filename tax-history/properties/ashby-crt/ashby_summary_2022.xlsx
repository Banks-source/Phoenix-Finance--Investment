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/Desktop/Taxes 2022/Lloyd Thomas/Ashby Crt/"/>
    </mc:Choice>
  </mc:AlternateContent>
  <xr:revisionPtr revIDLastSave="0" documentId="13_ncr:1_{14521ABD-80F7-9E41-9F8C-6909B814712A}" xr6:coauthVersionLast="47" xr6:coauthVersionMax="47" xr10:uidLastSave="{00000000-0000-0000-0000-000000000000}"/>
  <bookViews>
    <workbookView xWindow="0" yWindow="500" windowWidth="33600" windowHeight="18860" xr2:uid="{00000000-000D-0000-FFFF-FFFF00000000}"/>
  </bookViews>
  <sheets>
    <sheet name="Sheet1" sheetId="2" r:id="rId1"/>
    <sheet name="Transactions" sheetId="1" r:id="rId2"/>
  </sheets>
  <definedNames>
    <definedName name="_xlnm._FilterDatabase" localSheetId="1" hidden="1">Transactions!$A$1:$H$103</definedName>
  </definedNames>
  <calcPr calcId="191029"/>
  <pivotCaches>
    <pivotCache cacheId="8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2" l="1"/>
  <c r="B10" i="2"/>
</calcChain>
</file>

<file path=xl/sharedStrings.xml><?xml version="1.0" encoding="utf-8"?>
<sst xmlns="http://schemas.openxmlformats.org/spreadsheetml/2006/main" count="431" uniqueCount="109">
  <si>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</si>
  <si>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</si>
  <si>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</si>
  <si>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</si>
  <si>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</si>
  <si>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</si>
  <si>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</si>
  <si>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Category-LT</t>
  </si>
  <si>
    <t>AUTOMATIC DRAWING</t>
  </si>
  <si>
    <t>S311153450600 BANK-M LLOYD EDWARD THO</t>
  </si>
  <si>
    <t>Transfers out</t>
  </si>
  <si>
    <t>Interest</t>
  </si>
  <si>
    <t>REVERSAL CREDIT</t>
  </si>
  <si>
    <t>REVERSAL OF DEBIT ST GEORGE MERCHANT AS311153450600</t>
  </si>
  <si>
    <t>Other income</t>
  </si>
  <si>
    <t>TRANSFER DEBIT</t>
  </si>
  <si>
    <t>INTERNET TRANSFER Loan Payment</t>
  </si>
  <si>
    <t>INTEREST PAID</t>
  </si>
  <si>
    <t>INTEREST</t>
  </si>
  <si>
    <t>S311153450600 BANK-M</t>
  </si>
  <si>
    <t>Fees</t>
  </si>
  <si>
    <t>ONLINE X9811057831</t>
  </si>
  <si>
    <t>TRANSFER CREDIT</t>
  </si>
  <si>
    <t>ONLINE F1566928867 Linked Acc Trns THOMAS L</t>
  </si>
  <si>
    <t>Money In</t>
  </si>
  <si>
    <t>ONLINE L8163218943 Linked Acc Trns THOMAS L</t>
  </si>
  <si>
    <t>ONLINE J7025655496 Linked Acc Trns THOMAS L</t>
  </si>
  <si>
    <t>ONLINE L8025216911 Linked Acc Trns THOMAS L</t>
  </si>
  <si>
    <t>ONLINE Y7530214411 Linked Acc Trns THOMAS L</t>
  </si>
  <si>
    <t>ONLINE A9503464874 Linked Acc Trns THOMAS L</t>
  </si>
  <si>
    <t>ONLINE Y4963515342 Linked Acc Trns THOMAS L</t>
  </si>
  <si>
    <t>ONLINE G9724575704 Linked Acc Trns THOMAS L</t>
  </si>
  <si>
    <t>ONLINE Y1183447154 Linked Acc Trns THOMAS L</t>
  </si>
  <si>
    <t>ONLINE X5126246854 Linked Acc Trns THOMAS L</t>
  </si>
  <si>
    <t>ONLINE L2293918813 Linked Acc Trns THOMAS L</t>
  </si>
  <si>
    <t>ONLINE S5261236683 Linked Acc Trns THOMAS L</t>
  </si>
  <si>
    <t>MISCELLANEOUS CREDIT</t>
  </si>
  <si>
    <t>REDRAW PROCEEDS FROM A/C 97-166-9065</t>
  </si>
  <si>
    <t>ONLINE L8980908570 Linked Acc Trns THOMAS L</t>
  </si>
  <si>
    <t>ONLINE R1123226937 Linked Acc Trns THOMAS L</t>
  </si>
  <si>
    <t>ONLINE X6526234775 Linked Acc Trns THOMAS L</t>
  </si>
  <si>
    <t>ONLINE B7112515275 Linked Acc Trns THOMAS L</t>
  </si>
  <si>
    <t>ONLINE H0098444212 Linked Acc Trns THOMAS L</t>
  </si>
  <si>
    <t>ONLINE K7708274371 Linked Acc Trns THOMAS L</t>
  </si>
  <si>
    <t>ONLINE B8996288454 Linked Acc Trns THOMAS L</t>
  </si>
  <si>
    <t>ONLINE K9629454121 Linked Acc Trns THOMAS L</t>
  </si>
  <si>
    <t>ONLINE X7229417926 Linked Acc Trns THOMAS L</t>
  </si>
  <si>
    <t>SUSAN THOMAS Bill</t>
  </si>
  <si>
    <t>ONLINE Z1390515521 Linked Acc Trns THOMAS L</t>
  </si>
  <si>
    <t>ONLINE A4364228744 Linked Acc Trns THOMAS L</t>
  </si>
  <si>
    <t>ONLINE K3864585847 Linked Acc Trns THOMAS L</t>
  </si>
  <si>
    <t>ONLINE Q1800244750 Linked Acc Trns THOMAS L</t>
  </si>
  <si>
    <t>ONLINE V5299988365 Linked Acc Trns THOMAS L</t>
  </si>
  <si>
    <t>ONLINE A2668424870 Linked Acc Trns THOMAS L</t>
  </si>
  <si>
    <t>ONLINE L0340286727 Linked Acc Trns THOMAS L</t>
  </si>
  <si>
    <t>ONLINE H8602464137 Linked Acc Trns THOMAS L</t>
  </si>
  <si>
    <t>ONLINE B8338266207 Linked Acc Trns THOMAS L</t>
  </si>
  <si>
    <t>ONLINE A5500427706 Linked Acc Trns THOMAS L</t>
  </si>
  <si>
    <t>ONLINE F6722264305 Linked Acc Trns THOMAS L</t>
  </si>
  <si>
    <t>ONLINE B9500986323 Linked Acc Trns THOMAS L</t>
  </si>
  <si>
    <t>ONLINE N4438427317 Linked Acc Trns THOMAS L</t>
  </si>
  <si>
    <t>ONLINE V6100226717 Linked Acc Trns THOMAS L</t>
  </si>
  <si>
    <t>ONLINE V5148564858 Linked Acc Trns THOMAS L</t>
  </si>
  <si>
    <t>ONLINE S0211588617 Linked Acc Trns THOMAS L</t>
  </si>
  <si>
    <t>ONLINE K8854213995 Linked Acc Trns THOMAS L</t>
  </si>
  <si>
    <t>ONLINE C3158518266 Linked Acc Trns THOMAS L</t>
  </si>
  <si>
    <t>ONLINE R2946125577 Linked Acc Trns THOMAS L</t>
  </si>
  <si>
    <t>INTERNET TRANSFER ll</t>
  </si>
  <si>
    <t>Money Out</t>
  </si>
  <si>
    <t>ONLINE V3300256303 Linked Acc Trns THOMAS L</t>
  </si>
  <si>
    <t>Internal transfers</t>
  </si>
  <si>
    <t>ONLINE T7940655079 Linked Acc Trns THOMAS L</t>
  </si>
  <si>
    <t>VICTORIA PAULL Z5311017736 Food Lloyd</t>
  </si>
  <si>
    <t>ONLINE A8935031913 Linked Acc Trns THOMAS L</t>
  </si>
  <si>
    <t>HOM694730146210707 RACV INSURANCE MR LLOYD THOMAS</t>
  </si>
  <si>
    <t>Bills</t>
  </si>
  <si>
    <t>HOM694730146210807 RACV INSURANCE MR LLOYD THOMAS</t>
  </si>
  <si>
    <t>HOM694730146210907 RACV INSURANCE MR LLOYD THOMAS</t>
  </si>
  <si>
    <t>HOM694730146211007 RACV INSURANCE MR LLOYD THOMAS</t>
  </si>
  <si>
    <t>HOM694730146211107 RACV INSURANCE MR LLOYD THOMAS</t>
  </si>
  <si>
    <t>HOM694730146211207 RACV INSURANCE MR LLOYD THOMAS</t>
  </si>
  <si>
    <t>HOM694730146220107 RACV INSURANCE MR LLOYD THOMAS</t>
  </si>
  <si>
    <t>HOM694730146220207 RACV INSURANCE MR LLOYD THOMAS</t>
  </si>
  <si>
    <t>HOM694730146220307 RACV INSURANCE MR LLOYD THOMAS</t>
  </si>
  <si>
    <t>HOM694730146220407 RACV INSURANCE MR LLOYD THOMAS</t>
  </si>
  <si>
    <t>HOM694730146220507 RACV INSURANCE MR LLOYD THOMAS</t>
  </si>
  <si>
    <t>HOM694730146220607 RACV INSURANCE MR LLOYD THOMAS</t>
  </si>
  <si>
    <t>INTERNET BPAY HOBSONS BAY COUNCIL 50322001803</t>
  </si>
  <si>
    <t>Rates</t>
  </si>
  <si>
    <t>Repairs</t>
  </si>
  <si>
    <t>INTERNET TRANSFER rangehood</t>
  </si>
  <si>
    <t>INTERNET TRANSFER Hot Water System</t>
  </si>
  <si>
    <t>INTERNET BPAY GWW 1 121741540121</t>
  </si>
  <si>
    <t>Water</t>
  </si>
  <si>
    <t>ONLINE X9764424134 Linked Acc Trns THOMAS L</t>
  </si>
  <si>
    <t>ONLINE F2531958770 Linked Acc Trns THOMAS L</t>
  </si>
  <si>
    <t>Row Labels</t>
  </si>
  <si>
    <t>Grand Total</t>
  </si>
  <si>
    <t>Sum of Amount</t>
  </si>
  <si>
    <t>Insurance</t>
  </si>
  <si>
    <t>INTERNET TRANSFER Garage Roof Repair</t>
  </si>
  <si>
    <t>INTERNET TRANSFER Rudy Ashby Crt Fencing</t>
  </si>
  <si>
    <t>Notes</t>
  </si>
  <si>
    <t>Repair Garage Roof, Replace faulty hotwater system, broken fencing, rangehood.</t>
  </si>
  <si>
    <t>Rent</t>
  </si>
  <si>
    <t>Management Fees</t>
  </si>
  <si>
    <t>Depreciation</t>
  </si>
  <si>
    <t>?</t>
  </si>
  <si>
    <t>BOM Home Loan Package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</si>
</sst>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5" fontId="0" fillId="0" borderId="0" xfId="0" applyNumberFormat="1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/>
    <xf numFmtId="0" fontId="0" fillId="0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12700</xdr:rowOff>
    </xdr:from>
    <xdr:to>
      <xdr:col>12</xdr:col>
      <xdr:colOff>61045</xdr:colOff>
      <xdr:row>43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B4D9A7-195F-0987-AD86-465F8932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0300"/>
          <a:ext cx="10373445" cy="5245100"/>
        </a:xfrm>
        <a:prstGeom prst="rect">
          <a:avLst/>
        </a:prstGeom>
      </xdr:spPr>
    </xdr:pic>
    <xdr:clientData/>
  </xdr:twoCellAnchor>
  <xdr:twoCellAnchor>
    <xdr:from>
      <xdr:col>1</xdr:col>
      <xdr:colOff>914400</xdr:colOff>
      <xdr:row>33</xdr:row>
      <xdr:rowOff>127000</xdr:rowOff>
    </xdr:from>
    <xdr:to>
      <xdr:col>10</xdr:col>
      <xdr:colOff>355600</xdr:colOff>
      <xdr:row>35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DC82D92-AAE1-A79E-15EE-6E3B3E56C66A}"/>
            </a:ext>
          </a:extLst>
        </xdr:cNvPr>
        <xdr:cNvSpPr/>
      </xdr:nvSpPr>
      <xdr:spPr>
        <a:xfrm>
          <a:off x="2184400" y="6832600"/>
          <a:ext cx="7645400" cy="279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43.822860995373" createdVersion="8" refreshedVersion="8" minRefreshableVersion="3" recordCount="102" xr:uid="{22757BF8-84F7-524D-85CD-F1F6DCB47B84}">
  <cacheSource type="worksheet">
    <worksheetSource ref="A1:H103" sheet="Transactions"/>
  </cacheSource>
  <cacheFields count="8">
    <cacheField name="Date" numFmtId="15">
      <sharedItems containsSemiMixedTypes="0" containsNonDate="0" containsDate="1" containsString="0" minDate="2021-07-07T00:00:00" maxDate="2022-06-30T00:00:00"/>
    </cacheField>
    <cacheField name="Amount" numFmtId="0">
      <sharedItems containsSemiMixedTypes="0" containsString="0" containsNumber="1" minValue="-1550" maxValue="1500"/>
    </cacheField>
    <cacheField name="Account Number" numFmtId="0">
      <sharedItems containsSemiMixedTypes="0" containsString="0" containsNumber="1" containsInteger="1" minValue="299201631" maxValue="299201631"/>
    </cacheField>
    <cacheField name="Transaction Type" numFmtId="0">
      <sharedItems/>
    </cacheField>
    <cacheField name="Transaction Details" numFmtId="0">
      <sharedItems/>
    </cacheField>
    <cacheField name="Balance" numFmtId="0">
      <sharedItems containsSemiMixedTypes="0" containsString="0" containsNumber="1" minValue="-1128.6400000000001" maxValue="2368.9299999999998"/>
    </cacheField>
    <cacheField name="Category" numFmtId="0">
      <sharedItems/>
    </cacheField>
    <cacheField name="Category-LT" numFmtId="0">
      <sharedItems containsBlank="1" count="9">
        <s v="Interest"/>
        <s v="Money In"/>
        <s v="Money Out"/>
        <s v="Insurance"/>
        <s v="Rates"/>
        <s v="Repairs"/>
        <s v="Water"/>
        <m u="1"/>
        <s v="RACV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d v="2021-07-26T00:00:00"/>
    <n v="-1063.73"/>
    <n v="299201631"/>
    <s v="AUTOMATIC DRAWING"/>
    <s v="S311153450600 BANK-M LLOYD EDWARD THO"/>
    <n v="45.96"/>
    <s v="Transfers out"/>
    <x v="0"/>
  </r>
  <r>
    <d v="2021-08-26T00:00:00"/>
    <n v="-1099.19"/>
    <n v="299201631"/>
    <s v="AUTOMATIC DRAWING"/>
    <s v="S311153450600 BANK-M LLOYD EDWARD THO"/>
    <n v="-1091.1600000000001"/>
    <s v="Transfers out"/>
    <x v="0"/>
  </r>
  <r>
    <d v="2021-08-27T00:00:00"/>
    <n v="1099.19"/>
    <n v="299201631"/>
    <s v="REVERSAL CREDIT"/>
    <s v="REVERSAL OF DEBIT ST GEORGE MERCHANT AS311153450600"/>
    <n v="8.0299999999999994"/>
    <s v="Other income"/>
    <x v="0"/>
  </r>
  <r>
    <d v="2021-08-30T00:00:00"/>
    <n v="-1099.19"/>
    <n v="299201631"/>
    <s v="TRANSFER DEBIT"/>
    <s v="INTERNET TRANSFER Loan Payment"/>
    <n v="8.84"/>
    <s v="Transfers out"/>
    <x v="0"/>
  </r>
  <r>
    <d v="2021-09-27T00:00:00"/>
    <n v="-1099.43"/>
    <n v="299201631"/>
    <s v="AUTOMATIC DRAWING"/>
    <s v="S311153450600 BANK-M LLOYD EDWARD THO"/>
    <n v="-1088.52"/>
    <s v="Transfers out"/>
    <x v="0"/>
  </r>
  <r>
    <d v="2021-09-28T00:00:00"/>
    <n v="1099.43"/>
    <n v="299201631"/>
    <s v="REVERSAL CREDIT"/>
    <s v="REVERSAL OF DEBIT ST GEORGE MERCHANT AS311153450600"/>
    <n v="10.91"/>
    <s v="Other income"/>
    <x v="0"/>
  </r>
  <r>
    <d v="2021-10-01T00:00:00"/>
    <n v="-1099.43"/>
    <n v="299201631"/>
    <s v="TRANSFER DEBIT"/>
    <s v="INTERNET TRANSFER Loan Payment"/>
    <n v="311.48"/>
    <s v="Transfers out"/>
    <x v="0"/>
  </r>
  <r>
    <d v="2021-10-26T00:00:00"/>
    <n v="-1063.97"/>
    <n v="299201631"/>
    <s v="AUTOMATIC DRAWING"/>
    <s v="S311153450600 BANK-M LLOYD EDWARD THO"/>
    <n v="65.459999999999994"/>
    <s v="Transfers out"/>
    <x v="0"/>
  </r>
  <r>
    <d v="2021-11-26T00:00:00"/>
    <n v="-1099.19"/>
    <n v="299201631"/>
    <s v="AUTOMATIC DRAWING"/>
    <s v="S311153450600 BANK-M LLOYD EDWARD THO"/>
    <n v="-1095.58"/>
    <s v="Transfers out"/>
    <x v="0"/>
  </r>
  <r>
    <d v="2021-11-29T00:00:00"/>
    <n v="1099.19"/>
    <n v="299201631"/>
    <s v="REVERSAL CREDIT"/>
    <s v="REVERSAL OF DEBIT ST GEORGE MERCHANT AS311153450600"/>
    <n v="1503.61"/>
    <s v="Other income"/>
    <x v="0"/>
  </r>
  <r>
    <d v="2021-11-30T00:00:00"/>
    <n v="-1099.19"/>
    <n v="299201631"/>
    <s v="TRANSFER DEBIT"/>
    <s v="INTERNET TRANSFER Loan Payment"/>
    <n v="404.42"/>
    <s v="Transfers out"/>
    <x v="0"/>
  </r>
  <r>
    <d v="2021-12-29T00:00:00"/>
    <n v="-1133.1199999999999"/>
    <n v="299201631"/>
    <s v="AUTOMATIC DRAWING"/>
    <s v="S311153450600 BANK-M LLOYD EDWARD THO"/>
    <n v="170.81"/>
    <s v="Transfers out"/>
    <x v="0"/>
  </r>
  <r>
    <d v="2022-01-27T00:00:00"/>
    <n v="-1161.6500000000001"/>
    <n v="299201631"/>
    <s v="AUTOMATIC DRAWING"/>
    <s v="S311153450600 BANK-M LLOYD EDWARD THO"/>
    <n v="338.72"/>
    <s v="Transfers out"/>
    <x v="0"/>
  </r>
  <r>
    <d v="2022-02-28T00:00:00"/>
    <n v="-1161.6500000000001"/>
    <n v="299201631"/>
    <s v="AUTOMATIC DRAWING"/>
    <s v="S311153450600 BANK-M LLOYD EDWARD THO"/>
    <n v="-43.38"/>
    <s v="Transfers out"/>
    <x v="0"/>
  </r>
  <r>
    <d v="2022-03-28T00:00:00"/>
    <n v="-1049.23"/>
    <n v="299201631"/>
    <s v="AUTOMATIC DRAWING"/>
    <s v="S311153450600 BANK-M LLOYD EDWARD THO"/>
    <n v="57.89"/>
    <s v="Transfers out"/>
    <x v="0"/>
  </r>
  <r>
    <d v="2022-03-31T00:00:00"/>
    <n v="0.01"/>
    <n v="299201631"/>
    <s v="INTEREST PAID"/>
    <s v="INTEREST"/>
    <n v="0.9"/>
    <s v="Other income"/>
    <x v="0"/>
  </r>
  <r>
    <d v="2022-04-26T00:00:00"/>
    <n v="-1161.6500000000001"/>
    <n v="299201631"/>
    <s v="AUTOMATIC DRAWING"/>
    <s v="S311153450600 BANK-M LLOYD EDWARD THO"/>
    <n v="18.84"/>
    <s v="Transfers out"/>
    <x v="0"/>
  </r>
  <r>
    <d v="2022-05-26T00:00:00"/>
    <n v="-1124.17"/>
    <n v="299201631"/>
    <s v="AUTOMATIC DRAWING"/>
    <s v="S311153450600 BANK-M LLOYD EDWARD THO"/>
    <n v="164.26"/>
    <s v="Transfers out"/>
    <x v="0"/>
  </r>
  <r>
    <d v="2022-06-27T00:00:00"/>
    <n v="-1161.6500000000001"/>
    <n v="299201631"/>
    <s v="AUTOMATIC DRAWING"/>
    <s v="S311153450600 BANK-M"/>
    <n v="-1128.6400000000001"/>
    <s v="Fees"/>
    <x v="0"/>
  </r>
  <r>
    <d v="2022-06-28T00:00:00"/>
    <n v="1161.6500000000001"/>
    <n v="299201631"/>
    <s v="REVERSAL CREDIT"/>
    <s v="REVERSAL OF DEBIT ST GEORGE MERCHANT AS311153450600"/>
    <n v="33.01"/>
    <s v="Other income"/>
    <x v="0"/>
  </r>
  <r>
    <d v="2022-06-29T00:00:00"/>
    <n v="-1161.6500000000001"/>
    <n v="299201631"/>
    <s v="TRANSFER DEBIT"/>
    <s v="ONLINE X9811057831"/>
    <n v="371.36"/>
    <s v="Transfers out"/>
    <x v="0"/>
  </r>
  <r>
    <d v="2021-07-19T00:00:00"/>
    <n v="500"/>
    <n v="299201631"/>
    <s v="TRANSFER CREDIT"/>
    <s v="ONLINE F1566928867 Linked Acc Trns THOMAS L"/>
    <n v="479.69"/>
    <s v="Other income"/>
    <x v="1"/>
  </r>
  <r>
    <d v="2021-07-22T00:00:00"/>
    <n v="20"/>
    <n v="299201631"/>
    <s v="TRANSFER CREDIT"/>
    <s v="ONLINE L8163218943 Linked Acc Trns THOMAS L"/>
    <n v="599.69000000000005"/>
    <s v="Other income"/>
    <x v="1"/>
  </r>
  <r>
    <d v="2021-07-22T00:00:00"/>
    <n v="100"/>
    <n v="299201631"/>
    <s v="TRANSFER CREDIT"/>
    <s v="ONLINE J7025655496 Linked Acc Trns THOMAS L"/>
    <n v="579.69000000000005"/>
    <s v="Other income"/>
    <x v="1"/>
  </r>
  <r>
    <d v="2021-07-26T00:00:00"/>
    <n v="400"/>
    <n v="299201631"/>
    <s v="TRANSFER CREDIT"/>
    <s v="ONLINE L8025216911 Linked Acc Trns THOMAS L"/>
    <n v="1109.69"/>
    <s v="Other income"/>
    <x v="1"/>
  </r>
  <r>
    <d v="2021-07-26T00:00:00"/>
    <n v="700"/>
    <n v="299201631"/>
    <s v="TRANSFER CREDIT"/>
    <s v="ONLINE Y7530214411 Linked Acc Trns THOMAS L"/>
    <n v="709.69"/>
    <s v="Other income"/>
    <x v="1"/>
  </r>
  <r>
    <d v="2021-08-23T00:00:00"/>
    <n v="580"/>
    <n v="299201631"/>
    <s v="TRANSFER CREDIT"/>
    <s v="ONLINE A9503464874 Linked Acc Trns THOMAS L"/>
    <n v="598.03"/>
    <s v="Other income"/>
    <x v="1"/>
  </r>
  <r>
    <d v="2021-08-30T00:00:00"/>
    <n v="1100"/>
    <n v="299201631"/>
    <s v="TRANSFER CREDIT"/>
    <s v="ONLINE Y4963515342 Linked Acc Trns THOMAS L"/>
    <n v="1108.03"/>
    <s v="Other income"/>
    <x v="1"/>
  </r>
  <r>
    <d v="2021-09-06T00:00:00"/>
    <n v="250"/>
    <n v="299201631"/>
    <s v="TRANSFER CREDIT"/>
    <s v="ONLINE G9724575704 Linked Acc Trns THOMAS L"/>
    <n v="258.83999999999997"/>
    <s v="Other income"/>
    <x v="1"/>
  </r>
  <r>
    <d v="2021-09-14T00:00:00"/>
    <n v="220"/>
    <n v="299201631"/>
    <s v="TRANSFER CREDIT"/>
    <s v="ONLINE Y1183447154 Linked Acc Trns THOMAS L"/>
    <n v="600.91"/>
    <s v="Other income"/>
    <x v="1"/>
  </r>
  <r>
    <d v="2021-09-14T00:00:00"/>
    <n v="400"/>
    <n v="299201631"/>
    <s v="TRANSFER CREDIT"/>
    <s v="ONLINE X5126246854 Linked Acc Trns THOMAS L"/>
    <n v="380.91"/>
    <s v="Other income"/>
    <x v="1"/>
  </r>
  <r>
    <d v="2021-10-01T00:00:00"/>
    <n v="1400"/>
    <n v="299201631"/>
    <s v="TRANSFER CREDIT"/>
    <s v="ONLINE L2293918813 Linked Acc Trns THOMAS L"/>
    <n v="1410.91"/>
    <s v="Other income"/>
    <x v="1"/>
  </r>
  <r>
    <d v="2021-10-18T00:00:00"/>
    <n v="600"/>
    <n v="299201631"/>
    <s v="TRANSFER CREDIT"/>
    <s v="ONLINE S5261236683 Linked Acc Trns THOMAS L"/>
    <n v="669.43"/>
    <s v="Other income"/>
    <x v="1"/>
  </r>
  <r>
    <d v="2021-10-21T00:00:00"/>
    <n v="500"/>
    <n v="299201631"/>
    <s v="MISCELLANEOUS CREDIT"/>
    <s v="REDRAW PROCEEDS FROM A/C 97-166-9065"/>
    <n v="1579.43"/>
    <s v="Other income"/>
    <x v="1"/>
  </r>
  <r>
    <d v="2021-10-21T00:00:00"/>
    <n v="1000"/>
    <n v="299201631"/>
    <s v="TRANSFER CREDIT"/>
    <s v="ONLINE L8980908570 Linked Acc Trns THOMAS L"/>
    <n v="1079.43"/>
    <s v="Other income"/>
    <x v="1"/>
  </r>
  <r>
    <d v="2021-10-25T00:00:00"/>
    <n v="1100"/>
    <n v="299201631"/>
    <s v="TRANSFER CREDIT"/>
    <s v="ONLINE R1123226937 Linked Acc Trns THOMAS L"/>
    <n v="1129.43"/>
    <s v="Other income"/>
    <x v="1"/>
  </r>
  <r>
    <d v="2021-11-12T00:00:00"/>
    <n v="100"/>
    <n v="299201631"/>
    <s v="TRANSFER CREDIT"/>
    <s v="ONLINE X6526234775 Linked Acc Trns THOMAS L"/>
    <n v="727.53"/>
    <s v="Other income"/>
    <x v="1"/>
  </r>
  <r>
    <d v="2021-11-12T00:00:00"/>
    <n v="590"/>
    <n v="299201631"/>
    <s v="TRANSFER CREDIT"/>
    <s v="ONLINE B7112515275 Linked Acc Trns THOMAS L"/>
    <n v="627.53"/>
    <s v="Other income"/>
    <x v="1"/>
  </r>
  <r>
    <d v="2021-11-29T00:00:00"/>
    <n v="1500"/>
    <n v="299201631"/>
    <s v="TRANSFER CREDIT"/>
    <s v="ONLINE H0098444212 Linked Acc Trns THOMAS L"/>
    <n v="404.42"/>
    <s v="Other income"/>
    <x v="1"/>
  </r>
  <r>
    <d v="2021-12-13T00:00:00"/>
    <n v="300"/>
    <n v="299201631"/>
    <s v="TRANSFER CREDIT"/>
    <s v="ONLINE K7708274371 Linked Acc Trns THOMAS L"/>
    <n v="673.93"/>
    <s v="Other income"/>
    <x v="1"/>
  </r>
  <r>
    <d v="2021-12-16T00:00:00"/>
    <n v="20"/>
    <n v="299201631"/>
    <s v="TRANSFER CREDIT"/>
    <s v="ONLINE B8996288454 Linked Acc Trns THOMAS L"/>
    <n v="593.92999999999995"/>
    <s v="Other income"/>
    <x v="1"/>
  </r>
  <r>
    <d v="2021-12-24T00:00:00"/>
    <n v="1500"/>
    <n v="299201631"/>
    <s v="TRANSFER CREDIT"/>
    <s v="ONLINE K9629454121 Linked Acc Trns THOMAS L"/>
    <n v="1503.93"/>
    <s v="Other income"/>
    <x v="1"/>
  </r>
  <r>
    <d v="2021-12-29T00:00:00"/>
    <n v="865"/>
    <n v="299201631"/>
    <s v="TRANSFER CREDIT"/>
    <s v="ONLINE X7229417926 Linked Acc Trns THOMAS L"/>
    <n v="2368.9299999999998"/>
    <s v="Other income"/>
    <x v="1"/>
  </r>
  <r>
    <d v="2022-01-10T00:00:00"/>
    <n v="100"/>
    <n v="299201631"/>
    <s v="TRANSFER CREDIT"/>
    <s v="SUSAN THOMAS Bill"/>
    <n v="790.37"/>
    <s v="Other income"/>
    <x v="1"/>
  </r>
  <r>
    <d v="2022-01-10T00:00:00"/>
    <n v="550"/>
    <n v="299201631"/>
    <s v="TRANSFER CREDIT"/>
    <s v="ONLINE Z1390515521 Linked Acc Trns THOMAS L"/>
    <n v="690.37"/>
    <s v="Other income"/>
    <x v="1"/>
  </r>
  <r>
    <d v="2022-01-24T00:00:00"/>
    <n v="1400"/>
    <n v="299201631"/>
    <s v="TRANSFER CREDIT"/>
    <s v="ONLINE A4364228744 Linked Acc Trns THOMAS L"/>
    <n v="1500.37"/>
    <s v="Other income"/>
    <x v="1"/>
  </r>
  <r>
    <d v="2022-02-11T00:00:00"/>
    <n v="300"/>
    <n v="299201631"/>
    <s v="TRANSFER CREDIT"/>
    <s v="ONLINE K3864585847 Linked Acc Trns THOMAS L"/>
    <n v="608.27"/>
    <s v="Other income"/>
    <x v="1"/>
  </r>
  <r>
    <d v="2022-02-25T00:00:00"/>
    <n v="1100"/>
    <n v="299201631"/>
    <s v="TRANSFER CREDIT"/>
    <s v="ONLINE Q1800244750 Linked Acc Trns THOMAS L"/>
    <n v="1118.27"/>
    <s v="Other income"/>
    <x v="1"/>
  </r>
  <r>
    <d v="2022-03-01T00:00:00"/>
    <n v="50"/>
    <n v="299201631"/>
    <s v="TRANSFER CREDIT"/>
    <s v="ONLINE V5299988365 Linked Acc Trns THOMAS L"/>
    <n v="6.62"/>
    <s v="Other income"/>
    <x v="1"/>
  </r>
  <r>
    <d v="2022-03-10T00:00:00"/>
    <n v="620"/>
    <n v="299201631"/>
    <s v="TRANSFER CREDIT"/>
    <s v="ONLINE A2668424870 Linked Acc Trns THOMAS L"/>
    <n v="596.16999999999996"/>
    <s v="Other income"/>
    <x v="1"/>
  </r>
  <r>
    <d v="2022-03-11T00:00:00"/>
    <n v="830"/>
    <n v="299201631"/>
    <s v="TRANSFER CREDIT"/>
    <s v="ONLINE L0340286727 Linked Acc Trns THOMAS L"/>
    <n v="1426.17"/>
    <s v="Other income"/>
    <x v="1"/>
  </r>
  <r>
    <d v="2022-03-17T00:00:00"/>
    <n v="590"/>
    <n v="299201631"/>
    <s v="TRANSFER CREDIT"/>
    <s v="ONLINE H8602464137 Linked Acc Trns THOMAS L"/>
    <n v="597.12"/>
    <s v="Other income"/>
    <x v="1"/>
  </r>
  <r>
    <d v="2022-03-25T00:00:00"/>
    <n v="500"/>
    <n v="299201631"/>
    <s v="TRANSFER CREDIT"/>
    <s v="ONLINE B8338266207 Linked Acc Trns THOMAS L"/>
    <n v="1107.1199999999999"/>
    <s v="Other income"/>
    <x v="1"/>
  </r>
  <r>
    <d v="2022-03-25T00:00:00"/>
    <n v="600"/>
    <n v="299201631"/>
    <s v="TRANSFER CREDIT"/>
    <s v="ONLINE A5500427706 Linked Acc Trns THOMAS L"/>
    <n v="607.12"/>
    <s v="Other income"/>
    <x v="1"/>
  </r>
  <r>
    <d v="2022-04-12T00:00:00"/>
    <n v="300"/>
    <n v="299201631"/>
    <s v="TRANSFER CREDIT"/>
    <s v="ONLINE F6722264305 Linked Acc Trns THOMAS L"/>
    <n v="270.49"/>
    <s v="Other income"/>
    <x v="1"/>
  </r>
  <r>
    <d v="2022-04-19T00:00:00"/>
    <n v="320"/>
    <n v="299201631"/>
    <s v="TRANSFER CREDIT"/>
    <s v="ONLINE B9500986323 Linked Acc Trns THOMAS L"/>
    <n v="590.49"/>
    <s v="Other income"/>
    <x v="1"/>
  </r>
  <r>
    <d v="2022-04-26T00:00:00"/>
    <n v="80"/>
    <n v="299201631"/>
    <s v="TRANSFER CREDIT"/>
    <s v="ONLINE N4438427317 Linked Acc Trns THOMAS L"/>
    <n v="1180.49"/>
    <s v="Other income"/>
    <x v="1"/>
  </r>
  <r>
    <d v="2022-04-26T00:00:00"/>
    <n v="1100"/>
    <n v="299201631"/>
    <s v="TRANSFER CREDIT"/>
    <s v="ONLINE V6100226717 Linked Acc Trns THOMAS L"/>
    <n v="1100.49"/>
    <s v="Other income"/>
    <x v="1"/>
  </r>
  <r>
    <d v="2022-05-11T00:00:00"/>
    <n v="590"/>
    <n v="299201631"/>
    <s v="TRANSFER CREDIT"/>
    <s v="ONLINE V5148564858 Linked Acc Trns THOMAS L"/>
    <n v="578.42999999999995"/>
    <s v="Other income"/>
    <x v="1"/>
  </r>
  <r>
    <d v="2022-05-25T00:00:00"/>
    <n v="1300"/>
    <n v="299201631"/>
    <s v="TRANSFER CREDIT"/>
    <s v="ONLINE S0211588617 Linked Acc Trns THOMAS L"/>
    <n v="1288.43"/>
    <s v="Other income"/>
    <x v="1"/>
  </r>
  <r>
    <d v="2022-06-08T00:00:00"/>
    <n v="590"/>
    <n v="299201631"/>
    <s v="TRANSFER CREDIT"/>
    <s v="ONLINE K8854213995 Linked Acc Trns THOMAS L"/>
    <n v="590.85"/>
    <s v="Other income"/>
    <x v="1"/>
  </r>
  <r>
    <d v="2022-06-14T00:00:00"/>
    <n v="300"/>
    <n v="299201631"/>
    <s v="TRANSFER CREDIT"/>
    <s v="ONLINE C3158518266 Linked Acc Trns THOMAS L"/>
    <n v="890.85"/>
    <s v="Other income"/>
    <x v="1"/>
  </r>
  <r>
    <d v="2022-06-28T00:00:00"/>
    <n v="1500"/>
    <n v="299201631"/>
    <s v="TRANSFER CREDIT"/>
    <s v="ONLINE R2946125577 Linked Acc Trns THOMAS L"/>
    <n v="1533.01"/>
    <s v="Other income"/>
    <x v="1"/>
  </r>
  <r>
    <d v="2021-07-22T00:00:00"/>
    <n v="-590"/>
    <n v="299201631"/>
    <s v="TRANSFER DEBIT"/>
    <s v="INTERNET TRANSFER ll"/>
    <n v="9.69"/>
    <s v="Transfers out"/>
    <x v="2"/>
  </r>
  <r>
    <d v="2021-08-23T00:00:00"/>
    <n v="-590"/>
    <n v="299201631"/>
    <s v="TRANSFER DEBIT"/>
    <s v="INTERNET TRANSFER ll"/>
    <n v="8.0299999999999994"/>
    <s v="Transfers out"/>
    <x v="2"/>
  </r>
  <r>
    <d v="2021-09-17T00:00:00"/>
    <n v="-590"/>
    <n v="299201631"/>
    <s v="TRANSFER DEBIT"/>
    <s v="INTERNET TRANSFER ll"/>
    <n v="10.91"/>
    <s v="Transfers out"/>
    <x v="2"/>
  </r>
  <r>
    <d v="2021-10-18T00:00:00"/>
    <n v="-590"/>
    <n v="299201631"/>
    <s v="TRANSFER DEBIT"/>
    <s v="INTERNET TRANSFER ll"/>
    <n v="79.430000000000007"/>
    <s v="Transfers out"/>
    <x v="2"/>
  </r>
  <r>
    <d v="2021-11-17T00:00:00"/>
    <n v="-590"/>
    <n v="299201631"/>
    <s v="TRANSFER DEBIT"/>
    <s v="INTERNET TRANSFER ll"/>
    <n v="3.61"/>
    <s v="Transfers out"/>
    <x v="2"/>
  </r>
  <r>
    <d v="2021-12-17T00:00:00"/>
    <n v="-590"/>
    <n v="299201631"/>
    <s v="TRANSFER DEBIT"/>
    <s v="INTERNET TRANSFER ll"/>
    <n v="3.93"/>
    <s v="Transfers out"/>
    <x v="2"/>
  </r>
  <r>
    <d v="2022-01-17T00:00:00"/>
    <n v="-590"/>
    <n v="299201631"/>
    <s v="TRANSFER DEBIT"/>
    <s v="INTERNET TRANSFER ll"/>
    <n v="100.37"/>
    <s v="Transfers out"/>
    <x v="2"/>
  </r>
  <r>
    <d v="2022-02-17T00:00:00"/>
    <n v="-590"/>
    <n v="299201631"/>
    <s v="TRANSFER DEBIT"/>
    <s v="INTERNET TRANSFER ll"/>
    <n v="18.27"/>
    <s v="Transfers out"/>
    <x v="2"/>
  </r>
  <r>
    <d v="2022-03-14T00:00:00"/>
    <n v="-590"/>
    <n v="299201631"/>
    <s v="TRANSFER DEBIT"/>
    <s v="ONLINE V3300256303 Linked Acc Trns THOMAS L"/>
    <n v="7.12"/>
    <s v="Internal transfers"/>
    <x v="2"/>
  </r>
  <r>
    <d v="2022-03-18T00:00:00"/>
    <n v="-590"/>
    <n v="299201631"/>
    <s v="TRANSFER DEBIT"/>
    <s v="INTERNET TRANSFER ll"/>
    <n v="7.12"/>
    <s v="Transfers out"/>
    <x v="2"/>
  </r>
  <r>
    <d v="2022-03-29T00:00:00"/>
    <n v="-57"/>
    <n v="299201631"/>
    <s v="TRANSFER DEBIT"/>
    <s v="ONLINE T7940655079 Linked Acc Trns THOMAS L"/>
    <n v="0.89"/>
    <s v="Internal transfers"/>
    <x v="2"/>
  </r>
  <r>
    <d v="2022-04-19T00:00:00"/>
    <n v="-590"/>
    <n v="299201631"/>
    <s v="TRANSFER DEBIT"/>
    <s v="INTERNET TRANSFER ll"/>
    <n v="0.49"/>
    <s v="Transfers out"/>
    <x v="2"/>
  </r>
  <r>
    <d v="2022-05-17T00:00:00"/>
    <n v="-590"/>
    <n v="299201631"/>
    <s v="TRANSFER DEBIT"/>
    <s v="INTERNET TRANSFER ll"/>
    <n v="-11.57"/>
    <s v="Transfers out"/>
    <x v="2"/>
  </r>
  <r>
    <d v="2022-06-06T00:00:00"/>
    <n v="-80"/>
    <n v="299201631"/>
    <s v="TRANSFER DEBIT"/>
    <s v="VICTORIA PAULL Z5311017736 Food Lloyd"/>
    <n v="84.26"/>
    <s v="Transfers out"/>
    <x v="2"/>
  </r>
  <r>
    <d v="2022-06-07T00:00:00"/>
    <n v="-53"/>
    <n v="299201631"/>
    <s v="TRANSFER DEBIT"/>
    <s v="ONLINE A8935031913 Linked Acc Trns THOMAS L"/>
    <n v="0.85"/>
    <s v="Internal transfers"/>
    <x v="2"/>
  </r>
  <r>
    <d v="2022-06-17T00:00:00"/>
    <n v="-590"/>
    <n v="299201631"/>
    <s v="TRANSFER DEBIT"/>
    <s v="INTERNET TRANSFER ll"/>
    <n v="33.01"/>
    <s v="Transfers out"/>
    <x v="2"/>
  </r>
  <r>
    <d v="2021-07-07T00:00:00"/>
    <n v="-27.93"/>
    <n v="299201631"/>
    <s v="AUTOMATIC DRAWING"/>
    <s v="HOM694730146210707 RACV INSURANCE MR LLOYD THOMAS"/>
    <n v="-20.309999999999999"/>
    <s v="Bills"/>
    <x v="3"/>
  </r>
  <r>
    <d v="2021-08-09T00:00:00"/>
    <n v="-27.93"/>
    <n v="299201631"/>
    <s v="AUTOMATIC DRAWING"/>
    <s v="HOM694730146210807 RACV INSURANCE MR LLOYD THOMAS"/>
    <n v="18.03"/>
    <s v="Bills"/>
    <x v="3"/>
  </r>
  <r>
    <d v="2021-09-07T00:00:00"/>
    <n v="-27.93"/>
    <n v="299201631"/>
    <s v="AUTOMATIC DRAWING"/>
    <s v="HOM694730146210907 RACV INSURANCE MR LLOYD THOMAS"/>
    <n v="-19.09"/>
    <s v="Bills"/>
    <x v="3"/>
  </r>
  <r>
    <d v="2021-10-07T00:00:00"/>
    <n v="-27.93"/>
    <n v="299201631"/>
    <s v="AUTOMATIC DRAWING"/>
    <s v="HOM694730146211007 RACV INSURANCE MR LLOYD THOMAS"/>
    <n v="69.430000000000007"/>
    <s v="Bills"/>
    <x v="3"/>
  </r>
  <r>
    <d v="2021-11-08T00:00:00"/>
    <n v="-27.93"/>
    <n v="299201631"/>
    <s v="AUTOMATIC DRAWING"/>
    <s v="HOM694730146211107 RACV INSURANCE MR LLOYD THOMAS"/>
    <n v="37.53"/>
    <s v="Bills"/>
    <x v="3"/>
  </r>
  <r>
    <d v="2021-12-07T00:00:00"/>
    <n v="-30.49"/>
    <n v="299201631"/>
    <s v="AUTOMATIC DRAWING"/>
    <s v="HOM694730146211207 RACV INSURANCE MR LLOYD THOMAS"/>
    <n v="373.93"/>
    <s v="Bills"/>
    <x v="3"/>
  </r>
  <r>
    <d v="2022-01-07T00:00:00"/>
    <n v="-30.45"/>
    <n v="299201631"/>
    <s v="AUTOMATIC DRAWING"/>
    <s v="HOM694730146220107 RACV INSURANCE MR LLOYD THOMAS"/>
    <n v="140.37"/>
    <s v="Bills"/>
    <x v="3"/>
  </r>
  <r>
    <d v="2022-02-07T00:00:00"/>
    <n v="-30.45"/>
    <n v="299201631"/>
    <s v="AUTOMATIC DRAWING"/>
    <s v="HOM694730146220207 RACV INSURANCE MR LLOYD THOMAS"/>
    <n v="308.27"/>
    <s v="Bills"/>
    <x v="3"/>
  </r>
  <r>
    <d v="2022-03-07T00:00:00"/>
    <n v="-30.45"/>
    <n v="299201631"/>
    <s v="AUTOMATIC DRAWING"/>
    <s v="HOM694730146220307 RACV INSURANCE MR LLOYD THOMAS"/>
    <n v="-23.83"/>
    <s v="Bills"/>
    <x v="3"/>
  </r>
  <r>
    <d v="2022-04-07T00:00:00"/>
    <n v="-30.41"/>
    <n v="299201631"/>
    <s v="AUTOMATIC DRAWING"/>
    <s v="HOM694730146220407 RACV INSURANCE MR LLOYD THOMAS"/>
    <n v="-29.51"/>
    <s v="Bills"/>
    <x v="3"/>
  </r>
  <r>
    <d v="2022-05-09T00:00:00"/>
    <n v="-30.41"/>
    <n v="299201631"/>
    <s v="AUTOMATIC DRAWING"/>
    <s v="HOM694730146220507 RACV INSURANCE MR LLOYD THOMAS"/>
    <n v="-11.57"/>
    <s v="Bills"/>
    <x v="3"/>
  </r>
  <r>
    <d v="2022-06-07T00:00:00"/>
    <n v="-30.41"/>
    <n v="299201631"/>
    <s v="AUTOMATIC DRAWING"/>
    <s v="HOM694730146220607 RACV INSURANCE MR LLOYD THOMAS"/>
    <n v="53.85"/>
    <s v="Bills"/>
    <x v="3"/>
  </r>
  <r>
    <d v="2022-03-11T00:00:00"/>
    <n v="-829.05"/>
    <n v="299201631"/>
    <s v="TRANSFER DEBIT"/>
    <s v="INTERNET BPAY HOBSONS BAY COUNCIL 50322001803"/>
    <n v="597.12"/>
    <s v="Transfers out"/>
    <x v="4"/>
  </r>
  <r>
    <d v="2021-09-06T00:00:00"/>
    <n v="-250"/>
    <n v="299201631"/>
    <s v="TRANSFER DEBIT"/>
    <s v="INTERNET TRANSFER Garage Repair"/>
    <n v="8.84"/>
    <s v="Transfers out"/>
    <x v="5"/>
  </r>
  <r>
    <d v="2021-10-22T00:00:00"/>
    <n v="-1550"/>
    <n v="299201631"/>
    <s v="TRANSFER DEBIT"/>
    <s v="INTERNET TRANSFER Rudy Ashby Crt Fen"/>
    <n v="29.43"/>
    <s v="Transfers out"/>
    <x v="5"/>
  </r>
  <r>
    <d v="2021-12-13T00:00:00"/>
    <n v="-100"/>
    <n v="299201631"/>
    <s v="TRANSFER DEBIT"/>
    <s v="INTERNET TRANSFER rangehood"/>
    <n v="573.92999999999995"/>
    <s v="Transfers out"/>
    <x v="5"/>
  </r>
  <r>
    <d v="2021-12-29T00:00:00"/>
    <n v="-865"/>
    <n v="299201631"/>
    <s v="TRANSFER DEBIT"/>
    <s v="INTERNET TRANSFER Hot Water System"/>
    <n v="1303.93"/>
    <s v="Transfers out"/>
    <x v="5"/>
  </r>
  <r>
    <d v="2021-10-06T00:00:00"/>
    <n v="-214.12"/>
    <n v="299201631"/>
    <s v="TRANSFER DEBIT"/>
    <s v="INTERNET BPAY GWW 1 121741540121"/>
    <n v="97.36"/>
    <s v="Transfers out"/>
    <x v="6"/>
  </r>
  <r>
    <d v="2021-11-15T00:00:00"/>
    <n v="-133.91999999999999"/>
    <n v="299201631"/>
    <s v="TRANSFER DEBIT"/>
    <s v="INTERNET BPAY GWW 1 121741540121"/>
    <n v="593.61"/>
    <s v="Transfers out"/>
    <x v="6"/>
  </r>
  <r>
    <d v="2022-06-15T00:00:00"/>
    <n v="-267.83999999999997"/>
    <n v="299201631"/>
    <s v="TRANSFER DEBIT"/>
    <s v="INTERNET BPAY GWW 1 121741540121"/>
    <n v="623.01"/>
    <s v="Transfers out"/>
    <x v="6"/>
  </r>
  <r>
    <d v="2021-12-29T00:00:00"/>
    <n v="-200"/>
    <n v="299201631"/>
    <s v="TRANSFER DEBIT"/>
    <s v="ONLINE X9764424134 Linked Acc Trns THOMAS L"/>
    <n v="2168.9299999999998"/>
    <s v="Internal transfers"/>
    <x v="2"/>
  </r>
  <r>
    <d v="2021-12-31T00:00:00"/>
    <n v="0.01"/>
    <n v="299201631"/>
    <s v="INTEREST PAID"/>
    <s v="INTEREST"/>
    <n v="170.82"/>
    <s v="Other income"/>
    <x v="0"/>
  </r>
  <r>
    <d v="2022-01-12T00:00:00"/>
    <n v="-100"/>
    <n v="299201631"/>
    <s v="TRANSFER DEBIT"/>
    <s v="ONLINE F2531958770 Linked Acc Trns THOMAS L"/>
    <n v="690.37"/>
    <s v="Internal transfer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87F45-0DF6-084E-88CB-003AD560B607}" name="PivotTable2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numFmtId="15"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0"/>
        <item h="1" x="1"/>
        <item h="1" x="2"/>
        <item m="1" x="8"/>
        <item x="4"/>
        <item x="5"/>
        <item x="6"/>
        <item m="1" x="7"/>
        <item x="3"/>
        <item t="default"/>
      </items>
    </pivotField>
  </pivotFields>
  <rowFields count="1">
    <field x="7"/>
  </rowFields>
  <rowItems count="6">
    <i>
      <x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13CD-B3A3-7844-A4B5-86E4212CB557}">
  <dimension ref="A3:C13"/>
  <sheetViews>
    <sheetView tabSelected="1" workbookViewId="0">
      <selection activeCell="B6" sqref="B6"/>
    </sheetView>
  </sheetViews>
  <sheetFormatPr baseColWidth="10" defaultRowHeight="16" x14ac:dyDescent="0.2"/>
  <cols>
    <col min="1" max="1" width="13" bestFit="1" customWidth="1"/>
    <col min="2" max="2" width="14" bestFit="1" customWidth="1"/>
  </cols>
  <sheetData>
    <row r="3" spans="1:3" x14ac:dyDescent="0.2">
      <c r="A3" s="3" t="s">
        <v>96</v>
      </c>
      <c r="B3" t="s">
        <v>98</v>
      </c>
      <c r="C3" s="6" t="s">
        <v>102</v>
      </c>
    </row>
    <row r="4" spans="1:3" x14ac:dyDescent="0.2">
      <c r="A4" s="4" t="s">
        <v>11</v>
      </c>
      <c r="B4" s="5">
        <v>-13378.609999999999</v>
      </c>
    </row>
    <row r="5" spans="1:3" x14ac:dyDescent="0.2">
      <c r="A5" s="4" t="s">
        <v>88</v>
      </c>
      <c r="B5" s="5">
        <v>-829.05</v>
      </c>
    </row>
    <row r="6" spans="1:3" x14ac:dyDescent="0.2">
      <c r="A6" s="4" t="s">
        <v>89</v>
      </c>
      <c r="B6" s="5">
        <v>-2765</v>
      </c>
      <c r="C6" t="s">
        <v>103</v>
      </c>
    </row>
    <row r="7" spans="1:3" x14ac:dyDescent="0.2">
      <c r="A7" s="4" t="s">
        <v>93</v>
      </c>
      <c r="B7" s="5">
        <v>-615.88</v>
      </c>
    </row>
    <row r="8" spans="1:3" x14ac:dyDescent="0.2">
      <c r="A8" s="4" t="s">
        <v>99</v>
      </c>
      <c r="B8" s="5">
        <v>-352.72</v>
      </c>
    </row>
    <row r="9" spans="1:3" x14ac:dyDescent="0.2">
      <c r="A9" s="4" t="s">
        <v>97</v>
      </c>
      <c r="B9" s="5">
        <v>-17941.259999999998</v>
      </c>
    </row>
    <row r="10" spans="1:3" x14ac:dyDescent="0.2">
      <c r="A10" s="7" t="s">
        <v>104</v>
      </c>
      <c r="B10" s="8">
        <f>15000+3000</f>
        <v>18000</v>
      </c>
    </row>
    <row r="11" spans="1:3" x14ac:dyDescent="0.2">
      <c r="A11" s="7" t="s">
        <v>105</v>
      </c>
      <c r="B11" s="8">
        <f>-30+-150</f>
        <v>-180</v>
      </c>
    </row>
    <row r="12" spans="1:3" x14ac:dyDescent="0.2">
      <c r="A12" s="9" t="s">
        <v>106</v>
      </c>
      <c r="B12" s="10" t="s">
        <v>107</v>
      </c>
    </row>
    <row r="13" spans="1:3" x14ac:dyDescent="0.2">
      <c r="A13" s="11" t="s">
        <v>108</v>
      </c>
      <c r="B13" s="8">
        <v>-367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3"/>
  <sheetViews>
    <sheetView workbookViewId="0">
      <selection activeCell="B92" sqref="B81:B92"/>
    </sheetView>
  </sheetViews>
  <sheetFormatPr baseColWidth="10" defaultRowHeight="16" x14ac:dyDescent="0.2"/>
  <cols>
    <col min="5" max="5" width="54" bestFit="1" customWidth="1"/>
    <col min="7" max="7" width="15.332031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2">
      <c r="A2" s="1">
        <v>44403</v>
      </c>
      <c r="B2">
        <v>-1063.73</v>
      </c>
      <c r="C2">
        <v>299201631</v>
      </c>
      <c r="D2" t="s">
        <v>8</v>
      </c>
      <c r="E2" t="s">
        <v>9</v>
      </c>
      <c r="F2">
        <v>45.96</v>
      </c>
      <c r="G2" t="s">
        <v>10</v>
      </c>
      <c r="H2" t="s">
        <v>11</v>
      </c>
    </row>
    <row r="3" spans="1:8" hidden="1" x14ac:dyDescent="0.2">
      <c r="A3" s="1">
        <v>44434</v>
      </c>
      <c r="B3">
        <v>-1099.19</v>
      </c>
      <c r="C3">
        <v>299201631</v>
      </c>
      <c r="D3" t="s">
        <v>8</v>
      </c>
      <c r="E3" t="s">
        <v>9</v>
      </c>
      <c r="F3">
        <v>-1091.1600000000001</v>
      </c>
      <c r="G3" t="s">
        <v>10</v>
      </c>
      <c r="H3" t="s">
        <v>11</v>
      </c>
    </row>
    <row r="4" spans="1:8" hidden="1" x14ac:dyDescent="0.2">
      <c r="A4" s="1">
        <v>44435</v>
      </c>
      <c r="B4">
        <v>1099.19</v>
      </c>
      <c r="C4">
        <v>299201631</v>
      </c>
      <c r="D4" t="s">
        <v>12</v>
      </c>
      <c r="E4" t="s">
        <v>13</v>
      </c>
      <c r="F4">
        <v>8.0299999999999994</v>
      </c>
      <c r="G4" t="s">
        <v>14</v>
      </c>
      <c r="H4" t="s">
        <v>11</v>
      </c>
    </row>
    <row r="5" spans="1:8" hidden="1" x14ac:dyDescent="0.2">
      <c r="A5" s="1">
        <v>44438</v>
      </c>
      <c r="B5">
        <v>-1099.19</v>
      </c>
      <c r="C5">
        <v>299201631</v>
      </c>
      <c r="D5" t="s">
        <v>15</v>
      </c>
      <c r="E5" t="s">
        <v>16</v>
      </c>
      <c r="F5">
        <v>8.84</v>
      </c>
      <c r="G5" t="s">
        <v>10</v>
      </c>
      <c r="H5" t="s">
        <v>11</v>
      </c>
    </row>
    <row r="6" spans="1:8" hidden="1" x14ac:dyDescent="0.2">
      <c r="A6" s="1">
        <v>44466</v>
      </c>
      <c r="B6">
        <v>-1099.43</v>
      </c>
      <c r="C6">
        <v>299201631</v>
      </c>
      <c r="D6" t="s">
        <v>8</v>
      </c>
      <c r="E6" t="s">
        <v>9</v>
      </c>
      <c r="F6">
        <v>-1088.52</v>
      </c>
      <c r="G6" t="s">
        <v>10</v>
      </c>
      <c r="H6" t="s">
        <v>11</v>
      </c>
    </row>
    <row r="7" spans="1:8" hidden="1" x14ac:dyDescent="0.2">
      <c r="A7" s="1">
        <v>44467</v>
      </c>
      <c r="B7">
        <v>1099.43</v>
      </c>
      <c r="C7">
        <v>299201631</v>
      </c>
      <c r="D7" t="s">
        <v>12</v>
      </c>
      <c r="E7" t="s">
        <v>13</v>
      </c>
      <c r="F7">
        <v>10.91</v>
      </c>
      <c r="G7" t="s">
        <v>14</v>
      </c>
      <c r="H7" t="s">
        <v>11</v>
      </c>
    </row>
    <row r="8" spans="1:8" hidden="1" x14ac:dyDescent="0.2">
      <c r="A8" s="1">
        <v>44470</v>
      </c>
      <c r="B8">
        <v>-1099.43</v>
      </c>
      <c r="C8">
        <v>299201631</v>
      </c>
      <c r="D8" t="s">
        <v>15</v>
      </c>
      <c r="E8" t="s">
        <v>16</v>
      </c>
      <c r="F8">
        <v>311.48</v>
      </c>
      <c r="G8" t="s">
        <v>10</v>
      </c>
      <c r="H8" t="s">
        <v>11</v>
      </c>
    </row>
    <row r="9" spans="1:8" hidden="1" x14ac:dyDescent="0.2">
      <c r="A9" s="1">
        <v>44495</v>
      </c>
      <c r="B9">
        <v>-1063.97</v>
      </c>
      <c r="C9">
        <v>299201631</v>
      </c>
      <c r="D9" t="s">
        <v>8</v>
      </c>
      <c r="E9" t="s">
        <v>9</v>
      </c>
      <c r="F9">
        <v>65.459999999999994</v>
      </c>
      <c r="G9" t="s">
        <v>10</v>
      </c>
      <c r="H9" t="s">
        <v>11</v>
      </c>
    </row>
    <row r="10" spans="1:8" hidden="1" x14ac:dyDescent="0.2">
      <c r="A10" s="1">
        <v>44526</v>
      </c>
      <c r="B10">
        <v>-1099.19</v>
      </c>
      <c r="C10">
        <v>299201631</v>
      </c>
      <c r="D10" t="s">
        <v>8</v>
      </c>
      <c r="E10" t="s">
        <v>9</v>
      </c>
      <c r="F10">
        <v>-1095.58</v>
      </c>
      <c r="G10" t="s">
        <v>10</v>
      </c>
      <c r="H10" t="s">
        <v>11</v>
      </c>
    </row>
    <row r="11" spans="1:8" hidden="1" x14ac:dyDescent="0.2">
      <c r="A11" s="1">
        <v>44529</v>
      </c>
      <c r="B11">
        <v>1099.19</v>
      </c>
      <c r="C11">
        <v>299201631</v>
      </c>
      <c r="D11" t="s">
        <v>12</v>
      </c>
      <c r="E11" t="s">
        <v>13</v>
      </c>
      <c r="F11">
        <v>1503.61</v>
      </c>
      <c r="G11" t="s">
        <v>14</v>
      </c>
      <c r="H11" t="s">
        <v>11</v>
      </c>
    </row>
    <row r="12" spans="1:8" hidden="1" x14ac:dyDescent="0.2">
      <c r="A12" s="1">
        <v>44530</v>
      </c>
      <c r="B12">
        <v>-1099.19</v>
      </c>
      <c r="C12">
        <v>299201631</v>
      </c>
      <c r="D12" t="s">
        <v>15</v>
      </c>
      <c r="E12" t="s">
        <v>16</v>
      </c>
      <c r="F12">
        <v>404.42</v>
      </c>
      <c r="G12" t="s">
        <v>10</v>
      </c>
      <c r="H12" t="s">
        <v>11</v>
      </c>
    </row>
    <row r="13" spans="1:8" hidden="1" x14ac:dyDescent="0.2">
      <c r="A13" s="1">
        <v>44559</v>
      </c>
      <c r="B13">
        <v>-1133.1199999999999</v>
      </c>
      <c r="C13">
        <v>299201631</v>
      </c>
      <c r="D13" t="s">
        <v>8</v>
      </c>
      <c r="E13" t="s">
        <v>9</v>
      </c>
      <c r="F13">
        <v>170.81</v>
      </c>
      <c r="G13" t="s">
        <v>10</v>
      </c>
      <c r="H13" t="s">
        <v>11</v>
      </c>
    </row>
    <row r="14" spans="1:8" hidden="1" x14ac:dyDescent="0.2">
      <c r="A14" s="1">
        <v>44588</v>
      </c>
      <c r="B14">
        <v>-1161.6500000000001</v>
      </c>
      <c r="C14">
        <v>299201631</v>
      </c>
      <c r="D14" t="s">
        <v>8</v>
      </c>
      <c r="E14" t="s">
        <v>9</v>
      </c>
      <c r="F14">
        <v>338.72</v>
      </c>
      <c r="G14" t="s">
        <v>10</v>
      </c>
      <c r="H14" t="s">
        <v>11</v>
      </c>
    </row>
    <row r="15" spans="1:8" hidden="1" x14ac:dyDescent="0.2">
      <c r="A15" s="1">
        <v>44620</v>
      </c>
      <c r="B15">
        <v>-1161.6500000000001</v>
      </c>
      <c r="C15">
        <v>299201631</v>
      </c>
      <c r="D15" t="s">
        <v>8</v>
      </c>
      <c r="E15" t="s">
        <v>9</v>
      </c>
      <c r="F15">
        <v>-43.38</v>
      </c>
      <c r="G15" t="s">
        <v>10</v>
      </c>
      <c r="H15" t="s">
        <v>11</v>
      </c>
    </row>
    <row r="16" spans="1:8" hidden="1" x14ac:dyDescent="0.2">
      <c r="A16" s="1">
        <v>44648</v>
      </c>
      <c r="B16">
        <v>-1049.23</v>
      </c>
      <c r="C16">
        <v>299201631</v>
      </c>
      <c r="D16" t="s">
        <v>8</v>
      </c>
      <c r="E16" t="s">
        <v>9</v>
      </c>
      <c r="F16">
        <v>57.89</v>
      </c>
      <c r="G16" t="s">
        <v>10</v>
      </c>
      <c r="H16" t="s">
        <v>11</v>
      </c>
    </row>
    <row r="17" spans="1:8" hidden="1" x14ac:dyDescent="0.2">
      <c r="A17" s="1">
        <v>44651</v>
      </c>
      <c r="B17">
        <v>0.01</v>
      </c>
      <c r="C17">
        <v>299201631</v>
      </c>
      <c r="D17" t="s">
        <v>17</v>
      </c>
      <c r="E17" t="s">
        <v>18</v>
      </c>
      <c r="F17">
        <v>0.9</v>
      </c>
      <c r="G17" t="s">
        <v>14</v>
      </c>
      <c r="H17" t="s">
        <v>11</v>
      </c>
    </row>
    <row r="18" spans="1:8" hidden="1" x14ac:dyDescent="0.2">
      <c r="A18" s="1">
        <v>44677</v>
      </c>
      <c r="B18">
        <v>-1161.6500000000001</v>
      </c>
      <c r="C18">
        <v>299201631</v>
      </c>
      <c r="D18" t="s">
        <v>8</v>
      </c>
      <c r="E18" t="s">
        <v>9</v>
      </c>
      <c r="F18">
        <v>18.84</v>
      </c>
      <c r="G18" t="s">
        <v>10</v>
      </c>
      <c r="H18" t="s">
        <v>11</v>
      </c>
    </row>
    <row r="19" spans="1:8" hidden="1" x14ac:dyDescent="0.2">
      <c r="A19" s="1">
        <v>44707</v>
      </c>
      <c r="B19">
        <v>-1124.17</v>
      </c>
      <c r="C19">
        <v>299201631</v>
      </c>
      <c r="D19" t="s">
        <v>8</v>
      </c>
      <c r="E19" t="s">
        <v>9</v>
      </c>
      <c r="F19">
        <v>164.26</v>
      </c>
      <c r="G19" t="s">
        <v>10</v>
      </c>
      <c r="H19" t="s">
        <v>11</v>
      </c>
    </row>
    <row r="20" spans="1:8" hidden="1" x14ac:dyDescent="0.2">
      <c r="A20" s="1">
        <v>44739</v>
      </c>
      <c r="B20">
        <v>-1161.6500000000001</v>
      </c>
      <c r="C20">
        <v>299201631</v>
      </c>
      <c r="D20" t="s">
        <v>8</v>
      </c>
      <c r="E20" t="s">
        <v>19</v>
      </c>
      <c r="F20">
        <v>-1128.6400000000001</v>
      </c>
      <c r="G20" t="s">
        <v>20</v>
      </c>
      <c r="H20" t="s">
        <v>11</v>
      </c>
    </row>
    <row r="21" spans="1:8" hidden="1" x14ac:dyDescent="0.2">
      <c r="A21" s="1">
        <v>44740</v>
      </c>
      <c r="B21">
        <v>1161.6500000000001</v>
      </c>
      <c r="C21">
        <v>299201631</v>
      </c>
      <c r="D21" t="s">
        <v>12</v>
      </c>
      <c r="E21" t="s">
        <v>13</v>
      </c>
      <c r="F21">
        <v>33.01</v>
      </c>
      <c r="G21" t="s">
        <v>14</v>
      </c>
      <c r="H21" t="s">
        <v>11</v>
      </c>
    </row>
    <row r="22" spans="1:8" hidden="1" x14ac:dyDescent="0.2">
      <c r="A22" s="1">
        <v>44741</v>
      </c>
      <c r="B22">
        <v>-1161.6500000000001</v>
      </c>
      <c r="C22">
        <v>299201631</v>
      </c>
      <c r="D22" t="s">
        <v>15</v>
      </c>
      <c r="E22" t="s">
        <v>21</v>
      </c>
      <c r="F22">
        <v>371.36</v>
      </c>
      <c r="G22" t="s">
        <v>10</v>
      </c>
      <c r="H22" t="s">
        <v>11</v>
      </c>
    </row>
    <row r="23" spans="1:8" hidden="1" x14ac:dyDescent="0.2">
      <c r="A23" s="1">
        <v>44396</v>
      </c>
      <c r="B23">
        <v>500</v>
      </c>
      <c r="C23">
        <v>299201631</v>
      </c>
      <c r="D23" t="s">
        <v>22</v>
      </c>
      <c r="E23" t="s">
        <v>23</v>
      </c>
      <c r="F23">
        <v>479.69</v>
      </c>
      <c r="G23" t="s">
        <v>14</v>
      </c>
      <c r="H23" t="s">
        <v>24</v>
      </c>
    </row>
    <row r="24" spans="1:8" hidden="1" x14ac:dyDescent="0.2">
      <c r="A24" s="1">
        <v>44399</v>
      </c>
      <c r="B24">
        <v>20</v>
      </c>
      <c r="C24">
        <v>299201631</v>
      </c>
      <c r="D24" t="s">
        <v>22</v>
      </c>
      <c r="E24" t="s">
        <v>25</v>
      </c>
      <c r="F24">
        <v>599.69000000000005</v>
      </c>
      <c r="G24" t="s">
        <v>14</v>
      </c>
      <c r="H24" t="s">
        <v>24</v>
      </c>
    </row>
    <row r="25" spans="1:8" hidden="1" x14ac:dyDescent="0.2">
      <c r="A25" s="1">
        <v>44399</v>
      </c>
      <c r="B25">
        <v>100</v>
      </c>
      <c r="C25">
        <v>299201631</v>
      </c>
      <c r="D25" t="s">
        <v>22</v>
      </c>
      <c r="E25" t="s">
        <v>26</v>
      </c>
      <c r="F25">
        <v>579.69000000000005</v>
      </c>
      <c r="G25" t="s">
        <v>14</v>
      </c>
      <c r="H25" t="s">
        <v>24</v>
      </c>
    </row>
    <row r="26" spans="1:8" hidden="1" x14ac:dyDescent="0.2">
      <c r="A26" s="1">
        <v>44403</v>
      </c>
      <c r="B26">
        <v>400</v>
      </c>
      <c r="C26">
        <v>299201631</v>
      </c>
      <c r="D26" t="s">
        <v>22</v>
      </c>
      <c r="E26" t="s">
        <v>27</v>
      </c>
      <c r="F26">
        <v>1109.69</v>
      </c>
      <c r="G26" t="s">
        <v>14</v>
      </c>
      <c r="H26" t="s">
        <v>24</v>
      </c>
    </row>
    <row r="27" spans="1:8" hidden="1" x14ac:dyDescent="0.2">
      <c r="A27" s="1">
        <v>44403</v>
      </c>
      <c r="B27">
        <v>700</v>
      </c>
      <c r="C27">
        <v>299201631</v>
      </c>
      <c r="D27" t="s">
        <v>22</v>
      </c>
      <c r="E27" t="s">
        <v>28</v>
      </c>
      <c r="F27">
        <v>709.69</v>
      </c>
      <c r="G27" t="s">
        <v>14</v>
      </c>
      <c r="H27" t="s">
        <v>24</v>
      </c>
    </row>
    <row r="28" spans="1:8" hidden="1" x14ac:dyDescent="0.2">
      <c r="A28" s="1">
        <v>44431</v>
      </c>
      <c r="B28">
        <v>580</v>
      </c>
      <c r="C28">
        <v>299201631</v>
      </c>
      <c r="D28" t="s">
        <v>22</v>
      </c>
      <c r="E28" t="s">
        <v>29</v>
      </c>
      <c r="F28">
        <v>598.03</v>
      </c>
      <c r="G28" t="s">
        <v>14</v>
      </c>
      <c r="H28" t="s">
        <v>24</v>
      </c>
    </row>
    <row r="29" spans="1:8" hidden="1" x14ac:dyDescent="0.2">
      <c r="A29" s="1">
        <v>44438</v>
      </c>
      <c r="B29">
        <v>1100</v>
      </c>
      <c r="C29">
        <v>299201631</v>
      </c>
      <c r="D29" t="s">
        <v>22</v>
      </c>
      <c r="E29" t="s">
        <v>30</v>
      </c>
      <c r="F29">
        <v>1108.03</v>
      </c>
      <c r="G29" t="s">
        <v>14</v>
      </c>
      <c r="H29" t="s">
        <v>24</v>
      </c>
    </row>
    <row r="30" spans="1:8" hidden="1" x14ac:dyDescent="0.2">
      <c r="A30" s="1">
        <v>44445</v>
      </c>
      <c r="B30">
        <v>250</v>
      </c>
      <c r="C30">
        <v>299201631</v>
      </c>
      <c r="D30" t="s">
        <v>22</v>
      </c>
      <c r="E30" t="s">
        <v>31</v>
      </c>
      <c r="F30">
        <v>258.83999999999997</v>
      </c>
      <c r="G30" t="s">
        <v>14</v>
      </c>
      <c r="H30" t="s">
        <v>24</v>
      </c>
    </row>
    <row r="31" spans="1:8" hidden="1" x14ac:dyDescent="0.2">
      <c r="A31" s="1">
        <v>44453</v>
      </c>
      <c r="B31">
        <v>220</v>
      </c>
      <c r="C31">
        <v>299201631</v>
      </c>
      <c r="D31" t="s">
        <v>22</v>
      </c>
      <c r="E31" t="s">
        <v>32</v>
      </c>
      <c r="F31">
        <v>600.91</v>
      </c>
      <c r="G31" t="s">
        <v>14</v>
      </c>
      <c r="H31" t="s">
        <v>24</v>
      </c>
    </row>
    <row r="32" spans="1:8" hidden="1" x14ac:dyDescent="0.2">
      <c r="A32" s="1">
        <v>44453</v>
      </c>
      <c r="B32">
        <v>400</v>
      </c>
      <c r="C32">
        <v>299201631</v>
      </c>
      <c r="D32" t="s">
        <v>22</v>
      </c>
      <c r="E32" t="s">
        <v>33</v>
      </c>
      <c r="F32">
        <v>380.91</v>
      </c>
      <c r="G32" t="s">
        <v>14</v>
      </c>
      <c r="H32" t="s">
        <v>24</v>
      </c>
    </row>
    <row r="33" spans="1:8" hidden="1" x14ac:dyDescent="0.2">
      <c r="A33" s="1">
        <v>44470</v>
      </c>
      <c r="B33">
        <v>1400</v>
      </c>
      <c r="C33">
        <v>299201631</v>
      </c>
      <c r="D33" t="s">
        <v>22</v>
      </c>
      <c r="E33" t="s">
        <v>34</v>
      </c>
      <c r="F33">
        <v>1410.91</v>
      </c>
      <c r="G33" t="s">
        <v>14</v>
      </c>
      <c r="H33" t="s">
        <v>24</v>
      </c>
    </row>
    <row r="34" spans="1:8" hidden="1" x14ac:dyDescent="0.2">
      <c r="A34" s="1">
        <v>44487</v>
      </c>
      <c r="B34">
        <v>600</v>
      </c>
      <c r="C34">
        <v>299201631</v>
      </c>
      <c r="D34" t="s">
        <v>22</v>
      </c>
      <c r="E34" t="s">
        <v>35</v>
      </c>
      <c r="F34">
        <v>669.43</v>
      </c>
      <c r="G34" t="s">
        <v>14</v>
      </c>
      <c r="H34" t="s">
        <v>24</v>
      </c>
    </row>
    <row r="35" spans="1:8" hidden="1" x14ac:dyDescent="0.2">
      <c r="A35" s="1">
        <v>44490</v>
      </c>
      <c r="B35">
        <v>500</v>
      </c>
      <c r="C35">
        <v>299201631</v>
      </c>
      <c r="D35" t="s">
        <v>36</v>
      </c>
      <c r="E35" t="s">
        <v>37</v>
      </c>
      <c r="F35">
        <v>1579.43</v>
      </c>
      <c r="G35" t="s">
        <v>14</v>
      </c>
      <c r="H35" t="s">
        <v>24</v>
      </c>
    </row>
    <row r="36" spans="1:8" hidden="1" x14ac:dyDescent="0.2">
      <c r="A36" s="1">
        <v>44490</v>
      </c>
      <c r="B36">
        <v>1000</v>
      </c>
      <c r="C36">
        <v>299201631</v>
      </c>
      <c r="D36" t="s">
        <v>22</v>
      </c>
      <c r="E36" t="s">
        <v>38</v>
      </c>
      <c r="F36">
        <v>1079.43</v>
      </c>
      <c r="G36" t="s">
        <v>14</v>
      </c>
      <c r="H36" t="s">
        <v>24</v>
      </c>
    </row>
    <row r="37" spans="1:8" hidden="1" x14ac:dyDescent="0.2">
      <c r="A37" s="1">
        <v>44494</v>
      </c>
      <c r="B37">
        <v>1100</v>
      </c>
      <c r="C37">
        <v>299201631</v>
      </c>
      <c r="D37" t="s">
        <v>22</v>
      </c>
      <c r="E37" t="s">
        <v>39</v>
      </c>
      <c r="F37">
        <v>1129.43</v>
      </c>
      <c r="G37" t="s">
        <v>14</v>
      </c>
      <c r="H37" t="s">
        <v>24</v>
      </c>
    </row>
    <row r="38" spans="1:8" hidden="1" x14ac:dyDescent="0.2">
      <c r="A38" s="1">
        <v>44512</v>
      </c>
      <c r="B38">
        <v>100</v>
      </c>
      <c r="C38">
        <v>299201631</v>
      </c>
      <c r="D38" t="s">
        <v>22</v>
      </c>
      <c r="E38" t="s">
        <v>40</v>
      </c>
      <c r="F38">
        <v>727.53</v>
      </c>
      <c r="G38" t="s">
        <v>14</v>
      </c>
      <c r="H38" t="s">
        <v>24</v>
      </c>
    </row>
    <row r="39" spans="1:8" hidden="1" x14ac:dyDescent="0.2">
      <c r="A39" s="1">
        <v>44512</v>
      </c>
      <c r="B39">
        <v>590</v>
      </c>
      <c r="C39">
        <v>299201631</v>
      </c>
      <c r="D39" t="s">
        <v>22</v>
      </c>
      <c r="E39" t="s">
        <v>41</v>
      </c>
      <c r="F39">
        <v>627.53</v>
      </c>
      <c r="G39" t="s">
        <v>14</v>
      </c>
      <c r="H39" t="s">
        <v>24</v>
      </c>
    </row>
    <row r="40" spans="1:8" hidden="1" x14ac:dyDescent="0.2">
      <c r="A40" s="1">
        <v>44529</v>
      </c>
      <c r="B40">
        <v>1500</v>
      </c>
      <c r="C40">
        <v>299201631</v>
      </c>
      <c r="D40" t="s">
        <v>22</v>
      </c>
      <c r="E40" t="s">
        <v>42</v>
      </c>
      <c r="F40">
        <v>404.42</v>
      </c>
      <c r="G40" t="s">
        <v>14</v>
      </c>
      <c r="H40" t="s">
        <v>24</v>
      </c>
    </row>
    <row r="41" spans="1:8" hidden="1" x14ac:dyDescent="0.2">
      <c r="A41" s="1">
        <v>44543</v>
      </c>
      <c r="B41">
        <v>300</v>
      </c>
      <c r="C41">
        <v>299201631</v>
      </c>
      <c r="D41" t="s">
        <v>22</v>
      </c>
      <c r="E41" t="s">
        <v>43</v>
      </c>
      <c r="F41">
        <v>673.93</v>
      </c>
      <c r="G41" t="s">
        <v>14</v>
      </c>
      <c r="H41" t="s">
        <v>24</v>
      </c>
    </row>
    <row r="42" spans="1:8" hidden="1" x14ac:dyDescent="0.2">
      <c r="A42" s="1">
        <v>44546</v>
      </c>
      <c r="B42">
        <v>20</v>
      </c>
      <c r="C42">
        <v>299201631</v>
      </c>
      <c r="D42" t="s">
        <v>22</v>
      </c>
      <c r="E42" t="s">
        <v>44</v>
      </c>
      <c r="F42">
        <v>593.92999999999995</v>
      </c>
      <c r="G42" t="s">
        <v>14</v>
      </c>
      <c r="H42" t="s">
        <v>24</v>
      </c>
    </row>
    <row r="43" spans="1:8" hidden="1" x14ac:dyDescent="0.2">
      <c r="A43" s="1">
        <v>44554</v>
      </c>
      <c r="B43">
        <v>1500</v>
      </c>
      <c r="C43">
        <v>299201631</v>
      </c>
      <c r="D43" t="s">
        <v>22</v>
      </c>
      <c r="E43" t="s">
        <v>45</v>
      </c>
      <c r="F43">
        <v>1503.93</v>
      </c>
      <c r="G43" t="s">
        <v>14</v>
      </c>
      <c r="H43" t="s">
        <v>24</v>
      </c>
    </row>
    <row r="44" spans="1:8" hidden="1" x14ac:dyDescent="0.2">
      <c r="A44" s="1">
        <v>44559</v>
      </c>
      <c r="B44">
        <v>865</v>
      </c>
      <c r="C44">
        <v>299201631</v>
      </c>
      <c r="D44" t="s">
        <v>22</v>
      </c>
      <c r="E44" t="s">
        <v>46</v>
      </c>
      <c r="F44">
        <v>2368.9299999999998</v>
      </c>
      <c r="G44" t="s">
        <v>14</v>
      </c>
      <c r="H44" t="s">
        <v>24</v>
      </c>
    </row>
    <row r="45" spans="1:8" hidden="1" x14ac:dyDescent="0.2">
      <c r="A45" s="1">
        <v>44571</v>
      </c>
      <c r="B45">
        <v>100</v>
      </c>
      <c r="C45">
        <v>299201631</v>
      </c>
      <c r="D45" t="s">
        <v>22</v>
      </c>
      <c r="E45" t="s">
        <v>47</v>
      </c>
      <c r="F45">
        <v>790.37</v>
      </c>
      <c r="G45" t="s">
        <v>14</v>
      </c>
      <c r="H45" t="s">
        <v>24</v>
      </c>
    </row>
    <row r="46" spans="1:8" hidden="1" x14ac:dyDescent="0.2">
      <c r="A46" s="1">
        <v>44571</v>
      </c>
      <c r="B46">
        <v>550</v>
      </c>
      <c r="C46">
        <v>299201631</v>
      </c>
      <c r="D46" t="s">
        <v>22</v>
      </c>
      <c r="E46" t="s">
        <v>48</v>
      </c>
      <c r="F46">
        <v>690.37</v>
      </c>
      <c r="G46" t="s">
        <v>14</v>
      </c>
      <c r="H46" t="s">
        <v>24</v>
      </c>
    </row>
    <row r="47" spans="1:8" hidden="1" x14ac:dyDescent="0.2">
      <c r="A47" s="1">
        <v>44585</v>
      </c>
      <c r="B47">
        <v>1400</v>
      </c>
      <c r="C47">
        <v>299201631</v>
      </c>
      <c r="D47" t="s">
        <v>22</v>
      </c>
      <c r="E47" t="s">
        <v>49</v>
      </c>
      <c r="F47">
        <v>1500.37</v>
      </c>
      <c r="G47" t="s">
        <v>14</v>
      </c>
      <c r="H47" t="s">
        <v>24</v>
      </c>
    </row>
    <row r="48" spans="1:8" hidden="1" x14ac:dyDescent="0.2">
      <c r="A48" s="1">
        <v>44603</v>
      </c>
      <c r="B48">
        <v>300</v>
      </c>
      <c r="C48">
        <v>299201631</v>
      </c>
      <c r="D48" t="s">
        <v>22</v>
      </c>
      <c r="E48" t="s">
        <v>50</v>
      </c>
      <c r="F48">
        <v>608.27</v>
      </c>
      <c r="G48" t="s">
        <v>14</v>
      </c>
      <c r="H48" t="s">
        <v>24</v>
      </c>
    </row>
    <row r="49" spans="1:8" hidden="1" x14ac:dyDescent="0.2">
      <c r="A49" s="1">
        <v>44617</v>
      </c>
      <c r="B49">
        <v>1100</v>
      </c>
      <c r="C49">
        <v>299201631</v>
      </c>
      <c r="D49" t="s">
        <v>22</v>
      </c>
      <c r="E49" t="s">
        <v>51</v>
      </c>
      <c r="F49">
        <v>1118.27</v>
      </c>
      <c r="G49" t="s">
        <v>14</v>
      </c>
      <c r="H49" t="s">
        <v>24</v>
      </c>
    </row>
    <row r="50" spans="1:8" hidden="1" x14ac:dyDescent="0.2">
      <c r="A50" s="1">
        <v>44621</v>
      </c>
      <c r="B50">
        <v>50</v>
      </c>
      <c r="C50">
        <v>299201631</v>
      </c>
      <c r="D50" t="s">
        <v>22</v>
      </c>
      <c r="E50" t="s">
        <v>52</v>
      </c>
      <c r="F50">
        <v>6.62</v>
      </c>
      <c r="G50" t="s">
        <v>14</v>
      </c>
      <c r="H50" t="s">
        <v>24</v>
      </c>
    </row>
    <row r="51" spans="1:8" hidden="1" x14ac:dyDescent="0.2">
      <c r="A51" s="1">
        <v>44630</v>
      </c>
      <c r="B51">
        <v>620</v>
      </c>
      <c r="C51">
        <v>299201631</v>
      </c>
      <c r="D51" t="s">
        <v>22</v>
      </c>
      <c r="E51" t="s">
        <v>53</v>
      </c>
      <c r="F51">
        <v>596.16999999999996</v>
      </c>
      <c r="G51" t="s">
        <v>14</v>
      </c>
      <c r="H51" t="s">
        <v>24</v>
      </c>
    </row>
    <row r="52" spans="1:8" hidden="1" x14ac:dyDescent="0.2">
      <c r="A52" s="1">
        <v>44631</v>
      </c>
      <c r="B52">
        <v>830</v>
      </c>
      <c r="C52">
        <v>299201631</v>
      </c>
      <c r="D52" t="s">
        <v>22</v>
      </c>
      <c r="E52" t="s">
        <v>54</v>
      </c>
      <c r="F52">
        <v>1426.17</v>
      </c>
      <c r="G52" t="s">
        <v>14</v>
      </c>
      <c r="H52" t="s">
        <v>24</v>
      </c>
    </row>
    <row r="53" spans="1:8" hidden="1" x14ac:dyDescent="0.2">
      <c r="A53" s="1">
        <v>44637</v>
      </c>
      <c r="B53">
        <v>590</v>
      </c>
      <c r="C53">
        <v>299201631</v>
      </c>
      <c r="D53" t="s">
        <v>22</v>
      </c>
      <c r="E53" t="s">
        <v>55</v>
      </c>
      <c r="F53">
        <v>597.12</v>
      </c>
      <c r="G53" t="s">
        <v>14</v>
      </c>
      <c r="H53" t="s">
        <v>24</v>
      </c>
    </row>
    <row r="54" spans="1:8" hidden="1" x14ac:dyDescent="0.2">
      <c r="A54" s="1">
        <v>44645</v>
      </c>
      <c r="B54">
        <v>500</v>
      </c>
      <c r="C54">
        <v>299201631</v>
      </c>
      <c r="D54" t="s">
        <v>22</v>
      </c>
      <c r="E54" t="s">
        <v>56</v>
      </c>
      <c r="F54">
        <v>1107.1199999999999</v>
      </c>
      <c r="G54" t="s">
        <v>14</v>
      </c>
      <c r="H54" t="s">
        <v>24</v>
      </c>
    </row>
    <row r="55" spans="1:8" hidden="1" x14ac:dyDescent="0.2">
      <c r="A55" s="1">
        <v>44645</v>
      </c>
      <c r="B55">
        <v>600</v>
      </c>
      <c r="C55">
        <v>299201631</v>
      </c>
      <c r="D55" t="s">
        <v>22</v>
      </c>
      <c r="E55" t="s">
        <v>57</v>
      </c>
      <c r="F55">
        <v>607.12</v>
      </c>
      <c r="G55" t="s">
        <v>14</v>
      </c>
      <c r="H55" t="s">
        <v>24</v>
      </c>
    </row>
    <row r="56" spans="1:8" hidden="1" x14ac:dyDescent="0.2">
      <c r="A56" s="1">
        <v>44663</v>
      </c>
      <c r="B56">
        <v>300</v>
      </c>
      <c r="C56">
        <v>299201631</v>
      </c>
      <c r="D56" t="s">
        <v>22</v>
      </c>
      <c r="E56" t="s">
        <v>58</v>
      </c>
      <c r="F56">
        <v>270.49</v>
      </c>
      <c r="G56" t="s">
        <v>14</v>
      </c>
      <c r="H56" t="s">
        <v>24</v>
      </c>
    </row>
    <row r="57" spans="1:8" hidden="1" x14ac:dyDescent="0.2">
      <c r="A57" s="1">
        <v>44670</v>
      </c>
      <c r="B57">
        <v>320</v>
      </c>
      <c r="C57">
        <v>299201631</v>
      </c>
      <c r="D57" t="s">
        <v>22</v>
      </c>
      <c r="E57" t="s">
        <v>59</v>
      </c>
      <c r="F57">
        <v>590.49</v>
      </c>
      <c r="G57" t="s">
        <v>14</v>
      </c>
      <c r="H57" t="s">
        <v>24</v>
      </c>
    </row>
    <row r="58" spans="1:8" hidden="1" x14ac:dyDescent="0.2">
      <c r="A58" s="1">
        <v>44677</v>
      </c>
      <c r="B58">
        <v>80</v>
      </c>
      <c r="C58">
        <v>299201631</v>
      </c>
      <c r="D58" t="s">
        <v>22</v>
      </c>
      <c r="E58" t="s">
        <v>60</v>
      </c>
      <c r="F58">
        <v>1180.49</v>
      </c>
      <c r="G58" t="s">
        <v>14</v>
      </c>
      <c r="H58" t="s">
        <v>24</v>
      </c>
    </row>
    <row r="59" spans="1:8" hidden="1" x14ac:dyDescent="0.2">
      <c r="A59" s="1">
        <v>44677</v>
      </c>
      <c r="B59">
        <v>1100</v>
      </c>
      <c r="C59">
        <v>299201631</v>
      </c>
      <c r="D59" t="s">
        <v>22</v>
      </c>
      <c r="E59" t="s">
        <v>61</v>
      </c>
      <c r="F59">
        <v>1100.49</v>
      </c>
      <c r="G59" t="s">
        <v>14</v>
      </c>
      <c r="H59" t="s">
        <v>24</v>
      </c>
    </row>
    <row r="60" spans="1:8" hidden="1" x14ac:dyDescent="0.2">
      <c r="A60" s="1">
        <v>44692</v>
      </c>
      <c r="B60">
        <v>590</v>
      </c>
      <c r="C60">
        <v>299201631</v>
      </c>
      <c r="D60" t="s">
        <v>22</v>
      </c>
      <c r="E60" t="s">
        <v>62</v>
      </c>
      <c r="F60">
        <v>578.42999999999995</v>
      </c>
      <c r="G60" t="s">
        <v>14</v>
      </c>
      <c r="H60" t="s">
        <v>24</v>
      </c>
    </row>
    <row r="61" spans="1:8" hidden="1" x14ac:dyDescent="0.2">
      <c r="A61" s="1">
        <v>44706</v>
      </c>
      <c r="B61">
        <v>1300</v>
      </c>
      <c r="C61">
        <v>299201631</v>
      </c>
      <c r="D61" t="s">
        <v>22</v>
      </c>
      <c r="E61" t="s">
        <v>63</v>
      </c>
      <c r="F61">
        <v>1288.43</v>
      </c>
      <c r="G61" t="s">
        <v>14</v>
      </c>
      <c r="H61" t="s">
        <v>24</v>
      </c>
    </row>
    <row r="62" spans="1:8" hidden="1" x14ac:dyDescent="0.2">
      <c r="A62" s="1">
        <v>44720</v>
      </c>
      <c r="B62">
        <v>590</v>
      </c>
      <c r="C62">
        <v>299201631</v>
      </c>
      <c r="D62" t="s">
        <v>22</v>
      </c>
      <c r="E62" t="s">
        <v>64</v>
      </c>
      <c r="F62">
        <v>590.85</v>
      </c>
      <c r="G62" t="s">
        <v>14</v>
      </c>
      <c r="H62" t="s">
        <v>24</v>
      </c>
    </row>
    <row r="63" spans="1:8" hidden="1" x14ac:dyDescent="0.2">
      <c r="A63" s="1">
        <v>44726</v>
      </c>
      <c r="B63">
        <v>300</v>
      </c>
      <c r="C63">
        <v>299201631</v>
      </c>
      <c r="D63" t="s">
        <v>22</v>
      </c>
      <c r="E63" t="s">
        <v>65</v>
      </c>
      <c r="F63">
        <v>890.85</v>
      </c>
      <c r="G63" t="s">
        <v>14</v>
      </c>
      <c r="H63" t="s">
        <v>24</v>
      </c>
    </row>
    <row r="64" spans="1:8" hidden="1" x14ac:dyDescent="0.2">
      <c r="A64" s="1">
        <v>44740</v>
      </c>
      <c r="B64">
        <v>1500</v>
      </c>
      <c r="C64">
        <v>299201631</v>
      </c>
      <c r="D64" t="s">
        <v>22</v>
      </c>
      <c r="E64" t="s">
        <v>66</v>
      </c>
      <c r="F64">
        <v>1533.01</v>
      </c>
      <c r="G64" t="s">
        <v>14</v>
      </c>
      <c r="H64" t="s">
        <v>24</v>
      </c>
    </row>
    <row r="65" spans="1:8" hidden="1" x14ac:dyDescent="0.2">
      <c r="A65" s="1">
        <v>44399</v>
      </c>
      <c r="B65">
        <v>-590</v>
      </c>
      <c r="C65">
        <v>299201631</v>
      </c>
      <c r="D65" t="s">
        <v>15</v>
      </c>
      <c r="E65" t="s">
        <v>67</v>
      </c>
      <c r="F65">
        <v>9.69</v>
      </c>
      <c r="G65" t="s">
        <v>10</v>
      </c>
      <c r="H65" t="s">
        <v>68</v>
      </c>
    </row>
    <row r="66" spans="1:8" hidden="1" x14ac:dyDescent="0.2">
      <c r="A66" s="1">
        <v>44431</v>
      </c>
      <c r="B66">
        <v>-590</v>
      </c>
      <c r="C66">
        <v>299201631</v>
      </c>
      <c r="D66" t="s">
        <v>15</v>
      </c>
      <c r="E66" t="s">
        <v>67</v>
      </c>
      <c r="F66">
        <v>8.0299999999999994</v>
      </c>
      <c r="G66" t="s">
        <v>10</v>
      </c>
      <c r="H66" t="s">
        <v>68</v>
      </c>
    </row>
    <row r="67" spans="1:8" hidden="1" x14ac:dyDescent="0.2">
      <c r="A67" s="1">
        <v>44456</v>
      </c>
      <c r="B67">
        <v>-590</v>
      </c>
      <c r="C67">
        <v>299201631</v>
      </c>
      <c r="D67" t="s">
        <v>15</v>
      </c>
      <c r="E67" t="s">
        <v>67</v>
      </c>
      <c r="F67">
        <v>10.91</v>
      </c>
      <c r="G67" t="s">
        <v>10</v>
      </c>
      <c r="H67" t="s">
        <v>68</v>
      </c>
    </row>
    <row r="68" spans="1:8" hidden="1" x14ac:dyDescent="0.2">
      <c r="A68" s="1">
        <v>44487</v>
      </c>
      <c r="B68">
        <v>-590</v>
      </c>
      <c r="C68">
        <v>299201631</v>
      </c>
      <c r="D68" t="s">
        <v>15</v>
      </c>
      <c r="E68" t="s">
        <v>67</v>
      </c>
      <c r="F68">
        <v>79.430000000000007</v>
      </c>
      <c r="G68" t="s">
        <v>10</v>
      </c>
      <c r="H68" t="s">
        <v>68</v>
      </c>
    </row>
    <row r="69" spans="1:8" hidden="1" x14ac:dyDescent="0.2">
      <c r="A69" s="1">
        <v>44517</v>
      </c>
      <c r="B69">
        <v>-590</v>
      </c>
      <c r="C69">
        <v>299201631</v>
      </c>
      <c r="D69" t="s">
        <v>15</v>
      </c>
      <c r="E69" t="s">
        <v>67</v>
      </c>
      <c r="F69">
        <v>3.61</v>
      </c>
      <c r="G69" t="s">
        <v>10</v>
      </c>
      <c r="H69" t="s">
        <v>68</v>
      </c>
    </row>
    <row r="70" spans="1:8" hidden="1" x14ac:dyDescent="0.2">
      <c r="A70" s="1">
        <v>44547</v>
      </c>
      <c r="B70">
        <v>-590</v>
      </c>
      <c r="C70">
        <v>299201631</v>
      </c>
      <c r="D70" t="s">
        <v>15</v>
      </c>
      <c r="E70" t="s">
        <v>67</v>
      </c>
      <c r="F70">
        <v>3.93</v>
      </c>
      <c r="G70" t="s">
        <v>10</v>
      </c>
      <c r="H70" t="s">
        <v>68</v>
      </c>
    </row>
    <row r="71" spans="1:8" hidden="1" x14ac:dyDescent="0.2">
      <c r="A71" s="1">
        <v>44578</v>
      </c>
      <c r="B71">
        <v>-590</v>
      </c>
      <c r="C71">
        <v>299201631</v>
      </c>
      <c r="D71" t="s">
        <v>15</v>
      </c>
      <c r="E71" t="s">
        <v>67</v>
      </c>
      <c r="F71">
        <v>100.37</v>
      </c>
      <c r="G71" t="s">
        <v>10</v>
      </c>
      <c r="H71" t="s">
        <v>68</v>
      </c>
    </row>
    <row r="72" spans="1:8" hidden="1" x14ac:dyDescent="0.2">
      <c r="A72" s="1">
        <v>44609</v>
      </c>
      <c r="B72">
        <v>-590</v>
      </c>
      <c r="C72">
        <v>299201631</v>
      </c>
      <c r="D72" t="s">
        <v>15</v>
      </c>
      <c r="E72" t="s">
        <v>67</v>
      </c>
      <c r="F72">
        <v>18.27</v>
      </c>
      <c r="G72" t="s">
        <v>10</v>
      </c>
      <c r="H72" t="s">
        <v>68</v>
      </c>
    </row>
    <row r="73" spans="1:8" hidden="1" x14ac:dyDescent="0.2">
      <c r="A73" s="1">
        <v>44634</v>
      </c>
      <c r="B73">
        <v>-590</v>
      </c>
      <c r="C73">
        <v>299201631</v>
      </c>
      <c r="D73" t="s">
        <v>15</v>
      </c>
      <c r="E73" t="s">
        <v>69</v>
      </c>
      <c r="F73">
        <v>7.12</v>
      </c>
      <c r="G73" t="s">
        <v>70</v>
      </c>
      <c r="H73" t="s">
        <v>68</v>
      </c>
    </row>
    <row r="74" spans="1:8" hidden="1" x14ac:dyDescent="0.2">
      <c r="A74" s="1">
        <v>44638</v>
      </c>
      <c r="B74">
        <v>-590</v>
      </c>
      <c r="C74">
        <v>299201631</v>
      </c>
      <c r="D74" t="s">
        <v>15</v>
      </c>
      <c r="E74" t="s">
        <v>67</v>
      </c>
      <c r="F74">
        <v>7.12</v>
      </c>
      <c r="G74" t="s">
        <v>10</v>
      </c>
      <c r="H74" t="s">
        <v>68</v>
      </c>
    </row>
    <row r="75" spans="1:8" hidden="1" x14ac:dyDescent="0.2">
      <c r="A75" s="1">
        <v>44649</v>
      </c>
      <c r="B75">
        <v>-57</v>
      </c>
      <c r="C75">
        <v>299201631</v>
      </c>
      <c r="D75" t="s">
        <v>15</v>
      </c>
      <c r="E75" t="s">
        <v>71</v>
      </c>
      <c r="F75">
        <v>0.89</v>
      </c>
      <c r="G75" t="s">
        <v>70</v>
      </c>
      <c r="H75" t="s">
        <v>68</v>
      </c>
    </row>
    <row r="76" spans="1:8" hidden="1" x14ac:dyDescent="0.2">
      <c r="A76" s="1">
        <v>44670</v>
      </c>
      <c r="B76">
        <v>-590</v>
      </c>
      <c r="C76">
        <v>299201631</v>
      </c>
      <c r="D76" t="s">
        <v>15</v>
      </c>
      <c r="E76" t="s">
        <v>67</v>
      </c>
      <c r="F76">
        <v>0.49</v>
      </c>
      <c r="G76" t="s">
        <v>10</v>
      </c>
      <c r="H76" t="s">
        <v>68</v>
      </c>
    </row>
    <row r="77" spans="1:8" hidden="1" x14ac:dyDescent="0.2">
      <c r="A77" s="1">
        <v>44698</v>
      </c>
      <c r="B77">
        <v>-590</v>
      </c>
      <c r="C77">
        <v>299201631</v>
      </c>
      <c r="D77" t="s">
        <v>15</v>
      </c>
      <c r="E77" t="s">
        <v>67</v>
      </c>
      <c r="F77">
        <v>-11.57</v>
      </c>
      <c r="G77" t="s">
        <v>10</v>
      </c>
      <c r="H77" t="s">
        <v>68</v>
      </c>
    </row>
    <row r="78" spans="1:8" hidden="1" x14ac:dyDescent="0.2">
      <c r="A78" s="1">
        <v>44718</v>
      </c>
      <c r="B78">
        <v>-80</v>
      </c>
      <c r="C78">
        <v>299201631</v>
      </c>
      <c r="D78" t="s">
        <v>15</v>
      </c>
      <c r="E78" t="s">
        <v>72</v>
      </c>
      <c r="F78">
        <v>84.26</v>
      </c>
      <c r="G78" t="s">
        <v>10</v>
      </c>
      <c r="H78" t="s">
        <v>68</v>
      </c>
    </row>
    <row r="79" spans="1:8" hidden="1" x14ac:dyDescent="0.2">
      <c r="A79" s="1">
        <v>44719</v>
      </c>
      <c r="B79">
        <v>-53</v>
      </c>
      <c r="C79">
        <v>299201631</v>
      </c>
      <c r="D79" t="s">
        <v>15</v>
      </c>
      <c r="E79" t="s">
        <v>73</v>
      </c>
      <c r="F79">
        <v>0.85</v>
      </c>
      <c r="G79" t="s">
        <v>70</v>
      </c>
      <c r="H79" t="s">
        <v>68</v>
      </c>
    </row>
    <row r="80" spans="1:8" hidden="1" x14ac:dyDescent="0.2">
      <c r="A80" s="1">
        <v>44729</v>
      </c>
      <c r="B80">
        <v>-590</v>
      </c>
      <c r="C80">
        <v>299201631</v>
      </c>
      <c r="D80" t="s">
        <v>15</v>
      </c>
      <c r="E80" t="s">
        <v>67</v>
      </c>
      <c r="F80">
        <v>33.01</v>
      </c>
      <c r="G80" t="s">
        <v>10</v>
      </c>
      <c r="H80" t="s">
        <v>68</v>
      </c>
    </row>
    <row r="81" spans="1:8" x14ac:dyDescent="0.2">
      <c r="A81" s="1">
        <v>44384</v>
      </c>
      <c r="B81">
        <v>-27.93</v>
      </c>
      <c r="C81">
        <v>299201631</v>
      </c>
      <c r="D81" t="s">
        <v>8</v>
      </c>
      <c r="E81" t="s">
        <v>74</v>
      </c>
      <c r="F81">
        <v>-20.309999999999999</v>
      </c>
      <c r="G81" t="s">
        <v>75</v>
      </c>
      <c r="H81" t="s">
        <v>99</v>
      </c>
    </row>
    <row r="82" spans="1:8" x14ac:dyDescent="0.2">
      <c r="A82" s="1">
        <v>44417</v>
      </c>
      <c r="B82">
        <v>-27.93</v>
      </c>
      <c r="C82">
        <v>299201631</v>
      </c>
      <c r="D82" t="s">
        <v>8</v>
      </c>
      <c r="E82" t="s">
        <v>76</v>
      </c>
      <c r="F82">
        <v>18.03</v>
      </c>
      <c r="G82" t="s">
        <v>75</v>
      </c>
      <c r="H82" t="s">
        <v>99</v>
      </c>
    </row>
    <row r="83" spans="1:8" x14ac:dyDescent="0.2">
      <c r="A83" s="1">
        <v>44446</v>
      </c>
      <c r="B83">
        <v>-27.93</v>
      </c>
      <c r="C83">
        <v>299201631</v>
      </c>
      <c r="D83" t="s">
        <v>8</v>
      </c>
      <c r="E83" t="s">
        <v>77</v>
      </c>
      <c r="F83">
        <v>-19.09</v>
      </c>
      <c r="G83" t="s">
        <v>75</v>
      </c>
      <c r="H83" t="s">
        <v>99</v>
      </c>
    </row>
    <row r="84" spans="1:8" x14ac:dyDescent="0.2">
      <c r="A84" s="1">
        <v>44476</v>
      </c>
      <c r="B84">
        <v>-27.93</v>
      </c>
      <c r="C84">
        <v>299201631</v>
      </c>
      <c r="D84" t="s">
        <v>8</v>
      </c>
      <c r="E84" t="s">
        <v>78</v>
      </c>
      <c r="F84">
        <v>69.430000000000007</v>
      </c>
      <c r="G84" t="s">
        <v>75</v>
      </c>
      <c r="H84" t="s">
        <v>99</v>
      </c>
    </row>
    <row r="85" spans="1:8" x14ac:dyDescent="0.2">
      <c r="A85" s="1">
        <v>44508</v>
      </c>
      <c r="B85">
        <v>-27.93</v>
      </c>
      <c r="C85">
        <v>299201631</v>
      </c>
      <c r="D85" t="s">
        <v>8</v>
      </c>
      <c r="E85" t="s">
        <v>79</v>
      </c>
      <c r="F85">
        <v>37.53</v>
      </c>
      <c r="G85" t="s">
        <v>75</v>
      </c>
      <c r="H85" t="s">
        <v>99</v>
      </c>
    </row>
    <row r="86" spans="1:8" x14ac:dyDescent="0.2">
      <c r="A86" s="1">
        <v>44537</v>
      </c>
      <c r="B86">
        <v>-30.49</v>
      </c>
      <c r="C86">
        <v>299201631</v>
      </c>
      <c r="D86" t="s">
        <v>8</v>
      </c>
      <c r="E86" t="s">
        <v>80</v>
      </c>
      <c r="F86">
        <v>373.93</v>
      </c>
      <c r="G86" t="s">
        <v>75</v>
      </c>
      <c r="H86" t="s">
        <v>99</v>
      </c>
    </row>
    <row r="87" spans="1:8" x14ac:dyDescent="0.2">
      <c r="A87" s="1">
        <v>44568</v>
      </c>
      <c r="B87">
        <v>-30.45</v>
      </c>
      <c r="C87">
        <v>299201631</v>
      </c>
      <c r="D87" t="s">
        <v>8</v>
      </c>
      <c r="E87" t="s">
        <v>81</v>
      </c>
      <c r="F87">
        <v>140.37</v>
      </c>
      <c r="G87" t="s">
        <v>75</v>
      </c>
      <c r="H87" t="s">
        <v>99</v>
      </c>
    </row>
    <row r="88" spans="1:8" x14ac:dyDescent="0.2">
      <c r="A88" s="1">
        <v>44599</v>
      </c>
      <c r="B88">
        <v>-30.45</v>
      </c>
      <c r="C88">
        <v>299201631</v>
      </c>
      <c r="D88" t="s">
        <v>8</v>
      </c>
      <c r="E88" t="s">
        <v>82</v>
      </c>
      <c r="F88">
        <v>308.27</v>
      </c>
      <c r="G88" t="s">
        <v>75</v>
      </c>
      <c r="H88" t="s">
        <v>99</v>
      </c>
    </row>
    <row r="89" spans="1:8" x14ac:dyDescent="0.2">
      <c r="A89" s="1">
        <v>44627</v>
      </c>
      <c r="B89">
        <v>-30.45</v>
      </c>
      <c r="C89">
        <v>299201631</v>
      </c>
      <c r="D89" t="s">
        <v>8</v>
      </c>
      <c r="E89" t="s">
        <v>83</v>
      </c>
      <c r="F89">
        <v>-23.83</v>
      </c>
      <c r="G89" t="s">
        <v>75</v>
      </c>
      <c r="H89" t="s">
        <v>99</v>
      </c>
    </row>
    <row r="90" spans="1:8" x14ac:dyDescent="0.2">
      <c r="A90" s="1">
        <v>44658</v>
      </c>
      <c r="B90">
        <v>-30.41</v>
      </c>
      <c r="C90">
        <v>299201631</v>
      </c>
      <c r="D90" t="s">
        <v>8</v>
      </c>
      <c r="E90" t="s">
        <v>84</v>
      </c>
      <c r="F90">
        <v>-29.51</v>
      </c>
      <c r="G90" t="s">
        <v>75</v>
      </c>
      <c r="H90" t="s">
        <v>99</v>
      </c>
    </row>
    <row r="91" spans="1:8" x14ac:dyDescent="0.2">
      <c r="A91" s="1">
        <v>44690</v>
      </c>
      <c r="B91">
        <v>-30.41</v>
      </c>
      <c r="C91">
        <v>299201631</v>
      </c>
      <c r="D91" t="s">
        <v>8</v>
      </c>
      <c r="E91" t="s">
        <v>85</v>
      </c>
      <c r="F91">
        <v>-11.57</v>
      </c>
      <c r="G91" t="s">
        <v>75</v>
      </c>
      <c r="H91" t="s">
        <v>99</v>
      </c>
    </row>
    <row r="92" spans="1:8" x14ac:dyDescent="0.2">
      <c r="A92" s="1">
        <v>44719</v>
      </c>
      <c r="B92">
        <v>-30.41</v>
      </c>
      <c r="C92">
        <v>299201631</v>
      </c>
      <c r="D92" t="s">
        <v>8</v>
      </c>
      <c r="E92" t="s">
        <v>86</v>
      </c>
      <c r="F92">
        <v>53.85</v>
      </c>
      <c r="G92" t="s">
        <v>75</v>
      </c>
      <c r="H92" t="s">
        <v>99</v>
      </c>
    </row>
    <row r="93" spans="1:8" hidden="1" x14ac:dyDescent="0.2">
      <c r="A93" s="1">
        <v>44631</v>
      </c>
      <c r="B93">
        <v>-829.05</v>
      </c>
      <c r="C93">
        <v>299201631</v>
      </c>
      <c r="D93" t="s">
        <v>15</v>
      </c>
      <c r="E93" t="s">
        <v>87</v>
      </c>
      <c r="F93">
        <v>597.12</v>
      </c>
      <c r="G93" t="s">
        <v>10</v>
      </c>
      <c r="H93" t="s">
        <v>88</v>
      </c>
    </row>
    <row r="94" spans="1:8" x14ac:dyDescent="0.2">
      <c r="A94" s="1">
        <v>44445</v>
      </c>
      <c r="B94">
        <v>-250</v>
      </c>
      <c r="C94">
        <v>299201631</v>
      </c>
      <c r="D94" t="s">
        <v>15</v>
      </c>
      <c r="E94" t="s">
        <v>100</v>
      </c>
      <c r="F94">
        <v>8.84</v>
      </c>
      <c r="G94" t="s">
        <v>10</v>
      </c>
      <c r="H94" t="s">
        <v>89</v>
      </c>
    </row>
    <row r="95" spans="1:8" x14ac:dyDescent="0.2">
      <c r="A95" s="1">
        <v>44491</v>
      </c>
      <c r="B95">
        <v>-1550</v>
      </c>
      <c r="C95">
        <v>299201631</v>
      </c>
      <c r="D95" t="s">
        <v>15</v>
      </c>
      <c r="E95" t="s">
        <v>101</v>
      </c>
      <c r="F95">
        <v>29.43</v>
      </c>
      <c r="G95" t="s">
        <v>10</v>
      </c>
      <c r="H95" t="s">
        <v>89</v>
      </c>
    </row>
    <row r="96" spans="1:8" x14ac:dyDescent="0.2">
      <c r="A96" s="1">
        <v>44543</v>
      </c>
      <c r="B96">
        <v>-100</v>
      </c>
      <c r="C96">
        <v>299201631</v>
      </c>
      <c r="D96" t="s">
        <v>15</v>
      </c>
      <c r="E96" t="s">
        <v>90</v>
      </c>
      <c r="F96">
        <v>573.92999999999995</v>
      </c>
      <c r="G96" t="s">
        <v>10</v>
      </c>
      <c r="H96" t="s">
        <v>89</v>
      </c>
    </row>
    <row r="97" spans="1:8" x14ac:dyDescent="0.2">
      <c r="A97" s="1">
        <v>44559</v>
      </c>
      <c r="B97">
        <v>-865</v>
      </c>
      <c r="C97">
        <v>299201631</v>
      </c>
      <c r="D97" t="s">
        <v>15</v>
      </c>
      <c r="E97" t="s">
        <v>91</v>
      </c>
      <c r="F97">
        <v>1303.93</v>
      </c>
      <c r="G97" t="s">
        <v>10</v>
      </c>
      <c r="H97" t="s">
        <v>89</v>
      </c>
    </row>
    <row r="98" spans="1:8" hidden="1" x14ac:dyDescent="0.2">
      <c r="A98" s="1">
        <v>44475</v>
      </c>
      <c r="B98">
        <v>-214.12</v>
      </c>
      <c r="C98">
        <v>299201631</v>
      </c>
      <c r="D98" t="s">
        <v>15</v>
      </c>
      <c r="E98" t="s">
        <v>92</v>
      </c>
      <c r="F98">
        <v>97.36</v>
      </c>
      <c r="G98" t="s">
        <v>10</v>
      </c>
      <c r="H98" t="s">
        <v>93</v>
      </c>
    </row>
    <row r="99" spans="1:8" hidden="1" x14ac:dyDescent="0.2">
      <c r="A99" s="1">
        <v>44515</v>
      </c>
      <c r="B99">
        <v>-133.91999999999999</v>
      </c>
      <c r="C99">
        <v>299201631</v>
      </c>
      <c r="D99" t="s">
        <v>15</v>
      </c>
      <c r="E99" t="s">
        <v>92</v>
      </c>
      <c r="F99">
        <v>593.61</v>
      </c>
      <c r="G99" t="s">
        <v>10</v>
      </c>
      <c r="H99" t="s">
        <v>93</v>
      </c>
    </row>
    <row r="100" spans="1:8" hidden="1" x14ac:dyDescent="0.2">
      <c r="A100" s="1">
        <v>44727</v>
      </c>
      <c r="B100">
        <v>-267.83999999999997</v>
      </c>
      <c r="C100">
        <v>299201631</v>
      </c>
      <c r="D100" t="s">
        <v>15</v>
      </c>
      <c r="E100" t="s">
        <v>92</v>
      </c>
      <c r="F100">
        <v>623.01</v>
      </c>
      <c r="G100" t="s">
        <v>10</v>
      </c>
      <c r="H100" t="s">
        <v>93</v>
      </c>
    </row>
    <row r="101" spans="1:8" hidden="1" x14ac:dyDescent="0.2">
      <c r="A101" s="1">
        <v>44559</v>
      </c>
      <c r="B101">
        <v>-200</v>
      </c>
      <c r="C101">
        <v>299201631</v>
      </c>
      <c r="D101" t="s">
        <v>15</v>
      </c>
      <c r="E101" t="s">
        <v>94</v>
      </c>
      <c r="F101">
        <v>2168.9299999999998</v>
      </c>
      <c r="G101" t="s">
        <v>70</v>
      </c>
      <c r="H101" t="s">
        <v>68</v>
      </c>
    </row>
    <row r="102" spans="1:8" hidden="1" x14ac:dyDescent="0.2">
      <c r="A102" s="1">
        <v>44561</v>
      </c>
      <c r="B102">
        <v>0.01</v>
      </c>
      <c r="C102">
        <v>299201631</v>
      </c>
      <c r="D102" t="s">
        <v>17</v>
      </c>
      <c r="E102" t="s">
        <v>18</v>
      </c>
      <c r="F102">
        <v>170.82</v>
      </c>
      <c r="G102" t="s">
        <v>14</v>
      </c>
      <c r="H102" t="s">
        <v>11</v>
      </c>
    </row>
    <row r="103" spans="1:8" hidden="1" x14ac:dyDescent="0.2">
      <c r="A103" s="1">
        <v>44573</v>
      </c>
      <c r="B103">
        <v>-100</v>
      </c>
      <c r="C103">
        <v>299201631</v>
      </c>
      <c r="D103" t="s">
        <v>15</v>
      </c>
      <c r="E103" t="s">
        <v>95</v>
      </c>
      <c r="F103">
        <v>690.37</v>
      </c>
      <c r="G103" t="s">
        <v>70</v>
      </c>
      <c r="H103" t="s">
        <v>68</v>
      </c>
    </row>
  </sheetData>
  <autoFilter ref="A1:H103" xr:uid="{00000000-0001-0000-0000-000000000000}">
    <filterColumn colId="7">
      <filters>
        <filter val="Insurance"/>
        <filter val="Repair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Lloyd</cp:lastModifiedBy>
  <dcterms:created xsi:type="dcterms:W3CDTF">2022-07-01T09:42:40Z</dcterms:created>
  <dcterms:modified xsi:type="dcterms:W3CDTF">2022-07-11T10:41:38Z</dcterms:modified>
</cp:coreProperties>
</file>