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/Dropbox/@Mila and Banks/Finance Insurance &amp; Tax/TAX/2022/Thomas Empire/"/>
    </mc:Choice>
  </mc:AlternateContent>
  <xr:revisionPtr revIDLastSave="0" documentId="13_ncr:1_{79714103-8B8A-8743-A1FC-C041D6BEB22F}" xr6:coauthVersionLast="47" xr6:coauthVersionMax="47" xr10:uidLastSave="{00000000-0000-0000-0000-000000000000}"/>
  <bookViews>
    <workbookView xWindow="12340" yWindow="1720" windowWidth="26500" windowHeight="16940" xr2:uid="{0E2E1ADD-2798-2A45-A2BF-74B1C0157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  <c r="B4" i="1"/>
  <c r="B8" i="1" s="1"/>
  <c r="B9" i="1" s="1"/>
</calcChain>
</file>

<file path=xl/sharedStrings.xml><?xml version="1.0" encoding="utf-8"?>
<sst xmlns="http://schemas.openxmlformats.org/spreadsheetml/2006/main" count="13" uniqueCount="13">
  <si>
    <t>U1 39 Powlett St - Sale</t>
  </si>
  <si>
    <t>Sale Price</t>
  </si>
  <si>
    <t>Agent Commisions</t>
  </si>
  <si>
    <t>Marketing</t>
  </si>
  <si>
    <t>Cost Base</t>
  </si>
  <si>
    <t>Other Fees from Settlement</t>
  </si>
  <si>
    <t>$</t>
  </si>
  <si>
    <t>Notes</t>
  </si>
  <si>
    <t>Total Profit</t>
  </si>
  <si>
    <t>50% CGT</t>
  </si>
  <si>
    <t>Settled on the 8th Aug 2021</t>
  </si>
  <si>
    <t>Interest July 2021</t>
  </si>
  <si>
    <t>Claim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</si>
</sst>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77B7-0B6A-424B-A54F-9C3956C47AF4}">
  <dimension ref="A1:C12"/>
  <sheetViews>
    <sheetView tabSelected="1" workbookViewId="0">
      <selection activeCell="A2" sqref="A2:B9"/>
    </sheetView>
  </sheetViews>
  <sheetFormatPr baseColWidth="10" defaultRowHeight="16" x14ac:dyDescent="0.2"/>
  <cols>
    <col min="1" max="1" width="24.6640625" bestFit="1" customWidth="1"/>
    <col min="3" max="3" width="37.5" bestFit="1" customWidth="1"/>
  </cols>
  <sheetData>
    <row r="1" spans="1:3" x14ac:dyDescent="0.2">
      <c r="A1" t="s">
        <v>10</v>
      </c>
    </row>
    <row r="2" spans="1:3" x14ac:dyDescent="0.2">
      <c r="A2" s="1" t="s">
        <v>0</v>
      </c>
      <c r="B2" s="1" t="s">
        <v>6</v>
      </c>
      <c r="C2" s="1" t="s">
        <v>7</v>
      </c>
    </row>
    <row r="3" spans="1:3" x14ac:dyDescent="0.2">
      <c r="A3" s="2" t="s">
        <v>1</v>
      </c>
      <c r="B3" s="3">
        <v>473000</v>
      </c>
      <c r="C3" s="2"/>
    </row>
    <row r="4" spans="1:3" x14ac:dyDescent="0.2">
      <c r="A4" s="2" t="s">
        <v>2</v>
      </c>
      <c r="B4" s="2">
        <f>-7095</f>
        <v>-7095</v>
      </c>
      <c r="C4" s="2"/>
    </row>
    <row r="5" spans="1:3" x14ac:dyDescent="0.2">
      <c r="A5" s="2" t="s">
        <v>3</v>
      </c>
      <c r="B5" s="2">
        <v>-1600</v>
      </c>
      <c r="C5" s="2"/>
    </row>
    <row r="6" spans="1:3" x14ac:dyDescent="0.2">
      <c r="A6" s="2" t="s">
        <v>4</v>
      </c>
      <c r="B6" s="2">
        <v>-266730</v>
      </c>
      <c r="C6" s="2"/>
    </row>
    <row r="7" spans="1:3" x14ac:dyDescent="0.2">
      <c r="A7" s="2" t="s">
        <v>5</v>
      </c>
      <c r="B7" s="2">
        <f>-117+-1002+-925</f>
        <v>-2044</v>
      </c>
      <c r="C7" s="2"/>
    </row>
    <row r="8" spans="1:3" x14ac:dyDescent="0.2">
      <c r="A8" s="4" t="s">
        <v>8</v>
      </c>
      <c r="B8" s="5">
        <f>SUM(B3:B7)</f>
        <v>195531</v>
      </c>
      <c r="C8" s="2"/>
    </row>
    <row r="9" spans="1:3" x14ac:dyDescent="0.2">
      <c r="A9" s="6" t="s">
        <v>9</v>
      </c>
      <c r="B9" s="4">
        <f>B8/2</f>
        <v>97765.5</v>
      </c>
      <c r="C9" s="2"/>
    </row>
    <row r="12" spans="1:3" x14ac:dyDescent="0.2">
      <c r="A12" s="2" t="s">
        <v>11</v>
      </c>
      <c r="B12" s="2">
        <v>-1044</v>
      </c>
      <c r="C1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</dc:creator>
  <cp:lastModifiedBy>Lloyd Thomas</cp:lastModifiedBy>
  <dcterms:created xsi:type="dcterms:W3CDTF">2022-07-05T09:33:23Z</dcterms:created>
  <dcterms:modified xsi:type="dcterms:W3CDTF">2022-08-09T10:23:21Z</dcterms:modified>
</cp:coreProperties>
</file>