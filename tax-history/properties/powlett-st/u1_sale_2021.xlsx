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oydthomas/Dropbox/@Mila and Banks/Finance Insurance &amp; Tax/TAX/2021/Thomas Empire/"/>
    </mc:Choice>
  </mc:AlternateContent>
  <xr:revisionPtr revIDLastSave="0" documentId="13_ncr:1_{D4232353-2B66-6647-996E-0734493E3AFC}" xr6:coauthVersionLast="46" xr6:coauthVersionMax="46" xr10:uidLastSave="{00000000-0000-0000-0000-000000000000}"/>
  <bookViews>
    <workbookView xWindow="25620" yWindow="460" windowWidth="25600" windowHeight="21140" xr2:uid="{00000000-000D-0000-FFFF-FFFF00000000}"/>
  </bookViews>
  <sheets>
    <sheet name="Sheet1" sheetId="2" r:id="rId1"/>
    <sheet name="Powlett St" sheetId="1" r:id="rId2"/>
  </sheets>
  <definedNames>
    <definedName name="_xlnm._FilterDatabase" localSheetId="1" hidden="1">'Powlett St'!$A$1:$E$128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2" l="1"/>
  <c r="B14" i="2"/>
</calcChain>
</file>

<file path=xl/sharedStrings.xml><?xml version="1.0" encoding="utf-8"?>
<sst xmlns="http://schemas.openxmlformats.org/spreadsheetml/2006/main" count="330" uniqueCount="114">
  <si>
    <t>INTEREST PAID</t>
  </si>
  <si>
    <t>AUTOMATIC DRAWING</t>
  </si>
  <si>
    <t>S311061300000       BANK-M</t>
  </si>
  <si>
    <t>S311061299800       BANK-M</t>
  </si>
  <si>
    <t>TRANSFER DEBIT</t>
  </si>
  <si>
    <t>INTERNET BPAY       SROVIC LAND TAX     34867884</t>
  </si>
  <si>
    <t>ONLINE  W1547695151 Linked Acc Trns     THOMAS L</t>
  </si>
  <si>
    <t>TRANSFER CREDIT</t>
  </si>
  <si>
    <t>BEYOND PROPERTY ENTE18 Ashby Ct         Rent Disbursement</t>
  </si>
  <si>
    <t>ONLINE  L4077226651 Linked Acc Trns     THOMAS L</t>
  </si>
  <si>
    <t>BEYOND PROPERTY ENTE2/39 Powlett St Rent Disbursement</t>
  </si>
  <si>
    <t>HOM695679268210616 RACV INSURANCE MR LLOYD THOMAS</t>
  </si>
  <si>
    <t>HOM695692416210616 RACV INSURANCE MR LLOYD THOMAS</t>
  </si>
  <si>
    <t>INTERNET BPAY HOBSONS BAY COUNCIL 42590002100</t>
  </si>
  <si>
    <t>INTERNET BPAY HOBSONS BAY COUNCIL 42590002159</t>
  </si>
  <si>
    <t>ONLINE Q1985487233 Linked Acc Trns THOMAS L</t>
  </si>
  <si>
    <t>S311061300000 BANK-M LLOYD EDWARD THO</t>
  </si>
  <si>
    <t>ONLINE Y7951745681 Linked Acc Trns THOMAS L</t>
  </si>
  <si>
    <t>S311061299800 BANK-M LLOYD THOMAS</t>
  </si>
  <si>
    <t>ONLINE W8432294670 Linked Acc Trns THOMAS L</t>
  </si>
  <si>
    <t>ONLINE F0827735384 Linked Acc Trns THOMAS L</t>
  </si>
  <si>
    <t>BEYOND PROPERTY ENTE18 Ashby Ct Rent Disbursement</t>
  </si>
  <si>
    <t>INTERNET BPAY CITY WEST WATER 125315622103</t>
  </si>
  <si>
    <t>INTERNET BPAY CITY WEST WATER 125315621104</t>
  </si>
  <si>
    <t>ONLINE H2727505142 Linked Acc Trns THOMAS L</t>
  </si>
  <si>
    <t>HOM695679268210516 RACV INSURANCE MR LLOYD THOMAS</t>
  </si>
  <si>
    <t>HOM695692416210516 RACV INSURANCE MR LLOYD THOMAS</t>
  </si>
  <si>
    <t>INTER-BANK CREDIT</t>
  </si>
  <si>
    <t>Rent Disbursement BEYOND PROPERTY Lloyd Thomas</t>
  </si>
  <si>
    <t>ONLINE L5985545615 Linked Acc Trns THOMAS L</t>
  </si>
  <si>
    <t>INTERNET TRANSFER 1 39 Powlett St</t>
  </si>
  <si>
    <t>ONLINE C8727585203 Linked Acc Trns THOMAS L</t>
  </si>
  <si>
    <t>HOM695679268210416 RACV INSURANCE MR LLOYD THOMAS</t>
  </si>
  <si>
    <t>HOM695692416210416 RACV INSURANCE MR LLOYD THOMAS</t>
  </si>
  <si>
    <t>ONLINE F7801407321 Moises U1 kitchen THOMAS L</t>
  </si>
  <si>
    <t>INTERNET TRANSFER materialsForRepair</t>
  </si>
  <si>
    <t>Chris Tolentino L4032234862 Lloyd</t>
  </si>
  <si>
    <t>INTEREST</t>
  </si>
  <si>
    <t>ONLINE M7801276556 Linked Acc Trns THOMAS L</t>
  </si>
  <si>
    <t>HOM695679268210316 RACV INSURANCE MR LLOYD THOMAS</t>
  </si>
  <si>
    <t>HOM695692416210316 RACV INSURANCE MR LLOYD THOMAS</t>
  </si>
  <si>
    <t>ONLINE K6555918465 Linked Acc Trns THOMAS L</t>
  </si>
  <si>
    <t>BEYOND PROPERTY ENTE1/39 Powlett St Rent Disbursement</t>
  </si>
  <si>
    <t>INTERNET TRANSFER Funds trns</t>
  </si>
  <si>
    <t>Rudolph Thomas Q2457224462</t>
  </si>
  <si>
    <t>REVERSAL CREDIT</t>
  </si>
  <si>
    <t>ONLINE K0162484371 Linked Acc Trns THOMAS L</t>
  </si>
  <si>
    <t>HOM695679268210216 RACV INSURANCE MR LLOYD THOMAS</t>
  </si>
  <si>
    <t>HOM695692416210216 RACV INSURANCE MR LLOYD THOMAS</t>
  </si>
  <si>
    <t>BEYOND PROPERTY ENTE2/39 Powlett Street Rent Disbursement</t>
  </si>
  <si>
    <t>Rent Disbursements BEYOND PROPERTY Lloyd Thomas</t>
  </si>
  <si>
    <t>INTERNET TRANSFER 39 Powlett St Rudy</t>
  </si>
  <si>
    <t>ONLINE N5755294499 Linked Acc Trns THOMAS L</t>
  </si>
  <si>
    <t>HOM695679268210106 RACV INSURANCE MR LLOYD THOMAS</t>
  </si>
  <si>
    <t>HOM695692416210106 RACV INSURANCE MR LLOYD THOMAS</t>
  </si>
  <si>
    <t>ONLINE T1642625678 Linked Acc Trns THOMAS L</t>
  </si>
  <si>
    <t>ONLINE Z4669785820 Linked Acc Trns THOMAS L</t>
  </si>
  <si>
    <t>INTERNET TRANSFER Loan Payment</t>
  </si>
  <si>
    <t>INTERNET TRANSFER INV 0762</t>
  </si>
  <si>
    <t>ONLINE Q5844288895 Linked Acc Trns THOMAS L</t>
  </si>
  <si>
    <t>REVERSAL OF DEBIT ST GEORGE MERCHANT AS311061300000</t>
  </si>
  <si>
    <t>ONLINE A6979218512 Linked Acc Trns THOMAS L</t>
  </si>
  <si>
    <t>ONLINE S0836745553 Linked Acc Trns THOMAS L</t>
  </si>
  <si>
    <t>1966919 AAMI INSURANCE L THOMAS</t>
  </si>
  <si>
    <t>HPL110970213 AAMI PI LLOYD THOMAS</t>
  </si>
  <si>
    <t>ONLINE J2633248521 Linked Acc Trns THOMAS L</t>
  </si>
  <si>
    <t>HPL071935562 AAMI PI Lloyd Thomas</t>
  </si>
  <si>
    <t>MOISES J4191236489</t>
  </si>
  <si>
    <t>ONLINE G8291685941 Linked Acc Trns THOMAS L</t>
  </si>
  <si>
    <t>ONLINE S6533454987 Linked Acc Trns THOMAS L</t>
  </si>
  <si>
    <t>ONLINE N5481908530 Linked Acc Trns THOMAS L</t>
  </si>
  <si>
    <t>ONLINE Z5879256729 Linked Acc Trns THOMAS L</t>
  </si>
  <si>
    <t>ONLINE M4991407402 Linked Acc Trns THOMAS L</t>
  </si>
  <si>
    <t>ONLINE A5392414745 Linked Acc Trns THOMAS L</t>
  </si>
  <si>
    <t>ONLINE P9795645130 Linked Acc Trns THOMAS L</t>
  </si>
  <si>
    <t>ONLINE N0178464444 Linked Acc Trns THOMAS L</t>
  </si>
  <si>
    <t>INTERNET BPAY ASIC 2291523842931</t>
  </si>
  <si>
    <t>INTERNET BPAY ASIC 2296268009315</t>
  </si>
  <si>
    <t>ONLINE A2704224261 Linked Acc Trns THOMAS L</t>
  </si>
  <si>
    <t>ONLINE T2884244252 Linked Acc Trns THOMAS L</t>
  </si>
  <si>
    <t>ONLINE D7104234645 sept Lloyd THOMAS L</t>
  </si>
  <si>
    <t>ONLINE Q7214998714 Linked Acc Trns THOMAS L</t>
  </si>
  <si>
    <t>Date</t>
  </si>
  <si>
    <t>Amount</t>
  </si>
  <si>
    <t>Type</t>
  </si>
  <si>
    <t>Description</t>
  </si>
  <si>
    <t>Category</t>
  </si>
  <si>
    <t>U2 - Insurance</t>
  </si>
  <si>
    <t>U1 - Insurance</t>
  </si>
  <si>
    <t>U1 - Water</t>
  </si>
  <si>
    <t>U2 - Water</t>
  </si>
  <si>
    <t>U1 - Rates</t>
  </si>
  <si>
    <t>U2 - Rates</t>
  </si>
  <si>
    <t>U1 39 Powlett St</t>
  </si>
  <si>
    <t>Notes</t>
  </si>
  <si>
    <t>Rent</t>
  </si>
  <si>
    <t>Interest</t>
  </si>
  <si>
    <t>Rates</t>
  </si>
  <si>
    <t>Water</t>
  </si>
  <si>
    <t>Insurance</t>
  </si>
  <si>
    <t>Depreciation</t>
  </si>
  <si>
    <t>Maintenance</t>
  </si>
  <si>
    <t>Letting Fee</t>
  </si>
  <si>
    <t>Land Tax</t>
  </si>
  <si>
    <t>Management</t>
  </si>
  <si>
    <t>Total</t>
  </si>
  <si>
    <t>U2 39 Powlett St</t>
  </si>
  <si>
    <t>Adverting</t>
  </si>
  <si>
    <t>ASIC Company Fees</t>
  </si>
  <si>
    <t>Advertising</t>
  </si>
  <si>
    <t>Company Fees</t>
  </si>
  <si>
    <t>Security Camera</t>
  </si>
  <si>
    <t>Leasing Fee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</si>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</sst>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6" fillId="0" borderId="10" xfId="0" applyFont="1" applyBorder="1"/>
    <xf numFmtId="0" fontId="0" fillId="33" borderId="10" xfId="0" applyFill="1" applyBorder="1"/>
    <xf numFmtId="0" fontId="0" fillId="0" borderId="10" xfId="0" applyBorder="1"/>
    <xf numFmtId="0" fontId="0" fillId="34" borderId="10" xfId="0" applyFill="1" applyBorder="1"/>
    <xf numFmtId="3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393700</xdr:colOff>
      <xdr:row>4</xdr:row>
      <xdr:rowOff>127000</xdr:rowOff>
    </xdr:from>
    <xdr:to>
      <xdr:col>15</xdr:col>
      <xdr:colOff>800100</xdr:colOff>
      <xdr:row>30</xdr:row>
      <xdr:rowOff>79396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85562-8B91-9B4A-857B-7A94D8B18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4800" y="939800"/>
          <a:ext cx="9486900" cy="5235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15E0-301A-1F4B-BFF9-21DFD020C50D}">
  <dimension ref="A1:C62"/>
  <sheetViews>
    <sheetView tabSelected="1" workbookViewId="0">
      <selection activeCell="D27" sqref="D27"/>
    </sheetView>
  </sheetViews>
  <sheetFormatPr baseColWidth="10" defaultRowHeight="16" x14ac:dyDescent="0.2"/>
  <cols>
    <col min="1" max="1" width="17.33203125" bestFit="1" customWidth="1"/>
    <col min="2" max="2" width="9.1640625" bestFit="1" customWidth="1"/>
    <col min="3" max="3" width="28.1640625" customWidth="1"/>
  </cols>
  <sheetData>
    <row r="1" spans="1:3" x14ac:dyDescent="0.2">
      <c r="A1" s="2" t="s">
        <v>93</v>
      </c>
      <c r="B1" s="2" t="s">
        <v>83</v>
      </c>
      <c r="C1" s="2" t="s">
        <v>94</v>
      </c>
    </row>
    <row r="2" spans="1:3" x14ac:dyDescent="0.2">
      <c r="A2" s="3" t="s">
        <v>95</v>
      </c>
      <c r="B2" s="4">
        <v>10564</v>
      </c>
      <c r="C2" s="4"/>
    </row>
    <row r="3" spans="1:3" x14ac:dyDescent="0.2">
      <c r="A3" s="3" t="s">
        <v>96</v>
      </c>
      <c r="B3" s="4">
        <v>-14549</v>
      </c>
      <c r="C3" s="4"/>
    </row>
    <row r="4" spans="1:3" x14ac:dyDescent="0.2">
      <c r="A4" s="3" t="s">
        <v>97</v>
      </c>
      <c r="B4" s="4">
        <v>-1308.44</v>
      </c>
      <c r="C4" s="4"/>
    </row>
    <row r="5" spans="1:3" x14ac:dyDescent="0.2">
      <c r="A5" s="3" t="s">
        <v>98</v>
      </c>
      <c r="B5" s="4">
        <v>-646.74</v>
      </c>
      <c r="C5" s="4"/>
    </row>
    <row r="6" spans="1:3" x14ac:dyDescent="0.2">
      <c r="A6" s="3" t="s">
        <v>99</v>
      </c>
      <c r="B6" s="4">
        <v>530.77</v>
      </c>
      <c r="C6" s="4"/>
    </row>
    <row r="7" spans="1:3" x14ac:dyDescent="0.2">
      <c r="A7" s="3" t="s">
        <v>100</v>
      </c>
      <c r="B7" s="5" t="s">
        <v>113</v>
      </c>
      <c r="C7" s="4"/>
    </row>
    <row r="8" spans="1:3" x14ac:dyDescent="0.2">
      <c r="A8" s="3" t="s">
        <v>101</v>
      </c>
      <c r="B8" s="4"/>
      <c r="C8" s="4"/>
    </row>
    <row r="9" spans="1:3" x14ac:dyDescent="0.2">
      <c r="A9" s="3" t="s">
        <v>101</v>
      </c>
      <c r="B9" s="4"/>
      <c r="C9" s="4"/>
    </row>
    <row r="10" spans="1:3" x14ac:dyDescent="0.2">
      <c r="A10" s="3" t="s">
        <v>109</v>
      </c>
      <c r="B10" s="4">
        <v>-199</v>
      </c>
      <c r="C10" s="4"/>
    </row>
    <row r="11" spans="1:3" x14ac:dyDescent="0.2">
      <c r="A11" s="3" t="s">
        <v>103</v>
      </c>
      <c r="B11" s="4">
        <v>-1038.44</v>
      </c>
      <c r="C11" s="4"/>
    </row>
    <row r="12" spans="1:3" x14ac:dyDescent="0.2">
      <c r="A12" s="3" t="s">
        <v>112</v>
      </c>
      <c r="B12" s="4">
        <v>-345</v>
      </c>
      <c r="C12" s="4"/>
    </row>
    <row r="13" spans="1:3" x14ac:dyDescent="0.2">
      <c r="A13" s="3" t="s">
        <v>104</v>
      </c>
      <c r="B13" s="4">
        <v>-348.63</v>
      </c>
      <c r="C13" s="4"/>
    </row>
    <row r="14" spans="1:3" x14ac:dyDescent="0.2">
      <c r="A14" s="2" t="s">
        <v>105</v>
      </c>
      <c r="B14" s="2">
        <f>SUM(B2:B13)</f>
        <v>-7340.4800000000005</v>
      </c>
      <c r="C14" s="4"/>
    </row>
    <row r="16" spans="1:3" x14ac:dyDescent="0.2">
      <c r="A16" s="2" t="s">
        <v>106</v>
      </c>
      <c r="B16" s="4"/>
      <c r="C16" s="4"/>
    </row>
    <row r="17" spans="1:3" x14ac:dyDescent="0.2">
      <c r="A17" s="3" t="s">
        <v>95</v>
      </c>
      <c r="B17" s="4">
        <v>15484</v>
      </c>
      <c r="C17" s="4"/>
    </row>
    <row r="18" spans="1:3" x14ac:dyDescent="0.2">
      <c r="A18" s="3" t="s">
        <v>96</v>
      </c>
      <c r="B18" s="4">
        <v>-11028.69</v>
      </c>
      <c r="C18" s="4"/>
    </row>
    <row r="19" spans="1:3" x14ac:dyDescent="0.2">
      <c r="A19" s="3" t="s">
        <v>97</v>
      </c>
      <c r="B19" s="4">
        <v>-1233.9000000000001</v>
      </c>
      <c r="C19" s="4"/>
    </row>
    <row r="20" spans="1:3" x14ac:dyDescent="0.2">
      <c r="A20" s="3" t="s">
        <v>98</v>
      </c>
      <c r="B20" s="4">
        <v>-715.15</v>
      </c>
      <c r="C20" s="4"/>
    </row>
    <row r="21" spans="1:3" x14ac:dyDescent="0.2">
      <c r="A21" s="3" t="s">
        <v>99</v>
      </c>
      <c r="B21" s="4">
        <v>-608.61</v>
      </c>
      <c r="C21" s="4"/>
    </row>
    <row r="22" spans="1:3" x14ac:dyDescent="0.2">
      <c r="A22" s="3" t="s">
        <v>101</v>
      </c>
      <c r="B22" s="4"/>
      <c r="C22" s="4"/>
    </row>
    <row r="23" spans="1:3" x14ac:dyDescent="0.2">
      <c r="A23" s="3" t="s">
        <v>111</v>
      </c>
      <c r="B23" s="4">
        <v>-749</v>
      </c>
      <c r="C23" s="4"/>
    </row>
    <row r="24" spans="1:3" x14ac:dyDescent="0.2">
      <c r="A24" s="3" t="s">
        <v>102</v>
      </c>
      <c r="B24" s="4">
        <v>-160</v>
      </c>
      <c r="C24" s="4"/>
    </row>
    <row r="25" spans="1:3" x14ac:dyDescent="0.2">
      <c r="A25" s="3" t="s">
        <v>107</v>
      </c>
      <c r="B25" s="4">
        <v>-149</v>
      </c>
      <c r="C25" s="4"/>
    </row>
    <row r="26" spans="1:3" x14ac:dyDescent="0.2">
      <c r="A26" s="3" t="s">
        <v>100</v>
      </c>
      <c r="B26" s="5" t="s">
        <v>113</v>
      </c>
      <c r="C26" s="4"/>
    </row>
    <row r="27" spans="1:3" x14ac:dyDescent="0.2">
      <c r="A27" s="3" t="s">
        <v>103</v>
      </c>
      <c r="B27" s="4">
        <v>-1114.42</v>
      </c>
      <c r="C27" s="4"/>
    </row>
    <row r="28" spans="1:3" x14ac:dyDescent="0.2">
      <c r="A28" s="4" t="s">
        <v>108</v>
      </c>
      <c r="B28" s="4">
        <v>-704</v>
      </c>
      <c r="C28" s="4"/>
    </row>
    <row r="29" spans="1:3" x14ac:dyDescent="0.2">
      <c r="A29" s="3" t="s">
        <v>104</v>
      </c>
      <c r="B29" s="4">
        <v>-510.96</v>
      </c>
      <c r="C29" s="4"/>
    </row>
    <row r="30" spans="1:3" x14ac:dyDescent="0.2">
      <c r="A30" s="2" t="s">
        <v>105</v>
      </c>
      <c r="B30" s="2">
        <f>SUM(B17:B29)</f>
        <v>-1489.7300000000009</v>
      </c>
      <c r="C30" s="4"/>
    </row>
    <row r="41" spans="2:2" x14ac:dyDescent="0.2">
      <c r="B41" s="6"/>
    </row>
    <row r="56" spans="2:2" x14ac:dyDescent="0.2">
      <c r="B56" s="7"/>
    </row>
    <row r="62" spans="2:2" x14ac:dyDescent="0.2">
      <c r="B62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workbookViewId="0">
      <selection activeCell="D35" sqref="D35"/>
    </sheetView>
  </sheetViews>
  <sheetFormatPr baseColWidth="10" defaultRowHeight="16" x14ac:dyDescent="0.2"/>
  <cols>
    <col min="3" max="3" width="20.5" bestFit="1" customWidth="1"/>
    <col min="4" max="4" width="55.83203125" bestFit="1" customWidth="1"/>
  </cols>
  <sheetData>
    <row r="1" spans="1:5" x14ac:dyDescent="0.2">
      <c r="A1" t="s">
        <v>82</v>
      </c>
      <c r="B1" t="s">
        <v>83</v>
      </c>
      <c r="C1" t="s">
        <v>84</v>
      </c>
      <c r="D1" t="s">
        <v>85</v>
      </c>
      <c r="E1" t="s">
        <v>86</v>
      </c>
    </row>
    <row r="2" spans="1:5" x14ac:dyDescent="0.2">
      <c r="A2" s="1">
        <v>44173</v>
      </c>
      <c r="B2">
        <v>22.7</v>
      </c>
      <c r="C2" t="s">
        <v>27</v>
      </c>
      <c r="D2" t="s">
        <v>63</v>
      </c>
    </row>
    <row r="3" spans="1:5" x14ac:dyDescent="0.2">
      <c r="A3" s="1">
        <v>44270</v>
      </c>
      <c r="B3">
        <v>1345.1</v>
      </c>
      <c r="C3" t="s">
        <v>7</v>
      </c>
      <c r="D3" t="s">
        <v>42</v>
      </c>
    </row>
    <row r="4" spans="1:5" x14ac:dyDescent="0.2">
      <c r="A4" s="1">
        <v>44266</v>
      </c>
      <c r="B4">
        <v>1096.82</v>
      </c>
      <c r="C4" t="s">
        <v>7</v>
      </c>
      <c r="D4" t="s">
        <v>42</v>
      </c>
    </row>
    <row r="5" spans="1:5" x14ac:dyDescent="0.2">
      <c r="A5" s="1">
        <v>44134</v>
      </c>
      <c r="B5">
        <v>1533.66</v>
      </c>
      <c r="C5" t="s">
        <v>7</v>
      </c>
      <c r="D5" t="s">
        <v>42</v>
      </c>
    </row>
    <row r="6" spans="1:5" x14ac:dyDescent="0.2">
      <c r="A6" s="1">
        <v>44042</v>
      </c>
      <c r="B6">
        <v>1533.66</v>
      </c>
      <c r="C6" t="s">
        <v>7</v>
      </c>
      <c r="D6" t="s">
        <v>42</v>
      </c>
    </row>
    <row r="7" spans="1:5" x14ac:dyDescent="0.2">
      <c r="A7" s="1">
        <v>44368</v>
      </c>
      <c r="B7">
        <v>1485</v>
      </c>
      <c r="C7" t="s">
        <v>7</v>
      </c>
      <c r="D7" t="s">
        <v>8</v>
      </c>
    </row>
    <row r="8" spans="1:5" x14ac:dyDescent="0.2">
      <c r="A8" s="1">
        <v>44335</v>
      </c>
      <c r="B8">
        <v>1485</v>
      </c>
      <c r="C8" t="s">
        <v>7</v>
      </c>
      <c r="D8" t="s">
        <v>21</v>
      </c>
    </row>
    <row r="9" spans="1:5" x14ac:dyDescent="0.2">
      <c r="A9" s="1">
        <v>44316</v>
      </c>
      <c r="B9">
        <v>1485</v>
      </c>
      <c r="C9" t="s">
        <v>7</v>
      </c>
      <c r="D9" t="s">
        <v>21</v>
      </c>
    </row>
    <row r="10" spans="1:5" x14ac:dyDescent="0.2">
      <c r="A10" s="1">
        <v>44279</v>
      </c>
      <c r="B10">
        <v>1485</v>
      </c>
      <c r="C10" t="s">
        <v>7</v>
      </c>
      <c r="D10" t="s">
        <v>21</v>
      </c>
    </row>
    <row r="11" spans="1:5" x14ac:dyDescent="0.2">
      <c r="A11" s="1">
        <v>44251</v>
      </c>
      <c r="B11">
        <v>1485</v>
      </c>
      <c r="C11" t="s">
        <v>7</v>
      </c>
      <c r="D11" t="s">
        <v>21</v>
      </c>
    </row>
    <row r="12" spans="1:5" x14ac:dyDescent="0.2">
      <c r="A12" s="1">
        <v>44364</v>
      </c>
      <c r="B12">
        <v>1345.1</v>
      </c>
      <c r="C12" t="s">
        <v>7</v>
      </c>
      <c r="D12" t="s">
        <v>10</v>
      </c>
    </row>
    <row r="13" spans="1:5" x14ac:dyDescent="0.2">
      <c r="A13" s="1">
        <v>44295</v>
      </c>
      <c r="B13">
        <v>1345.1</v>
      </c>
      <c r="C13" t="s">
        <v>7</v>
      </c>
      <c r="D13" t="s">
        <v>10</v>
      </c>
    </row>
    <row r="14" spans="1:5" x14ac:dyDescent="0.2">
      <c r="A14" s="1">
        <v>44179</v>
      </c>
      <c r="B14">
        <v>1345.1</v>
      </c>
      <c r="C14" t="s">
        <v>7</v>
      </c>
      <c r="D14" t="s">
        <v>10</v>
      </c>
    </row>
    <row r="15" spans="1:5" x14ac:dyDescent="0.2">
      <c r="A15" s="1">
        <v>44134</v>
      </c>
      <c r="B15">
        <v>1036.0999999999999</v>
      </c>
      <c r="C15" t="s">
        <v>7</v>
      </c>
      <c r="D15" t="s">
        <v>10</v>
      </c>
    </row>
    <row r="16" spans="1:5" x14ac:dyDescent="0.2">
      <c r="A16" s="1">
        <v>44103</v>
      </c>
      <c r="B16">
        <v>1404.08</v>
      </c>
      <c r="C16" t="s">
        <v>7</v>
      </c>
      <c r="D16" t="s">
        <v>10</v>
      </c>
    </row>
    <row r="17" spans="1:5" x14ac:dyDescent="0.2">
      <c r="A17" s="1">
        <v>44077</v>
      </c>
      <c r="B17">
        <v>1404.08</v>
      </c>
      <c r="C17" t="s">
        <v>7</v>
      </c>
      <c r="D17" t="s">
        <v>10</v>
      </c>
    </row>
    <row r="18" spans="1:5" x14ac:dyDescent="0.2">
      <c r="A18" s="1">
        <v>44042</v>
      </c>
      <c r="B18">
        <v>1404.08</v>
      </c>
      <c r="C18" t="s">
        <v>7</v>
      </c>
      <c r="D18" t="s">
        <v>10</v>
      </c>
    </row>
    <row r="19" spans="1:5" x14ac:dyDescent="0.2">
      <c r="A19" s="1">
        <v>44239</v>
      </c>
      <c r="B19">
        <v>1345.1</v>
      </c>
      <c r="C19" t="s">
        <v>7</v>
      </c>
      <c r="D19" t="s">
        <v>49</v>
      </c>
    </row>
    <row r="20" spans="1:5" x14ac:dyDescent="0.2">
      <c r="A20" s="1">
        <v>44286</v>
      </c>
      <c r="B20">
        <v>-100</v>
      </c>
      <c r="C20" t="s">
        <v>4</v>
      </c>
      <c r="D20" t="s">
        <v>36</v>
      </c>
    </row>
    <row r="21" spans="1:5" x14ac:dyDescent="0.2">
      <c r="A21" s="1">
        <v>44202</v>
      </c>
      <c r="B21">
        <v>-57.63</v>
      </c>
      <c r="C21" t="s">
        <v>1</v>
      </c>
      <c r="D21" t="s">
        <v>53</v>
      </c>
      <c r="E21" t="s">
        <v>88</v>
      </c>
    </row>
    <row r="22" spans="1:5" x14ac:dyDescent="0.2">
      <c r="A22" s="1">
        <v>44243</v>
      </c>
      <c r="B22">
        <v>-28.81</v>
      </c>
      <c r="C22" t="s">
        <v>1</v>
      </c>
      <c r="D22" t="s">
        <v>47</v>
      </c>
      <c r="E22" t="s">
        <v>88</v>
      </c>
    </row>
    <row r="23" spans="1:5" x14ac:dyDescent="0.2">
      <c r="A23" s="1">
        <v>44271</v>
      </c>
      <c r="B23">
        <v>-28.81</v>
      </c>
      <c r="C23" t="s">
        <v>1</v>
      </c>
      <c r="D23" t="s">
        <v>39</v>
      </c>
      <c r="E23" t="s">
        <v>88</v>
      </c>
    </row>
    <row r="24" spans="1:5" x14ac:dyDescent="0.2">
      <c r="A24" s="1">
        <v>44302</v>
      </c>
      <c r="B24">
        <v>-28.77</v>
      </c>
      <c r="C24" t="s">
        <v>1</v>
      </c>
      <c r="D24" t="s">
        <v>32</v>
      </c>
      <c r="E24" t="s">
        <v>88</v>
      </c>
    </row>
    <row r="25" spans="1:5" x14ac:dyDescent="0.2">
      <c r="A25" s="1">
        <v>44333</v>
      </c>
      <c r="B25">
        <v>-28.77</v>
      </c>
      <c r="C25" t="s">
        <v>1</v>
      </c>
      <c r="D25" t="s">
        <v>25</v>
      </c>
      <c r="E25" t="s">
        <v>88</v>
      </c>
    </row>
    <row r="26" spans="1:5" x14ac:dyDescent="0.2">
      <c r="A26" s="1">
        <v>44363</v>
      </c>
      <c r="B26">
        <v>-28.77</v>
      </c>
      <c r="C26" t="s">
        <v>1</v>
      </c>
      <c r="D26" t="s">
        <v>11</v>
      </c>
      <c r="E26" t="s">
        <v>88</v>
      </c>
    </row>
    <row r="27" spans="1:5" x14ac:dyDescent="0.2">
      <c r="A27" s="1">
        <v>44202</v>
      </c>
      <c r="B27">
        <v>-50.15</v>
      </c>
      <c r="C27" t="s">
        <v>1</v>
      </c>
      <c r="D27" t="s">
        <v>54</v>
      </c>
      <c r="E27" t="s">
        <v>87</v>
      </c>
    </row>
    <row r="28" spans="1:5" x14ac:dyDescent="0.2">
      <c r="A28" s="1">
        <v>44243</v>
      </c>
      <c r="B28">
        <v>-25.07</v>
      </c>
      <c r="C28" t="s">
        <v>1</v>
      </c>
      <c r="D28" t="s">
        <v>48</v>
      </c>
      <c r="E28" t="s">
        <v>87</v>
      </c>
    </row>
    <row r="29" spans="1:5" x14ac:dyDescent="0.2">
      <c r="A29" s="1">
        <v>44271</v>
      </c>
      <c r="B29">
        <v>-25.07</v>
      </c>
      <c r="C29" t="s">
        <v>1</v>
      </c>
      <c r="D29" t="s">
        <v>40</v>
      </c>
      <c r="E29" t="s">
        <v>87</v>
      </c>
    </row>
    <row r="30" spans="1:5" x14ac:dyDescent="0.2">
      <c r="A30" s="1">
        <v>44302</v>
      </c>
      <c r="B30">
        <v>-25.04</v>
      </c>
      <c r="C30" t="s">
        <v>1</v>
      </c>
      <c r="D30" t="s">
        <v>33</v>
      </c>
      <c r="E30" t="s">
        <v>87</v>
      </c>
    </row>
    <row r="31" spans="1:5" x14ac:dyDescent="0.2">
      <c r="A31" s="1">
        <v>44333</v>
      </c>
      <c r="B31">
        <v>-25.04</v>
      </c>
      <c r="C31" t="s">
        <v>1</v>
      </c>
      <c r="D31" t="s">
        <v>26</v>
      </c>
      <c r="E31" t="s">
        <v>87</v>
      </c>
    </row>
    <row r="32" spans="1:5" x14ac:dyDescent="0.2">
      <c r="A32" s="1">
        <v>44363</v>
      </c>
      <c r="B32">
        <v>-25.04</v>
      </c>
      <c r="C32" t="s">
        <v>1</v>
      </c>
      <c r="D32" t="s">
        <v>12</v>
      </c>
      <c r="E32" t="s">
        <v>87</v>
      </c>
    </row>
    <row r="33" spans="1:5" x14ac:dyDescent="0.2">
      <c r="A33" s="1">
        <v>44159</v>
      </c>
      <c r="B33">
        <v>-86.64</v>
      </c>
      <c r="C33" t="s">
        <v>1</v>
      </c>
      <c r="D33" t="s">
        <v>66</v>
      </c>
      <c r="E33" t="s">
        <v>87</v>
      </c>
    </row>
    <row r="34" spans="1:5" x14ac:dyDescent="0.2">
      <c r="A34" s="1">
        <v>44130</v>
      </c>
      <c r="B34">
        <v>-86.64</v>
      </c>
      <c r="C34" t="s">
        <v>1</v>
      </c>
      <c r="D34" t="s">
        <v>66</v>
      </c>
      <c r="E34" t="s">
        <v>87</v>
      </c>
    </row>
    <row r="35" spans="1:5" x14ac:dyDescent="0.2">
      <c r="A35" s="1">
        <v>44098</v>
      </c>
      <c r="B35">
        <v>-86.64</v>
      </c>
      <c r="C35" t="s">
        <v>1</v>
      </c>
      <c r="D35" t="s">
        <v>66</v>
      </c>
      <c r="E35" t="s">
        <v>87</v>
      </c>
    </row>
    <row r="36" spans="1:5" x14ac:dyDescent="0.2">
      <c r="A36" s="1">
        <v>44068</v>
      </c>
      <c r="B36">
        <v>-86.64</v>
      </c>
      <c r="C36" t="s">
        <v>1</v>
      </c>
      <c r="D36" t="s">
        <v>66</v>
      </c>
      <c r="E36" t="s">
        <v>87</v>
      </c>
    </row>
    <row r="37" spans="1:5" x14ac:dyDescent="0.2">
      <c r="A37" s="1">
        <v>44036</v>
      </c>
      <c r="B37">
        <v>-86.64</v>
      </c>
      <c r="C37" t="s">
        <v>1</v>
      </c>
      <c r="D37" t="s">
        <v>66</v>
      </c>
      <c r="E37" t="s">
        <v>87</v>
      </c>
    </row>
    <row r="38" spans="1:5" x14ac:dyDescent="0.2">
      <c r="A38" s="1">
        <v>44172</v>
      </c>
      <c r="B38">
        <v>-23.16</v>
      </c>
      <c r="C38" t="s">
        <v>1</v>
      </c>
      <c r="D38" t="s">
        <v>64</v>
      </c>
      <c r="E38" t="s">
        <v>88</v>
      </c>
    </row>
    <row r="39" spans="1:5" x14ac:dyDescent="0.2">
      <c r="A39" s="1">
        <v>44154</v>
      </c>
      <c r="B39">
        <v>-61.21</v>
      </c>
      <c r="C39" t="s">
        <v>1</v>
      </c>
      <c r="D39" t="s">
        <v>64</v>
      </c>
      <c r="E39" t="s">
        <v>88</v>
      </c>
    </row>
    <row r="40" spans="1:5" x14ac:dyDescent="0.2">
      <c r="A40" s="1">
        <v>44124</v>
      </c>
      <c r="B40">
        <v>-61.21</v>
      </c>
      <c r="C40" t="s">
        <v>1</v>
      </c>
      <c r="D40" t="s">
        <v>64</v>
      </c>
      <c r="E40" t="s">
        <v>88</v>
      </c>
    </row>
    <row r="41" spans="1:5" x14ac:dyDescent="0.2">
      <c r="A41" s="1">
        <v>44095</v>
      </c>
      <c r="B41">
        <v>-61.21</v>
      </c>
      <c r="C41" t="s">
        <v>1</v>
      </c>
      <c r="D41" t="s">
        <v>64</v>
      </c>
      <c r="E41" t="s">
        <v>88</v>
      </c>
    </row>
    <row r="42" spans="1:5" x14ac:dyDescent="0.2">
      <c r="A42" s="1">
        <v>44062</v>
      </c>
      <c r="B42">
        <v>-61.21</v>
      </c>
      <c r="C42" t="s">
        <v>1</v>
      </c>
      <c r="D42" t="s">
        <v>64</v>
      </c>
      <c r="E42" t="s">
        <v>88</v>
      </c>
    </row>
    <row r="43" spans="1:5" x14ac:dyDescent="0.2">
      <c r="A43" s="1">
        <v>44033</v>
      </c>
      <c r="B43">
        <v>-61.21</v>
      </c>
      <c r="C43" t="s">
        <v>1</v>
      </c>
      <c r="D43" t="s">
        <v>64</v>
      </c>
      <c r="E43" t="s">
        <v>88</v>
      </c>
    </row>
    <row r="44" spans="1:5" x14ac:dyDescent="0.2">
      <c r="A44" s="1">
        <v>44286</v>
      </c>
      <c r="B44">
        <v>0.03</v>
      </c>
      <c r="C44" t="s">
        <v>0</v>
      </c>
      <c r="D44" t="s">
        <v>37</v>
      </c>
    </row>
    <row r="45" spans="1:5" x14ac:dyDescent="0.2">
      <c r="A45" s="1">
        <v>44196</v>
      </c>
      <c r="B45">
        <v>0.05</v>
      </c>
      <c r="C45" t="s">
        <v>0</v>
      </c>
      <c r="D45" t="s">
        <v>37</v>
      </c>
    </row>
    <row r="46" spans="1:5" x14ac:dyDescent="0.2">
      <c r="A46" s="1">
        <v>44104</v>
      </c>
      <c r="B46">
        <v>0.16</v>
      </c>
      <c r="C46" t="s">
        <v>0</v>
      </c>
      <c r="D46" t="s">
        <v>37</v>
      </c>
    </row>
    <row r="47" spans="1:5" x14ac:dyDescent="0.2">
      <c r="A47" s="1">
        <v>44369</v>
      </c>
      <c r="B47">
        <v>-2152.86</v>
      </c>
      <c r="C47" t="s">
        <v>4</v>
      </c>
      <c r="D47" t="s">
        <v>5</v>
      </c>
      <c r="E47" t="s">
        <v>103</v>
      </c>
    </row>
    <row r="48" spans="1:5" x14ac:dyDescent="0.2">
      <c r="A48" s="1">
        <v>44119</v>
      </c>
      <c r="B48">
        <v>-355</v>
      </c>
      <c r="C48" t="s">
        <v>4</v>
      </c>
      <c r="D48" t="s">
        <v>76</v>
      </c>
      <c r="E48" t="s">
        <v>110</v>
      </c>
    </row>
    <row r="49" spans="1:5" x14ac:dyDescent="0.2">
      <c r="A49" s="1">
        <v>44119</v>
      </c>
      <c r="B49">
        <v>-349</v>
      </c>
      <c r="C49" t="s">
        <v>4</v>
      </c>
      <c r="D49" t="s">
        <v>77</v>
      </c>
      <c r="E49" t="s">
        <v>110</v>
      </c>
    </row>
    <row r="50" spans="1:5" x14ac:dyDescent="0.2">
      <c r="A50" s="1">
        <v>44334</v>
      </c>
      <c r="B50">
        <v>-283.86</v>
      </c>
      <c r="C50" t="s">
        <v>4</v>
      </c>
      <c r="D50" t="s">
        <v>23</v>
      </c>
      <c r="E50" t="s">
        <v>89</v>
      </c>
    </row>
    <row r="51" spans="1:5" x14ac:dyDescent="0.2">
      <c r="A51" s="1">
        <v>44186</v>
      </c>
      <c r="B51">
        <v>-141.93</v>
      </c>
      <c r="C51" t="s">
        <v>4</v>
      </c>
      <c r="D51" t="s">
        <v>23</v>
      </c>
      <c r="E51" t="s">
        <v>89</v>
      </c>
    </row>
    <row r="52" spans="1:5" x14ac:dyDescent="0.2">
      <c r="A52" s="1">
        <v>44057</v>
      </c>
      <c r="B52">
        <v>-220.95</v>
      </c>
      <c r="C52" t="s">
        <v>4</v>
      </c>
      <c r="D52" t="s">
        <v>23</v>
      </c>
      <c r="E52" t="s">
        <v>89</v>
      </c>
    </row>
    <row r="53" spans="1:5" x14ac:dyDescent="0.2">
      <c r="A53" s="1">
        <v>44334</v>
      </c>
      <c r="B53">
        <v>-352.27</v>
      </c>
      <c r="C53" t="s">
        <v>4</v>
      </c>
      <c r="D53" t="s">
        <v>22</v>
      </c>
      <c r="E53" t="s">
        <v>90</v>
      </c>
    </row>
    <row r="54" spans="1:5" x14ac:dyDescent="0.2">
      <c r="A54" s="1">
        <v>44186</v>
      </c>
      <c r="B54">
        <v>-141.93</v>
      </c>
      <c r="C54" t="s">
        <v>4</v>
      </c>
      <c r="D54" t="s">
        <v>22</v>
      </c>
      <c r="E54" t="s">
        <v>90</v>
      </c>
    </row>
    <row r="55" spans="1:5" x14ac:dyDescent="0.2">
      <c r="A55" s="1">
        <v>44057</v>
      </c>
      <c r="B55">
        <v>-220.95</v>
      </c>
      <c r="C55" t="s">
        <v>4</v>
      </c>
      <c r="D55" t="s">
        <v>22</v>
      </c>
      <c r="E55" t="s">
        <v>90</v>
      </c>
    </row>
    <row r="56" spans="1:5" x14ac:dyDescent="0.2">
      <c r="A56" s="1">
        <v>44344</v>
      </c>
      <c r="B56">
        <v>-655.4</v>
      </c>
      <c r="C56" t="s">
        <v>4</v>
      </c>
      <c r="D56" t="s">
        <v>13</v>
      </c>
      <c r="E56" t="s">
        <v>91</v>
      </c>
    </row>
    <row r="57" spans="1:5" x14ac:dyDescent="0.2">
      <c r="A57" s="1">
        <v>44186</v>
      </c>
      <c r="B57">
        <v>-325</v>
      </c>
      <c r="C57" t="s">
        <v>4</v>
      </c>
      <c r="D57" t="s">
        <v>13</v>
      </c>
      <c r="E57" t="s">
        <v>91</v>
      </c>
    </row>
    <row r="58" spans="1:5" x14ac:dyDescent="0.2">
      <c r="A58" s="1">
        <v>44116</v>
      </c>
      <c r="B58">
        <v>-328.9</v>
      </c>
      <c r="C58" t="s">
        <v>4</v>
      </c>
      <c r="D58" t="s">
        <v>13</v>
      </c>
      <c r="E58" t="s">
        <v>91</v>
      </c>
    </row>
    <row r="59" spans="1:5" x14ac:dyDescent="0.2">
      <c r="A59" s="1">
        <v>44344</v>
      </c>
      <c r="B59">
        <v>-619.1</v>
      </c>
      <c r="C59" t="s">
        <v>4</v>
      </c>
      <c r="D59" t="s">
        <v>14</v>
      </c>
      <c r="E59" t="s">
        <v>92</v>
      </c>
    </row>
    <row r="60" spans="1:5" x14ac:dyDescent="0.2">
      <c r="A60" s="1">
        <v>44186</v>
      </c>
      <c r="B60">
        <v>-307</v>
      </c>
      <c r="C60" t="s">
        <v>4</v>
      </c>
      <c r="D60" t="s">
        <v>14</v>
      </c>
      <c r="E60" t="s">
        <v>92</v>
      </c>
    </row>
    <row r="61" spans="1:5" x14ac:dyDescent="0.2">
      <c r="A61" s="1">
        <v>44105</v>
      </c>
      <c r="B61">
        <v>-307.8</v>
      </c>
      <c r="C61" t="s">
        <v>4</v>
      </c>
      <c r="D61" t="s">
        <v>14</v>
      </c>
      <c r="E61" t="s">
        <v>92</v>
      </c>
    </row>
    <row r="62" spans="1:5" x14ac:dyDescent="0.2">
      <c r="A62" s="1">
        <v>44319</v>
      </c>
      <c r="B62">
        <v>-1600</v>
      </c>
      <c r="C62" t="s">
        <v>4</v>
      </c>
      <c r="D62" t="s">
        <v>30</v>
      </c>
    </row>
    <row r="63" spans="1:5" x14ac:dyDescent="0.2">
      <c r="A63" s="1">
        <v>44203</v>
      </c>
      <c r="B63">
        <v>-467.5</v>
      </c>
      <c r="C63" t="s">
        <v>4</v>
      </c>
      <c r="D63" t="s">
        <v>51</v>
      </c>
    </row>
    <row r="64" spans="1:5" x14ac:dyDescent="0.2">
      <c r="A64" s="1">
        <v>44252</v>
      </c>
      <c r="B64">
        <v>-910</v>
      </c>
      <c r="C64" t="s">
        <v>4</v>
      </c>
      <c r="D64" t="s">
        <v>43</v>
      </c>
    </row>
    <row r="65" spans="1:5" x14ac:dyDescent="0.2">
      <c r="A65" s="1">
        <v>44196</v>
      </c>
      <c r="B65">
        <v>-579.9</v>
      </c>
      <c r="C65" t="s">
        <v>4</v>
      </c>
      <c r="D65" t="s">
        <v>58</v>
      </c>
    </row>
    <row r="66" spans="1:5" x14ac:dyDescent="0.2">
      <c r="A66" s="1">
        <v>44196</v>
      </c>
      <c r="B66">
        <v>-1318.95</v>
      </c>
      <c r="C66" t="s">
        <v>4</v>
      </c>
      <c r="D66" t="s">
        <v>57</v>
      </c>
    </row>
    <row r="67" spans="1:5" x14ac:dyDescent="0.2">
      <c r="A67" s="1">
        <v>44294</v>
      </c>
      <c r="B67">
        <v>-100</v>
      </c>
      <c r="C67" t="s">
        <v>4</v>
      </c>
      <c r="D67" t="s">
        <v>35</v>
      </c>
      <c r="E67" t="s">
        <v>101</v>
      </c>
    </row>
    <row r="68" spans="1:5" x14ac:dyDescent="0.2">
      <c r="A68" s="1">
        <v>44151</v>
      </c>
      <c r="B68">
        <v>-100</v>
      </c>
      <c r="C68" t="s">
        <v>4</v>
      </c>
      <c r="D68" t="s">
        <v>67</v>
      </c>
    </row>
    <row r="69" spans="1:5" x14ac:dyDescent="0.2">
      <c r="A69" s="1">
        <v>44368</v>
      </c>
      <c r="B69">
        <v>2100</v>
      </c>
      <c r="C69" t="s">
        <v>7</v>
      </c>
      <c r="D69" t="s">
        <v>9</v>
      </c>
    </row>
    <row r="70" spans="1:5" x14ac:dyDescent="0.2">
      <c r="A70" s="1">
        <v>44368</v>
      </c>
      <c r="B70">
        <v>-900</v>
      </c>
      <c r="C70" t="s">
        <v>4</v>
      </c>
      <c r="D70" t="s">
        <v>6</v>
      </c>
    </row>
    <row r="71" spans="1:5" x14ac:dyDescent="0.2">
      <c r="A71" s="1">
        <v>44104</v>
      </c>
      <c r="B71">
        <v>-1000</v>
      </c>
      <c r="C71" t="s">
        <v>4</v>
      </c>
      <c r="D71" t="s">
        <v>78</v>
      </c>
    </row>
    <row r="72" spans="1:5" x14ac:dyDescent="0.2">
      <c r="A72" s="1">
        <v>44144</v>
      </c>
      <c r="B72">
        <v>-100</v>
      </c>
      <c r="C72" t="s">
        <v>4</v>
      </c>
      <c r="D72" t="s">
        <v>73</v>
      </c>
    </row>
    <row r="73" spans="1:5" x14ac:dyDescent="0.2">
      <c r="A73" s="1">
        <v>44189</v>
      </c>
      <c r="B73">
        <v>1000</v>
      </c>
      <c r="C73" t="s">
        <v>7</v>
      </c>
      <c r="D73" t="s">
        <v>61</v>
      </c>
    </row>
    <row r="74" spans="1:5" x14ac:dyDescent="0.2">
      <c r="A74" s="1">
        <v>44316</v>
      </c>
      <c r="B74">
        <v>-1400</v>
      </c>
      <c r="C74" t="s">
        <v>4</v>
      </c>
      <c r="D74" t="s">
        <v>31</v>
      </c>
    </row>
    <row r="75" spans="1:5" x14ac:dyDescent="0.2">
      <c r="A75" s="1">
        <v>44088</v>
      </c>
      <c r="B75">
        <v>-1250</v>
      </c>
      <c r="C75" t="s">
        <v>4</v>
      </c>
      <c r="D75" t="s">
        <v>80</v>
      </c>
    </row>
    <row r="76" spans="1:5" x14ac:dyDescent="0.2">
      <c r="A76" s="1">
        <v>44340</v>
      </c>
      <c r="B76">
        <v>-800</v>
      </c>
      <c r="C76" t="s">
        <v>4</v>
      </c>
      <c r="D76" t="s">
        <v>20</v>
      </c>
    </row>
    <row r="77" spans="1:5" x14ac:dyDescent="0.2">
      <c r="A77" s="1">
        <v>44298</v>
      </c>
      <c r="B77">
        <v>-200</v>
      </c>
      <c r="C77" t="s">
        <v>4</v>
      </c>
      <c r="D77" t="s">
        <v>34</v>
      </c>
    </row>
    <row r="78" spans="1:5" x14ac:dyDescent="0.2">
      <c r="A78" s="1">
        <v>44147</v>
      </c>
      <c r="B78">
        <v>2000</v>
      </c>
      <c r="C78" t="s">
        <v>7</v>
      </c>
      <c r="D78" t="s">
        <v>68</v>
      </c>
    </row>
    <row r="79" spans="1:5" x14ac:dyDescent="0.2">
      <c r="A79" s="1">
        <v>44334</v>
      </c>
      <c r="B79">
        <v>1900</v>
      </c>
      <c r="C79" t="s">
        <v>7</v>
      </c>
      <c r="D79" t="s">
        <v>24</v>
      </c>
    </row>
    <row r="80" spans="1:5" x14ac:dyDescent="0.2">
      <c r="A80" s="1">
        <v>44160</v>
      </c>
      <c r="B80">
        <v>600</v>
      </c>
      <c r="C80" t="s">
        <v>7</v>
      </c>
      <c r="D80" t="s">
        <v>65</v>
      </c>
    </row>
    <row r="81" spans="1:4" x14ac:dyDescent="0.2">
      <c r="A81" s="1">
        <v>44251</v>
      </c>
      <c r="B81">
        <v>450</v>
      </c>
      <c r="C81" t="s">
        <v>7</v>
      </c>
      <c r="D81" t="s">
        <v>46</v>
      </c>
    </row>
    <row r="82" spans="1:4" x14ac:dyDescent="0.2">
      <c r="A82" s="1">
        <v>44270</v>
      </c>
      <c r="B82">
        <v>-400</v>
      </c>
      <c r="C82" t="s">
        <v>4</v>
      </c>
      <c r="D82" t="s">
        <v>41</v>
      </c>
    </row>
    <row r="83" spans="1:4" x14ac:dyDescent="0.2">
      <c r="A83" s="1">
        <v>44319</v>
      </c>
      <c r="B83">
        <v>1600</v>
      </c>
      <c r="C83" t="s">
        <v>7</v>
      </c>
      <c r="D83" t="s">
        <v>29</v>
      </c>
    </row>
    <row r="84" spans="1:4" x14ac:dyDescent="0.2">
      <c r="A84" s="1">
        <v>44144</v>
      </c>
      <c r="B84">
        <v>-100</v>
      </c>
      <c r="C84" t="s">
        <v>4</v>
      </c>
      <c r="D84" t="s">
        <v>72</v>
      </c>
    </row>
    <row r="85" spans="1:4" x14ac:dyDescent="0.2">
      <c r="A85" s="1">
        <v>44284</v>
      </c>
      <c r="B85">
        <v>-1485</v>
      </c>
      <c r="C85" t="s">
        <v>4</v>
      </c>
      <c r="D85" t="s">
        <v>38</v>
      </c>
    </row>
    <row r="86" spans="1:4" x14ac:dyDescent="0.2">
      <c r="A86" s="1">
        <v>44132</v>
      </c>
      <c r="B86">
        <v>-240</v>
      </c>
      <c r="C86" t="s">
        <v>4</v>
      </c>
      <c r="D86" t="s">
        <v>75</v>
      </c>
    </row>
    <row r="87" spans="1:4" x14ac:dyDescent="0.2">
      <c r="A87" s="1">
        <v>44145</v>
      </c>
      <c r="B87">
        <v>-120</v>
      </c>
      <c r="C87" t="s">
        <v>4</v>
      </c>
      <c r="D87" t="s">
        <v>70</v>
      </c>
    </row>
    <row r="88" spans="1:4" x14ac:dyDescent="0.2">
      <c r="A88" s="1">
        <v>44203</v>
      </c>
      <c r="B88">
        <v>500</v>
      </c>
      <c r="C88" t="s">
        <v>7</v>
      </c>
      <c r="D88" t="s">
        <v>52</v>
      </c>
    </row>
    <row r="89" spans="1:4" x14ac:dyDescent="0.2">
      <c r="A89" s="1">
        <v>44139</v>
      </c>
      <c r="B89">
        <v>-2100</v>
      </c>
      <c r="C89" t="s">
        <v>4</v>
      </c>
      <c r="D89" t="s">
        <v>74</v>
      </c>
    </row>
    <row r="90" spans="1:4" x14ac:dyDescent="0.2">
      <c r="A90" s="1">
        <v>44343</v>
      </c>
      <c r="B90">
        <v>-100</v>
      </c>
      <c r="C90" t="s">
        <v>4</v>
      </c>
      <c r="D90" t="s">
        <v>15</v>
      </c>
    </row>
    <row r="91" spans="1:4" x14ac:dyDescent="0.2">
      <c r="A91" s="1">
        <v>44196</v>
      </c>
      <c r="B91">
        <v>1000</v>
      </c>
      <c r="C91" t="s">
        <v>7</v>
      </c>
      <c r="D91" t="s">
        <v>59</v>
      </c>
    </row>
    <row r="92" spans="1:4" x14ac:dyDescent="0.2">
      <c r="A92" s="1">
        <v>44075</v>
      </c>
      <c r="B92">
        <v>-1000</v>
      </c>
      <c r="C92" t="s">
        <v>4</v>
      </c>
      <c r="D92" t="s">
        <v>81</v>
      </c>
    </row>
    <row r="93" spans="1:4" x14ac:dyDescent="0.2">
      <c r="A93" s="1">
        <v>44176</v>
      </c>
      <c r="B93">
        <v>500</v>
      </c>
      <c r="C93" t="s">
        <v>7</v>
      </c>
      <c r="D93" t="s">
        <v>62</v>
      </c>
    </row>
    <row r="94" spans="1:4" x14ac:dyDescent="0.2">
      <c r="A94" s="1">
        <v>44146</v>
      </c>
      <c r="B94">
        <v>-1250</v>
      </c>
      <c r="C94" t="s">
        <v>4</v>
      </c>
      <c r="D94" t="s">
        <v>69</v>
      </c>
    </row>
    <row r="95" spans="1:4" x14ac:dyDescent="0.2">
      <c r="A95" s="1">
        <v>44201</v>
      </c>
      <c r="B95">
        <v>-70</v>
      </c>
      <c r="C95" t="s">
        <v>4</v>
      </c>
      <c r="D95" t="s">
        <v>55</v>
      </c>
    </row>
    <row r="96" spans="1:4" x14ac:dyDescent="0.2">
      <c r="A96" s="1">
        <v>44098</v>
      </c>
      <c r="B96">
        <v>-4000</v>
      </c>
      <c r="C96" t="s">
        <v>4</v>
      </c>
      <c r="D96" t="s">
        <v>79</v>
      </c>
    </row>
    <row r="97" spans="1:4" x14ac:dyDescent="0.2">
      <c r="A97" s="1">
        <v>44342</v>
      </c>
      <c r="B97">
        <v>1000</v>
      </c>
      <c r="C97" t="s">
        <v>7</v>
      </c>
      <c r="D97" t="s">
        <v>19</v>
      </c>
    </row>
    <row r="98" spans="1:4" x14ac:dyDescent="0.2">
      <c r="A98" s="1">
        <v>44342</v>
      </c>
      <c r="B98">
        <v>-1000</v>
      </c>
      <c r="C98" t="s">
        <v>4</v>
      </c>
      <c r="D98" t="s">
        <v>17</v>
      </c>
    </row>
    <row r="99" spans="1:4" x14ac:dyDescent="0.2">
      <c r="A99" s="1">
        <v>44201</v>
      </c>
      <c r="B99">
        <v>-5</v>
      </c>
      <c r="C99" t="s">
        <v>4</v>
      </c>
      <c r="D99" t="s">
        <v>56</v>
      </c>
    </row>
    <row r="100" spans="1:4" x14ac:dyDescent="0.2">
      <c r="A100" s="1">
        <v>44144</v>
      </c>
      <c r="B100">
        <v>-100</v>
      </c>
      <c r="C100" t="s">
        <v>4</v>
      </c>
      <c r="D100" t="s">
        <v>71</v>
      </c>
    </row>
    <row r="101" spans="1:4" x14ac:dyDescent="0.2">
      <c r="A101" s="1">
        <v>44328</v>
      </c>
      <c r="B101">
        <v>1345.1</v>
      </c>
      <c r="C101" t="s">
        <v>27</v>
      </c>
      <c r="D101" t="s">
        <v>28</v>
      </c>
    </row>
    <row r="102" spans="1:4" x14ac:dyDescent="0.2">
      <c r="A102" s="1">
        <v>44211</v>
      </c>
      <c r="B102">
        <v>1345.1</v>
      </c>
      <c r="C102" t="s">
        <v>27</v>
      </c>
      <c r="D102" t="s">
        <v>28</v>
      </c>
    </row>
    <row r="103" spans="1:4" x14ac:dyDescent="0.2">
      <c r="A103" s="1">
        <v>44112</v>
      </c>
      <c r="B103">
        <v>1533.66</v>
      </c>
      <c r="C103" t="s">
        <v>27</v>
      </c>
      <c r="D103" t="s">
        <v>28</v>
      </c>
    </row>
    <row r="104" spans="1:4" x14ac:dyDescent="0.2">
      <c r="A104" s="1">
        <v>44074</v>
      </c>
      <c r="B104">
        <v>1533.66</v>
      </c>
      <c r="C104" t="s">
        <v>27</v>
      </c>
      <c r="D104" t="s">
        <v>28</v>
      </c>
    </row>
    <row r="105" spans="1:4" x14ac:dyDescent="0.2">
      <c r="A105" s="1">
        <v>44014</v>
      </c>
      <c r="B105">
        <v>1533.66</v>
      </c>
      <c r="C105" t="s">
        <v>27</v>
      </c>
      <c r="D105" t="s">
        <v>28</v>
      </c>
    </row>
    <row r="106" spans="1:4" x14ac:dyDescent="0.2">
      <c r="A106" s="1">
        <v>44204</v>
      </c>
      <c r="B106">
        <v>906.5</v>
      </c>
      <c r="C106" t="s">
        <v>27</v>
      </c>
      <c r="D106" t="s">
        <v>50</v>
      </c>
    </row>
    <row r="107" spans="1:4" x14ac:dyDescent="0.2">
      <c r="A107" s="1">
        <v>44195</v>
      </c>
      <c r="B107">
        <v>1318.95</v>
      </c>
      <c r="C107" t="s">
        <v>45</v>
      </c>
      <c r="D107" t="s">
        <v>60</v>
      </c>
    </row>
    <row r="108" spans="1:4" x14ac:dyDescent="0.2">
      <c r="A108" s="1">
        <v>44252</v>
      </c>
      <c r="B108">
        <v>-910</v>
      </c>
      <c r="C108" t="s">
        <v>4</v>
      </c>
      <c r="D108" t="s">
        <v>44</v>
      </c>
    </row>
    <row r="109" spans="1:4" x14ac:dyDescent="0.2">
      <c r="A109" s="1">
        <v>44252</v>
      </c>
      <c r="B109">
        <v>910</v>
      </c>
      <c r="C109" t="s">
        <v>45</v>
      </c>
      <c r="D109" t="s">
        <v>44</v>
      </c>
    </row>
    <row r="110" spans="1:4" x14ac:dyDescent="0.2">
      <c r="A110" s="1">
        <v>44375</v>
      </c>
      <c r="B110">
        <v>-804</v>
      </c>
      <c r="C110" t="s">
        <v>1</v>
      </c>
      <c r="D110" t="s">
        <v>3</v>
      </c>
    </row>
    <row r="111" spans="1:4" x14ac:dyDescent="0.2">
      <c r="A111" s="1">
        <v>44342</v>
      </c>
      <c r="B111">
        <v>-778.06</v>
      </c>
      <c r="C111" t="s">
        <v>1</v>
      </c>
      <c r="D111" t="s">
        <v>18</v>
      </c>
    </row>
    <row r="112" spans="1:4" x14ac:dyDescent="0.2">
      <c r="A112" s="1">
        <v>44312</v>
      </c>
      <c r="B112">
        <v>-804</v>
      </c>
      <c r="C112" t="s">
        <v>1</v>
      </c>
      <c r="D112" t="s">
        <v>18</v>
      </c>
    </row>
    <row r="113" spans="1:4" x14ac:dyDescent="0.2">
      <c r="A113" s="1">
        <v>44281</v>
      </c>
      <c r="B113">
        <v>-726.2</v>
      </c>
      <c r="C113" t="s">
        <v>1</v>
      </c>
      <c r="D113" t="s">
        <v>18</v>
      </c>
    </row>
    <row r="114" spans="1:4" x14ac:dyDescent="0.2">
      <c r="A114" s="1">
        <v>44253</v>
      </c>
      <c r="B114">
        <v>-804.02</v>
      </c>
      <c r="C114" t="s">
        <v>1</v>
      </c>
      <c r="D114" t="s">
        <v>18</v>
      </c>
    </row>
    <row r="115" spans="1:4" x14ac:dyDescent="0.2">
      <c r="A115" s="1">
        <v>44223</v>
      </c>
      <c r="B115">
        <v>-804.02</v>
      </c>
      <c r="C115" t="s">
        <v>1</v>
      </c>
      <c r="D115" t="s">
        <v>18</v>
      </c>
    </row>
    <row r="116" spans="1:4" x14ac:dyDescent="0.2">
      <c r="A116" s="1">
        <v>44194</v>
      </c>
      <c r="B116">
        <v>-903.14</v>
      </c>
      <c r="C116" t="s">
        <v>1</v>
      </c>
      <c r="D116" t="s">
        <v>18</v>
      </c>
    </row>
    <row r="117" spans="1:4" x14ac:dyDescent="0.2">
      <c r="A117" s="1">
        <v>44161</v>
      </c>
      <c r="B117">
        <v>-1008.09</v>
      </c>
      <c r="C117" t="s">
        <v>1</v>
      </c>
      <c r="D117" t="s">
        <v>18</v>
      </c>
    </row>
    <row r="118" spans="1:4" x14ac:dyDescent="0.2">
      <c r="A118" s="1">
        <v>44130</v>
      </c>
      <c r="B118">
        <v>-1045.92</v>
      </c>
      <c r="C118" t="s">
        <v>1</v>
      </c>
      <c r="D118" t="s">
        <v>18</v>
      </c>
    </row>
    <row r="119" spans="1:4" x14ac:dyDescent="0.2">
      <c r="A119" s="1">
        <v>44375</v>
      </c>
      <c r="B119">
        <v>-1079.27</v>
      </c>
      <c r="C119" t="s">
        <v>1</v>
      </c>
      <c r="D119" t="s">
        <v>2</v>
      </c>
    </row>
    <row r="120" spans="1:4" x14ac:dyDescent="0.2">
      <c r="A120" s="1">
        <v>44342</v>
      </c>
      <c r="B120">
        <v>-1044.46</v>
      </c>
      <c r="C120" t="s">
        <v>1</v>
      </c>
      <c r="D120" t="s">
        <v>16</v>
      </c>
    </row>
    <row r="121" spans="1:4" x14ac:dyDescent="0.2">
      <c r="A121" s="1">
        <v>44312</v>
      </c>
      <c r="B121">
        <v>-1079.27</v>
      </c>
      <c r="C121" t="s">
        <v>1</v>
      </c>
      <c r="D121" t="s">
        <v>16</v>
      </c>
    </row>
    <row r="122" spans="1:4" x14ac:dyDescent="0.2">
      <c r="A122" s="1">
        <v>44281</v>
      </c>
      <c r="B122">
        <v>-974.83</v>
      </c>
      <c r="C122" t="s">
        <v>1</v>
      </c>
      <c r="D122" t="s">
        <v>16</v>
      </c>
    </row>
    <row r="123" spans="1:4" x14ac:dyDescent="0.2">
      <c r="A123" s="1">
        <v>44253</v>
      </c>
      <c r="B123">
        <v>-1079.27</v>
      </c>
      <c r="C123" t="s">
        <v>1</v>
      </c>
      <c r="D123" t="s">
        <v>16</v>
      </c>
    </row>
    <row r="124" spans="1:4" x14ac:dyDescent="0.2">
      <c r="A124" s="1">
        <v>44223</v>
      </c>
      <c r="B124">
        <v>-1273.69</v>
      </c>
      <c r="C124" t="s">
        <v>1</v>
      </c>
      <c r="D124" t="s">
        <v>16</v>
      </c>
    </row>
    <row r="125" spans="1:4" x14ac:dyDescent="0.2">
      <c r="A125" s="1">
        <v>44194</v>
      </c>
      <c r="B125">
        <v>-1318.95</v>
      </c>
      <c r="C125" t="s">
        <v>1</v>
      </c>
      <c r="D125" t="s">
        <v>16</v>
      </c>
    </row>
    <row r="126" spans="1:4" x14ac:dyDescent="0.2">
      <c r="A126" s="1">
        <v>44161</v>
      </c>
      <c r="B126">
        <v>-1362.96</v>
      </c>
      <c r="C126" t="s">
        <v>1</v>
      </c>
      <c r="D126" t="s">
        <v>16</v>
      </c>
    </row>
    <row r="127" spans="1:4" x14ac:dyDescent="0.2">
      <c r="A127" s="1">
        <v>44130</v>
      </c>
      <c r="B127">
        <v>-1319.28</v>
      </c>
      <c r="C127" t="s">
        <v>1</v>
      </c>
      <c r="D127" t="s">
        <v>16</v>
      </c>
    </row>
    <row r="128" spans="1:4" x14ac:dyDescent="0.2">
      <c r="A128" s="1">
        <v>44377</v>
      </c>
      <c r="B128">
        <v>0.03</v>
      </c>
      <c r="C128" t="s">
        <v>0</v>
      </c>
    </row>
  </sheetData>
  <autoFilter ref="A1:E128" xr:uid="{8F3A4B8F-E42E-EA47-9E32-9CC901E0A2E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Powlett 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2021-07-14T10:06:43Z</dcterms:created>
  <dcterms:modified xsi:type="dcterms:W3CDTF">2021-07-16T23:32:43Z</dcterms:modified>
</cp:coreProperties>
</file>