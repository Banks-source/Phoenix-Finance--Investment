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121680/Desktop/Lloyd/Taxes FY23/2.Thomas Property Empire/Powlett St/"/>
    </mc:Choice>
  </mc:AlternateContent>
  <xr:revisionPtr revIDLastSave="0" documentId="13_ncr:1_{45ACB77C-729E-8144-90D4-63D2421BA25C}" xr6:coauthVersionLast="47" xr6:coauthVersionMax="47" xr10:uidLastSave="{00000000-0000-0000-0000-000000000000}"/>
  <bookViews>
    <workbookView xWindow="38400" yWindow="500" windowWidth="38400" windowHeight="19400" xr2:uid="{00000000-000D-0000-FFFF-FFFF00000000}"/>
  </bookViews>
  <sheets>
    <sheet name="Sheet1" sheetId="2" r:id="rId1"/>
    <sheet name="Powlett St NAB" sheetId="1" r:id="rId2"/>
  </sheets>
  <definedNames>
    <definedName name="_xlnm._FilterDatabase" localSheetId="1" hidden="1">'Powlett St NAB'!$A$1:$F$67</definedName>
  </definedNames>
  <calcPr calcId="191029" iterate="1" concurrentCalc="0"/>
  <pivotCaches>
    <pivotCache cacheId="36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<sst xmlns="http://schemas.openxmlformats.org/spreadsheetml/2006/main" count="230" uniqueCount="82">
  <si>
    <t>Date</t>
  </si>
  <si>
    <t>Amount</t>
  </si>
  <si>
    <t>Transaction Type</t>
  </si>
  <si>
    <t>Transaction Details</t>
  </si>
  <si>
    <t>Category</t>
  </si>
  <si>
    <t>Merchant Name</t>
  </si>
  <si>
    <t>TRANSFER DEBIT</t>
  </si>
  <si>
    <t>ONLINE P8345521833 Linked Acc Trns THOMAS L</t>
  </si>
  <si>
    <t>Internal transfers</t>
  </si>
  <si>
    <t>TRANSFER CREDIT</t>
  </si>
  <si>
    <t>BEYOND PROPERTY ENTE18 Ashby Ct Rent Disbursement</t>
  </si>
  <si>
    <t>Transfers in</t>
  </si>
  <si>
    <t>RUDY W6689120824 Lloyd</t>
  </si>
  <si>
    <t>Transfers out</t>
  </si>
  <si>
    <t>ONLINE D4262524303 Linked Acc Trns THOMAS L</t>
  </si>
  <si>
    <t>ONLINE B4357742901 Linked Acc Trns THOMAS L</t>
  </si>
  <si>
    <t>ONLINE C8644991401 Linked Acc Trns THOMAS L</t>
  </si>
  <si>
    <t>ONLINE S7195081165 Linked Acc Trns THOMAS L</t>
  </si>
  <si>
    <t>ONLINE X0081125191 Linked Acc Trns THOMAS L</t>
  </si>
  <si>
    <t>ONLINE V3095110732 Linked Acc Trns THOMAS L</t>
  </si>
  <si>
    <t>RUDY Q8092712791</t>
  </si>
  <si>
    <t>ONLINE B8214991618 Linked Acc Trns THOMAS L</t>
  </si>
  <si>
    <t>BEYOND PROPERTY ENTE18 Ashby Cres Rent Disbursement</t>
  </si>
  <si>
    <t>AUTOMATIC DRAWING</t>
  </si>
  <si>
    <t>HOM695692416221116 RACV INSURANCE MR LLOYD THOMAS</t>
  </si>
  <si>
    <t>RACV</t>
  </si>
  <si>
    <t>INTERNET TRANSFER INV9572</t>
  </si>
  <si>
    <t>INTERNET TRANSFER</t>
  </si>
  <si>
    <t>ONLINE X6449097287 Linked Acc Trns THOMAS L</t>
  </si>
  <si>
    <t>S311061299800 BANK-M LLOYD THOMAS</t>
  </si>
  <si>
    <t>Westpac</t>
  </si>
  <si>
    <t>rudy R2707594822</t>
  </si>
  <si>
    <t>ONLINE K1607541847 Linked Acc Trns THOMAS L</t>
  </si>
  <si>
    <t>lloyd thomas W3507067422</t>
  </si>
  <si>
    <t>HOM695692416221016 RACV INSURANCE MR LLOYD THOMAS</t>
  </si>
  <si>
    <t>INTEREST PAID</t>
  </si>
  <si>
    <t>INTEREST</t>
  </si>
  <si>
    <t>Other income</t>
  </si>
  <si>
    <t>INTERNET BPAY ASIC 2291523842931</t>
  </si>
  <si>
    <t>Australian Securities &amp; Investments Commission</t>
  </si>
  <si>
    <t>ONLINE F7759007148 Linked Acc Trns THOMAS L</t>
  </si>
  <si>
    <t>ONLINE S9952742738 Linked Acc Trns THOMAS L</t>
  </si>
  <si>
    <t>ONLINE T7960742138 Linked Acc Trns THOMAS L</t>
  </si>
  <si>
    <t>BEYOND PROPERTY ENTE2/39 Powlett St Rent Disbursement</t>
  </si>
  <si>
    <t>ONLINE H0237150287 Linked Acc Trns THOMAS L</t>
  </si>
  <si>
    <t>INTERNET TRANSFER Funds trns</t>
  </si>
  <si>
    <t>ONLINE Z0752135827 Linked Acc Trns THOMAS L</t>
  </si>
  <si>
    <t>Rudolph Thomas C9987051027</t>
  </si>
  <si>
    <t>REVERSAL CREDIT</t>
  </si>
  <si>
    <t>HOM695692416220916 RACV INSURANCE MR LLOYD THOMAS</t>
  </si>
  <si>
    <t>ONLINE F0417541181 Linked Acc Trns THOMAS L</t>
  </si>
  <si>
    <t>ONLINE R7987150078 Linked Acc Trns THOMAS L</t>
  </si>
  <si>
    <t>ONLINE V6960514993 Linked Acc Trns THOMAS L</t>
  </si>
  <si>
    <t>Rudolph Thomas A5439105719</t>
  </si>
  <si>
    <t>HOM695692416220816 RACV INSURANCE MR LLOYD THOMAS</t>
  </si>
  <si>
    <t>ONLINE D1353175858 Linked Acc Trns THOMAS L</t>
  </si>
  <si>
    <t>ONLINE N3709514665 Linked Acc Trns THOMAS L</t>
  </si>
  <si>
    <t>ONLINE G9460901138 Linked Acc Trns THOMAS L</t>
  </si>
  <si>
    <t>ONLINE B3359511659 Linked Acc Trns THOMAS L</t>
  </si>
  <si>
    <t>ONLINE Q8537584813 Linked Acc Trns THOMAS L</t>
  </si>
  <si>
    <t>ONLINE D5353061934 Linked Acc Trns THOMAS L</t>
  </si>
  <si>
    <t>ONLINE G5217551302 Linked Acc Trns THOMAS L</t>
  </si>
  <si>
    <t>ONLINE A5260001858 Linked Acc Trns THOMAS L</t>
  </si>
  <si>
    <t>ONLINE H7373165510 Linked Acc Trns THOMAS L</t>
  </si>
  <si>
    <t>HOM695692416220716 RACV INSURANCE MR LLOYD THOMAS</t>
  </si>
  <si>
    <t>ONLINE N9454081914 Linked Acc Trns THOMAS L</t>
  </si>
  <si>
    <t>INTERNET BPAY HOBSONS BAY COUNCIL 42590002159</t>
  </si>
  <si>
    <t>Hobsons Bay City Council</t>
  </si>
  <si>
    <t>Insurance</t>
  </si>
  <si>
    <t>ASIC Fee</t>
  </si>
  <si>
    <t>Rates</t>
  </si>
  <si>
    <t>Interest</t>
  </si>
  <si>
    <t>Row Labels</t>
  </si>
  <si>
    <t>Grand Total</t>
  </si>
  <si>
    <t>Sum of Amount</t>
  </si>
  <si>
    <t>Depreciation</t>
  </si>
  <si>
    <t>Land Tax</t>
  </si>
  <si>
    <t>Sale</t>
  </si>
  <si>
    <t>Sale Price</t>
  </si>
  <si>
    <t>Legal Fees</t>
  </si>
  <si>
    <t>Commision &amp; Marketing</t>
  </si>
  <si>
    <t>BOM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</si>
</sst>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Lloyd Thomas" refreshedDate="45101.343196064816" createdVersion="8" refreshedVersion="8" minRefreshableVersion="3" recordCount="66" xr:uid="{00000000-000A-0000-FFFF-FFFF4E000000}">
  <cacheSource type="worksheet">
    <worksheetSource ref="A1:F67" sheet="Powlett St NAB"/>
  </cacheSource>
  <cacheFields count="6">
    <cacheField name="Date" numFmtId="15">
      <sharedItems containsSemiMixedTypes="0" containsNonDate="0" containsDate="1" containsString="0" minDate="2022-07-01T00:00:00" maxDate="2023-05-30T00:00:00"/>
    </cacheField>
    <cacheField name="Amount" numFmtId="0">
      <sharedItems containsSemiMixedTypes="0" containsString="0" containsNumber="1" minValue="-1983" maxValue="1980"/>
    </cacheField>
    <cacheField name="Transaction Type" numFmtId="0">
      <sharedItems/>
    </cacheField>
    <cacheField name="Transaction Details" numFmtId="0">
      <sharedItems/>
    </cacheField>
    <cacheField name="Category" numFmtId="0">
      <sharedItems count="8">
        <s v="Transfers in"/>
        <s v="Insurance"/>
        <s v="Other income"/>
        <s v="ASIC Fee"/>
        <s v="Rates"/>
        <s v="Transfers out"/>
        <s v="Internal transfers"/>
        <s v="Interest"/>
      </sharedItems>
    </cacheField>
    <cacheField name="Merchant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7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numFmtId="15" showAll="0"/>
    <pivotField dataField="1" showAll="0"/>
    <pivotField showAll="0"/>
    <pivotField showAll="0"/>
    <pivotField axis="axisRow" showAll="0">
      <items count="9">
        <item x="3"/>
        <item x="1"/>
        <item x="7"/>
        <item h="1" x="6"/>
        <item h="1" x="2"/>
        <item x="4"/>
        <item h="1" x="0"/>
        <item h="1" x="5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5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1"/>
  <sheetViews>
    <sheetView tabSelected="1" workbookViewId="0">
      <selection activeCell="B12" sqref="B12"/>
    </sheetView>
  </sheetViews>
  <sheetFormatPr baseColWidth="10" defaultRowHeight="16" x14ac:dyDescent="0.2"/>
  <cols>
    <col min="1" max="1" width="21.1640625" bestFit="1" customWidth="1"/>
    <col min="2" max="2" width="14" bestFit="1" customWidth="1"/>
  </cols>
  <sheetData>
    <row r="3" spans="1:2" x14ac:dyDescent="0.2">
      <c r="A3" s="2" t="s">
        <v>72</v>
      </c>
      <c r="B3" t="s">
        <v>74</v>
      </c>
    </row>
    <row r="4" spans="1:2" x14ac:dyDescent="0.2">
      <c r="A4" s="3" t="s">
        <v>69</v>
      </c>
      <c r="B4">
        <v>-290</v>
      </c>
    </row>
    <row r="5" spans="1:2" x14ac:dyDescent="0.2">
      <c r="A5" s="3" t="s">
        <v>68</v>
      </c>
      <c r="B5">
        <v>-149.70000000000002</v>
      </c>
    </row>
    <row r="6" spans="1:2" x14ac:dyDescent="0.2">
      <c r="A6" s="3" t="s">
        <v>71</v>
      </c>
      <c r="B6">
        <v>-3343.98</v>
      </c>
    </row>
    <row r="7" spans="1:2" x14ac:dyDescent="0.2">
      <c r="A7" s="3" t="s">
        <v>70</v>
      </c>
      <c r="B7">
        <v>-630.20000000000005</v>
      </c>
    </row>
    <row r="8" spans="1:2" x14ac:dyDescent="0.2">
      <c r="A8" s="3" t="s">
        <v>73</v>
      </c>
      <c r="B8">
        <v>-4413.88</v>
      </c>
    </row>
    <row r="10" spans="1:2" x14ac:dyDescent="0.2">
      <c r="A10" s="3" t="s">
        <v>75</v>
      </c>
      <c r="B10" s="4"/>
    </row>
    <row r="11" spans="1:2" x14ac:dyDescent="0.2">
      <c r="A11" s="3" t="s">
        <v>68</v>
      </c>
      <c r="B11" s="4">
        <v>-141</v>
      </c>
    </row>
    <row r="12" spans="1:2" x14ac:dyDescent="0.2">
      <c r="A12" s="5" t="s">
        <v>81</v>
      </c>
    </row>
    <row r="15" spans="1:2" x14ac:dyDescent="0.2">
      <c r="A15" s="3" t="s">
        <v>77</v>
      </c>
    </row>
    <row r="16" spans="1:2" x14ac:dyDescent="0.2">
      <c r="A16" s="3" t="s">
        <v>78</v>
      </c>
      <c r="B16">
        <v>445000</v>
      </c>
    </row>
    <row r="17" spans="1:2" x14ac:dyDescent="0.2">
      <c r="A17" t="s">
        <v>79</v>
      </c>
      <c r="B17">
        <v>-1295</v>
      </c>
    </row>
    <row r="18" spans="1:2" x14ac:dyDescent="0.2">
      <c r="A18" t="s">
        <v>80</v>
      </c>
      <c r="B18">
        <v>-8200</v>
      </c>
    </row>
    <row r="21" spans="1:2" x14ac:dyDescent="0.2">
      <c r="A21" s="3" t="s">
        <v>76</v>
      </c>
      <c r="B21">
        <f>-724+-524.3+-3906.88</f>
        <v>-5155.18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topLeftCell="A31" workbookViewId="0">
      <selection activeCell="H54" sqref="H54"/>
    </sheetView>
  </sheetViews>
  <sheetFormatPr baseColWidth="10" defaultRowHeight="16" x14ac:dyDescent="0.2"/>
  <cols>
    <col min="3" max="3" width="20.5" bestFit="1" customWidth="1"/>
    <col min="4" max="4" width="53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44890</v>
      </c>
      <c r="B2">
        <v>1980</v>
      </c>
      <c r="C2" t="s">
        <v>9</v>
      </c>
      <c r="D2" t="s">
        <v>22</v>
      </c>
      <c r="E2" t="s">
        <v>11</v>
      </c>
    </row>
    <row r="3" spans="1:6" x14ac:dyDescent="0.2">
      <c r="A3" s="1">
        <v>45075</v>
      </c>
      <c r="B3">
        <v>1980</v>
      </c>
      <c r="C3" t="s">
        <v>9</v>
      </c>
      <c r="D3" t="s">
        <v>10</v>
      </c>
      <c r="E3" t="s">
        <v>11</v>
      </c>
    </row>
    <row r="4" spans="1:6" x14ac:dyDescent="0.2">
      <c r="A4" s="1">
        <v>45048</v>
      </c>
      <c r="B4">
        <v>1980</v>
      </c>
      <c r="C4" t="s">
        <v>9</v>
      </c>
      <c r="D4" t="s">
        <v>10</v>
      </c>
      <c r="E4" t="s">
        <v>11</v>
      </c>
    </row>
    <row r="5" spans="1:6" x14ac:dyDescent="0.2">
      <c r="A5" s="1">
        <v>45005</v>
      </c>
      <c r="B5">
        <v>1980</v>
      </c>
      <c r="C5" t="s">
        <v>9</v>
      </c>
      <c r="D5" t="s">
        <v>10</v>
      </c>
      <c r="E5" t="s">
        <v>11</v>
      </c>
    </row>
    <row r="6" spans="1:6" x14ac:dyDescent="0.2">
      <c r="A6" s="1">
        <v>44977</v>
      </c>
      <c r="B6">
        <v>1980</v>
      </c>
      <c r="C6" t="s">
        <v>9</v>
      </c>
      <c r="D6" t="s">
        <v>10</v>
      </c>
      <c r="E6" t="s">
        <v>11</v>
      </c>
    </row>
    <row r="7" spans="1:6" x14ac:dyDescent="0.2">
      <c r="A7" s="1">
        <v>44950</v>
      </c>
      <c r="B7">
        <v>1980</v>
      </c>
      <c r="C7" t="s">
        <v>9</v>
      </c>
      <c r="D7" t="s">
        <v>10</v>
      </c>
      <c r="E7" t="s">
        <v>11</v>
      </c>
    </row>
    <row r="8" spans="1:6" x14ac:dyDescent="0.2">
      <c r="A8" s="1">
        <v>44923</v>
      </c>
      <c r="B8">
        <v>1980</v>
      </c>
      <c r="C8" t="s">
        <v>9</v>
      </c>
      <c r="D8" t="s">
        <v>10</v>
      </c>
      <c r="E8" t="s">
        <v>11</v>
      </c>
    </row>
    <row r="9" spans="1:6" x14ac:dyDescent="0.2">
      <c r="A9" s="1">
        <v>44858</v>
      </c>
      <c r="B9">
        <v>1980</v>
      </c>
      <c r="C9" t="s">
        <v>9</v>
      </c>
      <c r="D9" t="s">
        <v>10</v>
      </c>
      <c r="E9" t="s">
        <v>11</v>
      </c>
    </row>
    <row r="10" spans="1:6" x14ac:dyDescent="0.2">
      <c r="A10" s="1">
        <v>44824</v>
      </c>
      <c r="B10">
        <v>1980</v>
      </c>
      <c r="C10" t="s">
        <v>9</v>
      </c>
      <c r="D10" t="s">
        <v>10</v>
      </c>
      <c r="E10" t="s">
        <v>11</v>
      </c>
    </row>
    <row r="11" spans="1:6" x14ac:dyDescent="0.2">
      <c r="A11" s="1">
        <v>44795</v>
      </c>
      <c r="B11">
        <v>1980</v>
      </c>
      <c r="C11" t="s">
        <v>9</v>
      </c>
      <c r="D11" t="s">
        <v>10</v>
      </c>
      <c r="E11" t="s">
        <v>11</v>
      </c>
    </row>
    <row r="12" spans="1:6" x14ac:dyDescent="0.2">
      <c r="A12" s="1">
        <v>44767</v>
      </c>
      <c r="B12">
        <v>1485</v>
      </c>
      <c r="C12" t="s">
        <v>9</v>
      </c>
      <c r="D12" t="s">
        <v>10</v>
      </c>
      <c r="E12" t="s">
        <v>11</v>
      </c>
    </row>
    <row r="13" spans="1:6" x14ac:dyDescent="0.2">
      <c r="A13" s="1">
        <v>44832</v>
      </c>
      <c r="B13">
        <v>1009.94</v>
      </c>
      <c r="C13" t="s">
        <v>9</v>
      </c>
      <c r="D13" t="s">
        <v>43</v>
      </c>
      <c r="E13" t="s">
        <v>11</v>
      </c>
    </row>
    <row r="14" spans="1:6" x14ac:dyDescent="0.2">
      <c r="A14" s="1">
        <v>44781</v>
      </c>
      <c r="B14">
        <v>1366.38</v>
      </c>
      <c r="C14" t="s">
        <v>9</v>
      </c>
      <c r="D14" t="s">
        <v>43</v>
      </c>
      <c r="E14" t="s">
        <v>11</v>
      </c>
    </row>
    <row r="15" spans="1:6" x14ac:dyDescent="0.2">
      <c r="A15" s="1">
        <v>44755</v>
      </c>
      <c r="B15">
        <v>1366.38</v>
      </c>
      <c r="C15" t="s">
        <v>9</v>
      </c>
      <c r="D15" t="s">
        <v>43</v>
      </c>
      <c r="E15" t="s">
        <v>11</v>
      </c>
    </row>
    <row r="16" spans="1:6" x14ac:dyDescent="0.2">
      <c r="A16" s="1">
        <v>44760</v>
      </c>
      <c r="B16">
        <v>-29.94</v>
      </c>
      <c r="C16" t="s">
        <v>23</v>
      </c>
      <c r="D16" t="s">
        <v>64</v>
      </c>
      <c r="E16" t="s">
        <v>68</v>
      </c>
      <c r="F16" t="s">
        <v>25</v>
      </c>
    </row>
    <row r="17" spans="1:6" x14ac:dyDescent="0.2">
      <c r="A17" s="1">
        <v>44789</v>
      </c>
      <c r="B17">
        <v>-29.94</v>
      </c>
      <c r="C17" t="s">
        <v>23</v>
      </c>
      <c r="D17" t="s">
        <v>54</v>
      </c>
      <c r="E17" t="s">
        <v>68</v>
      </c>
      <c r="F17" t="s">
        <v>25</v>
      </c>
    </row>
    <row r="18" spans="1:6" x14ac:dyDescent="0.2">
      <c r="A18" s="1">
        <v>44820</v>
      </c>
      <c r="B18">
        <v>-29.94</v>
      </c>
      <c r="C18" t="s">
        <v>23</v>
      </c>
      <c r="D18" t="s">
        <v>49</v>
      </c>
      <c r="E18" t="s">
        <v>68</v>
      </c>
      <c r="F18" t="s">
        <v>25</v>
      </c>
    </row>
    <row r="19" spans="1:6" x14ac:dyDescent="0.2">
      <c r="A19" s="1">
        <v>44851</v>
      </c>
      <c r="B19">
        <v>-29.94</v>
      </c>
      <c r="C19" t="s">
        <v>23</v>
      </c>
      <c r="D19" t="s">
        <v>34</v>
      </c>
      <c r="E19" t="s">
        <v>68</v>
      </c>
      <c r="F19" t="s">
        <v>25</v>
      </c>
    </row>
    <row r="20" spans="1:6" x14ac:dyDescent="0.2">
      <c r="A20" s="1">
        <v>44881</v>
      </c>
      <c r="B20">
        <v>-29.94</v>
      </c>
      <c r="C20" t="s">
        <v>23</v>
      </c>
      <c r="D20" t="s">
        <v>24</v>
      </c>
      <c r="E20" t="s">
        <v>68</v>
      </c>
      <c r="F20" t="s">
        <v>25</v>
      </c>
    </row>
    <row r="21" spans="1:6" x14ac:dyDescent="0.2">
      <c r="A21" s="1">
        <v>44834</v>
      </c>
      <c r="B21">
        <v>0.01</v>
      </c>
      <c r="C21" t="s">
        <v>35</v>
      </c>
      <c r="D21" t="s">
        <v>36</v>
      </c>
      <c r="E21" t="s">
        <v>37</v>
      </c>
    </row>
    <row r="22" spans="1:6" x14ac:dyDescent="0.2">
      <c r="A22" s="1">
        <v>44833</v>
      </c>
      <c r="B22">
        <v>-290</v>
      </c>
      <c r="C22" t="s">
        <v>6</v>
      </c>
      <c r="D22" t="s">
        <v>38</v>
      </c>
      <c r="E22" t="s">
        <v>69</v>
      </c>
      <c r="F22" t="s">
        <v>39</v>
      </c>
    </row>
    <row r="23" spans="1:6" x14ac:dyDescent="0.2">
      <c r="A23" s="1">
        <v>44743</v>
      </c>
      <c r="B23">
        <v>-630.20000000000005</v>
      </c>
      <c r="C23" t="s">
        <v>6</v>
      </c>
      <c r="D23" t="s">
        <v>66</v>
      </c>
      <c r="E23" t="s">
        <v>70</v>
      </c>
      <c r="F23" t="s">
        <v>67</v>
      </c>
    </row>
    <row r="24" spans="1:6" x14ac:dyDescent="0.2">
      <c r="A24" s="1">
        <v>44868</v>
      </c>
      <c r="B24">
        <v>-250</v>
      </c>
      <c r="C24" t="s">
        <v>6</v>
      </c>
      <c r="D24" t="s">
        <v>27</v>
      </c>
      <c r="E24" t="s">
        <v>13</v>
      </c>
    </row>
    <row r="25" spans="1:6" x14ac:dyDescent="0.2">
      <c r="A25" s="1">
        <v>44824</v>
      </c>
      <c r="B25">
        <v>-500</v>
      </c>
      <c r="C25" t="s">
        <v>6</v>
      </c>
      <c r="D25" t="s">
        <v>45</v>
      </c>
      <c r="E25" t="s">
        <v>13</v>
      </c>
    </row>
    <row r="26" spans="1:6" x14ac:dyDescent="0.2">
      <c r="A26" s="1">
        <v>44795</v>
      </c>
      <c r="B26">
        <v>-500</v>
      </c>
      <c r="C26" t="s">
        <v>6</v>
      </c>
      <c r="D26" t="s">
        <v>45</v>
      </c>
      <c r="E26" t="s">
        <v>13</v>
      </c>
    </row>
    <row r="27" spans="1:6" x14ac:dyDescent="0.2">
      <c r="A27" s="1">
        <v>44868</v>
      </c>
      <c r="B27">
        <v>-1295.32</v>
      </c>
      <c r="C27" t="s">
        <v>6</v>
      </c>
      <c r="D27" t="s">
        <v>26</v>
      </c>
      <c r="E27" t="s">
        <v>13</v>
      </c>
    </row>
    <row r="28" spans="1:6" x14ac:dyDescent="0.2">
      <c r="A28" s="1">
        <v>44860</v>
      </c>
      <c r="B28">
        <v>-150</v>
      </c>
      <c r="C28" t="s">
        <v>6</v>
      </c>
      <c r="D28" t="s">
        <v>33</v>
      </c>
      <c r="E28" t="s">
        <v>13</v>
      </c>
    </row>
    <row r="29" spans="1:6" x14ac:dyDescent="0.2">
      <c r="A29" s="1">
        <v>44770</v>
      </c>
      <c r="B29">
        <v>-350</v>
      </c>
      <c r="C29" t="s">
        <v>6</v>
      </c>
      <c r="D29" t="s">
        <v>62</v>
      </c>
      <c r="E29" t="s">
        <v>8</v>
      </c>
    </row>
    <row r="30" spans="1:6" x14ac:dyDescent="0.2">
      <c r="A30" s="1">
        <v>44785</v>
      </c>
      <c r="B30">
        <v>-100</v>
      </c>
      <c r="C30" t="s">
        <v>6</v>
      </c>
      <c r="D30" t="s">
        <v>58</v>
      </c>
      <c r="E30" t="s">
        <v>8</v>
      </c>
    </row>
    <row r="31" spans="1:6" x14ac:dyDescent="0.2">
      <c r="A31" s="1">
        <v>45005</v>
      </c>
      <c r="B31">
        <v>-1100</v>
      </c>
      <c r="C31" t="s">
        <v>6</v>
      </c>
      <c r="D31" t="s">
        <v>15</v>
      </c>
      <c r="E31" t="s">
        <v>8</v>
      </c>
    </row>
    <row r="32" spans="1:6" x14ac:dyDescent="0.2">
      <c r="A32" s="1">
        <v>44893</v>
      </c>
      <c r="B32">
        <v>-1980</v>
      </c>
      <c r="C32" t="s">
        <v>6</v>
      </c>
      <c r="D32" t="s">
        <v>21</v>
      </c>
      <c r="E32" t="s">
        <v>8</v>
      </c>
    </row>
    <row r="33" spans="1:5" x14ac:dyDescent="0.2">
      <c r="A33" s="1">
        <v>45005</v>
      </c>
      <c r="B33">
        <v>-880</v>
      </c>
      <c r="C33" t="s">
        <v>6</v>
      </c>
      <c r="D33" t="s">
        <v>16</v>
      </c>
      <c r="E33" t="s">
        <v>8</v>
      </c>
    </row>
    <row r="34" spans="1:5" x14ac:dyDescent="0.2">
      <c r="A34" s="1">
        <v>44788</v>
      </c>
      <c r="B34">
        <v>-200</v>
      </c>
      <c r="C34" t="s">
        <v>6</v>
      </c>
      <c r="D34" t="s">
        <v>55</v>
      </c>
      <c r="E34" t="s">
        <v>8</v>
      </c>
    </row>
    <row r="35" spans="1:5" x14ac:dyDescent="0.2">
      <c r="A35" s="1">
        <v>45049</v>
      </c>
      <c r="B35">
        <v>-1800</v>
      </c>
      <c r="C35" t="s">
        <v>6</v>
      </c>
      <c r="D35" t="s">
        <v>14</v>
      </c>
      <c r="E35" t="s">
        <v>8</v>
      </c>
    </row>
    <row r="36" spans="1:5" x14ac:dyDescent="0.2">
      <c r="A36" s="1">
        <v>44775</v>
      </c>
      <c r="B36">
        <v>-34</v>
      </c>
      <c r="C36" t="s">
        <v>6</v>
      </c>
      <c r="D36" t="s">
        <v>60</v>
      </c>
      <c r="E36" t="s">
        <v>8</v>
      </c>
    </row>
    <row r="37" spans="1:5" x14ac:dyDescent="0.2">
      <c r="A37" s="1">
        <v>44804</v>
      </c>
      <c r="B37">
        <v>-17</v>
      </c>
      <c r="C37" t="s">
        <v>6</v>
      </c>
      <c r="D37" t="s">
        <v>50</v>
      </c>
      <c r="E37" t="s">
        <v>8</v>
      </c>
    </row>
    <row r="38" spans="1:5" x14ac:dyDescent="0.2">
      <c r="A38" s="1">
        <v>44832</v>
      </c>
      <c r="B38">
        <v>-1000</v>
      </c>
      <c r="C38" t="s">
        <v>6</v>
      </c>
      <c r="D38" t="s">
        <v>40</v>
      </c>
      <c r="E38" t="s">
        <v>8</v>
      </c>
    </row>
    <row r="39" spans="1:5" x14ac:dyDescent="0.2">
      <c r="A39" s="1">
        <v>44774</v>
      </c>
      <c r="B39">
        <v>-150</v>
      </c>
      <c r="C39" t="s">
        <v>6</v>
      </c>
      <c r="D39" t="s">
        <v>61</v>
      </c>
      <c r="E39" t="s">
        <v>8</v>
      </c>
    </row>
    <row r="40" spans="1:5" x14ac:dyDescent="0.2">
      <c r="A40" s="1">
        <v>44788</v>
      </c>
      <c r="B40">
        <v>500</v>
      </c>
      <c r="C40" t="s">
        <v>9</v>
      </c>
      <c r="D40" t="s">
        <v>57</v>
      </c>
      <c r="E40" t="s">
        <v>8</v>
      </c>
    </row>
    <row r="41" spans="1:5" x14ac:dyDescent="0.2">
      <c r="A41" s="1">
        <v>44831</v>
      </c>
      <c r="B41">
        <v>-100</v>
      </c>
      <c r="C41" t="s">
        <v>6</v>
      </c>
      <c r="D41" t="s">
        <v>44</v>
      </c>
      <c r="E41" t="s">
        <v>8</v>
      </c>
    </row>
    <row r="42" spans="1:5" x14ac:dyDescent="0.2">
      <c r="A42" s="1">
        <v>44768</v>
      </c>
      <c r="B42">
        <v>-1100</v>
      </c>
      <c r="C42" t="s">
        <v>6</v>
      </c>
      <c r="D42" t="s">
        <v>63</v>
      </c>
      <c r="E42" t="s">
        <v>8</v>
      </c>
    </row>
    <row r="43" spans="1:5" x14ac:dyDescent="0.2">
      <c r="A43" s="1">
        <v>44860</v>
      </c>
      <c r="B43">
        <v>-400</v>
      </c>
      <c r="C43" t="s">
        <v>6</v>
      </c>
      <c r="D43" t="s">
        <v>32</v>
      </c>
      <c r="E43" t="s">
        <v>8</v>
      </c>
    </row>
    <row r="44" spans="1:5" x14ac:dyDescent="0.2">
      <c r="A44" s="1">
        <v>44788</v>
      </c>
      <c r="B44">
        <v>-150</v>
      </c>
      <c r="C44" t="s">
        <v>6</v>
      </c>
      <c r="D44" t="s">
        <v>56</v>
      </c>
      <c r="E44" t="s">
        <v>8</v>
      </c>
    </row>
    <row r="45" spans="1:5" x14ac:dyDescent="0.2">
      <c r="A45" s="1">
        <v>44757</v>
      </c>
      <c r="B45">
        <v>-370</v>
      </c>
      <c r="C45" t="s">
        <v>6</v>
      </c>
      <c r="D45" t="s">
        <v>65</v>
      </c>
      <c r="E45" t="s">
        <v>8</v>
      </c>
    </row>
    <row r="46" spans="1:5" x14ac:dyDescent="0.2">
      <c r="A46" s="1">
        <v>45075</v>
      </c>
      <c r="B46">
        <v>-1980</v>
      </c>
      <c r="C46" t="s">
        <v>6</v>
      </c>
      <c r="D46" t="s">
        <v>7</v>
      </c>
      <c r="E46" t="s">
        <v>8</v>
      </c>
    </row>
    <row r="47" spans="1:5" x14ac:dyDescent="0.2">
      <c r="A47" s="1">
        <v>44782</v>
      </c>
      <c r="B47">
        <v>-450</v>
      </c>
      <c r="C47" t="s">
        <v>6</v>
      </c>
      <c r="D47" t="s">
        <v>59</v>
      </c>
      <c r="E47" t="s">
        <v>8</v>
      </c>
    </row>
    <row r="48" spans="1:5" x14ac:dyDescent="0.2">
      <c r="A48" s="1">
        <v>44802</v>
      </c>
      <c r="B48">
        <v>-150</v>
      </c>
      <c r="C48" t="s">
        <v>6</v>
      </c>
      <c r="D48" t="s">
        <v>51</v>
      </c>
      <c r="E48" t="s">
        <v>8</v>
      </c>
    </row>
    <row r="49" spans="1:6" x14ac:dyDescent="0.2">
      <c r="A49" s="1">
        <v>44980</v>
      </c>
      <c r="B49">
        <v>-1980</v>
      </c>
      <c r="C49" t="s">
        <v>6</v>
      </c>
      <c r="D49" t="s">
        <v>17</v>
      </c>
      <c r="E49" t="s">
        <v>8</v>
      </c>
    </row>
    <row r="50" spans="1:6" x14ac:dyDescent="0.2">
      <c r="A50" s="1">
        <v>44832</v>
      </c>
      <c r="B50">
        <v>100</v>
      </c>
      <c r="C50" t="s">
        <v>9</v>
      </c>
      <c r="D50" t="s">
        <v>41</v>
      </c>
      <c r="E50" t="s">
        <v>8</v>
      </c>
    </row>
    <row r="51" spans="1:6" x14ac:dyDescent="0.2">
      <c r="A51" s="1">
        <v>44832</v>
      </c>
      <c r="B51">
        <v>180</v>
      </c>
      <c r="C51" t="s">
        <v>9</v>
      </c>
      <c r="D51" t="s">
        <v>42</v>
      </c>
      <c r="E51" t="s">
        <v>8</v>
      </c>
    </row>
    <row r="52" spans="1:6" x14ac:dyDescent="0.2">
      <c r="A52" s="1">
        <v>44923</v>
      </c>
      <c r="B52">
        <v>-1480</v>
      </c>
      <c r="C52" t="s">
        <v>6</v>
      </c>
      <c r="D52" t="s">
        <v>19</v>
      </c>
      <c r="E52" t="s">
        <v>8</v>
      </c>
    </row>
    <row r="53" spans="1:6" x14ac:dyDescent="0.2">
      <c r="A53" s="1">
        <v>44797</v>
      </c>
      <c r="B53">
        <v>-1400</v>
      </c>
      <c r="C53" t="s">
        <v>6</v>
      </c>
      <c r="D53" t="s">
        <v>52</v>
      </c>
      <c r="E53" t="s">
        <v>8</v>
      </c>
    </row>
    <row r="54" spans="1:6" x14ac:dyDescent="0.2">
      <c r="A54" s="1">
        <v>44951</v>
      </c>
      <c r="B54">
        <v>-1983</v>
      </c>
      <c r="C54" t="s">
        <v>6</v>
      </c>
      <c r="D54" t="s">
        <v>18</v>
      </c>
      <c r="E54" t="s">
        <v>8</v>
      </c>
    </row>
    <row r="55" spans="1:6" x14ac:dyDescent="0.2">
      <c r="A55" s="1">
        <v>44868</v>
      </c>
      <c r="B55">
        <v>1500</v>
      </c>
      <c r="C55" t="s">
        <v>9</v>
      </c>
      <c r="D55" t="s">
        <v>28</v>
      </c>
      <c r="E55" t="s">
        <v>8</v>
      </c>
    </row>
    <row r="56" spans="1:6" x14ac:dyDescent="0.2">
      <c r="A56" s="1">
        <v>44824</v>
      </c>
      <c r="B56">
        <v>-500</v>
      </c>
      <c r="C56" t="s">
        <v>6</v>
      </c>
      <c r="D56" t="s">
        <v>46</v>
      </c>
      <c r="E56" t="s">
        <v>8</v>
      </c>
    </row>
    <row r="57" spans="1:6" x14ac:dyDescent="0.2">
      <c r="A57" s="1">
        <v>44795</v>
      </c>
      <c r="B57">
        <v>-500</v>
      </c>
      <c r="C57" t="s">
        <v>6</v>
      </c>
      <c r="D57" t="s">
        <v>53</v>
      </c>
      <c r="E57" t="s">
        <v>13</v>
      </c>
    </row>
    <row r="58" spans="1:6" x14ac:dyDescent="0.2">
      <c r="A58" s="1">
        <v>44795</v>
      </c>
      <c r="B58">
        <v>500</v>
      </c>
      <c r="C58" t="s">
        <v>48</v>
      </c>
      <c r="D58" t="s">
        <v>53</v>
      </c>
      <c r="E58" t="s">
        <v>37</v>
      </c>
    </row>
    <row r="59" spans="1:6" x14ac:dyDescent="0.2">
      <c r="A59" s="1">
        <v>44824</v>
      </c>
      <c r="B59">
        <v>-500</v>
      </c>
      <c r="C59" t="s">
        <v>6</v>
      </c>
      <c r="D59" t="s">
        <v>47</v>
      </c>
      <c r="E59" t="s">
        <v>13</v>
      </c>
    </row>
    <row r="60" spans="1:6" x14ac:dyDescent="0.2">
      <c r="A60" s="1">
        <v>44824</v>
      </c>
      <c r="B60">
        <v>500</v>
      </c>
      <c r="C60" t="s">
        <v>48</v>
      </c>
      <c r="D60" t="s">
        <v>47</v>
      </c>
      <c r="E60" t="s">
        <v>37</v>
      </c>
    </row>
    <row r="61" spans="1:6" x14ac:dyDescent="0.2">
      <c r="A61" s="1">
        <v>44923</v>
      </c>
      <c r="B61">
        <v>-500</v>
      </c>
      <c r="C61" t="s">
        <v>6</v>
      </c>
      <c r="D61" t="s">
        <v>20</v>
      </c>
      <c r="E61" t="s">
        <v>13</v>
      </c>
    </row>
    <row r="62" spans="1:6" x14ac:dyDescent="0.2">
      <c r="A62" s="1">
        <v>44860</v>
      </c>
      <c r="B62">
        <v>-500</v>
      </c>
      <c r="C62" t="s">
        <v>6</v>
      </c>
      <c r="D62" t="s">
        <v>31</v>
      </c>
      <c r="E62" t="s">
        <v>13</v>
      </c>
    </row>
    <row r="63" spans="1:6" x14ac:dyDescent="0.2">
      <c r="A63" s="1">
        <v>45054</v>
      </c>
      <c r="B63">
        <v>-180</v>
      </c>
      <c r="C63" t="s">
        <v>6</v>
      </c>
      <c r="D63" t="s">
        <v>12</v>
      </c>
      <c r="E63" t="s">
        <v>13</v>
      </c>
    </row>
    <row r="64" spans="1:6" x14ac:dyDescent="0.2">
      <c r="A64" s="1">
        <v>44860</v>
      </c>
      <c r="B64">
        <v>-822.29</v>
      </c>
      <c r="C64" t="s">
        <v>23</v>
      </c>
      <c r="D64" t="s">
        <v>29</v>
      </c>
      <c r="E64" t="s">
        <v>71</v>
      </c>
      <c r="F64" t="s">
        <v>30</v>
      </c>
    </row>
    <row r="65" spans="1:6" x14ac:dyDescent="0.2">
      <c r="A65" s="1">
        <v>44830</v>
      </c>
      <c r="B65">
        <v>-849.7</v>
      </c>
      <c r="C65" t="s">
        <v>23</v>
      </c>
      <c r="D65" t="s">
        <v>29</v>
      </c>
      <c r="E65" t="s">
        <v>71</v>
      </c>
      <c r="F65" t="s">
        <v>30</v>
      </c>
    </row>
    <row r="66" spans="1:6" x14ac:dyDescent="0.2">
      <c r="A66" s="1">
        <v>44799</v>
      </c>
      <c r="B66">
        <v>-849.7</v>
      </c>
      <c r="C66" t="s">
        <v>23</v>
      </c>
      <c r="D66" t="s">
        <v>29</v>
      </c>
      <c r="E66" t="s">
        <v>71</v>
      </c>
      <c r="F66" t="s">
        <v>30</v>
      </c>
    </row>
    <row r="67" spans="1:6" x14ac:dyDescent="0.2">
      <c r="A67" s="1">
        <v>44768</v>
      </c>
      <c r="B67">
        <v>-822.29</v>
      </c>
      <c r="C67" t="s">
        <v>23</v>
      </c>
      <c r="D67" t="s">
        <v>29</v>
      </c>
      <c r="E67" t="s">
        <v>71</v>
      </c>
      <c r="F67" t="s">
        <v>30</v>
      </c>
    </row>
  </sheetData>
  <autoFilter ref="A1:F67" xr:uid="{00000000-0009-0000-0000-000001000000}">
    <sortState xmlns:xlrd2="http://schemas.microsoft.com/office/spreadsheetml/2017/richdata2" ref="A2:F67">
      <sortCondition ref="D1:D67"/>
    </sortState>
  </autoFilter>
  <pageMargins left="0.75" right="0.75" top="1" bottom="1" header="0.5" footer="0.5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Powlett St NAB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Lloyd Thomas</cp:lastModifiedBy>
  <dcterms:created xsi:type="dcterms:W3CDTF">2023-06-23T22:13:37Z</dcterms:created>
  <dcterms:modified xsi:type="dcterms:W3CDTF">2023-07-08T01:09:39Z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2023-06-23T22:17:27Z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f4d79998-5b40-4a9b-83d9-bf3dc0b1e40e</vt:lpwstr>
  </property>
  <property fmtid="{D5CDD505-2E9C-101B-9397-08002B2CF9AE}" pid="8" name="MSIP_Label_e58c8fa2-0023-48e8-b4c7-86f2051149b4_ContentBits">
    <vt:lpwstr>2</vt:lpwstr>
  </property>
</Properties>
</file>