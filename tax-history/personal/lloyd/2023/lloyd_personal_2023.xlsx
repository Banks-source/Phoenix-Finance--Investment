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/Finance Insurance &amp; Tax/TAX/2023/Taxes FY23 - Milani &amp; Lloyd/2. Lloyd - Personal/"/>
    </mc:Choice>
  </mc:AlternateContent>
  <xr:revisionPtr revIDLastSave="0" documentId="13_ncr:1_{EEB263F8-8023-C148-ADDB-9D3791CF6DC0}" xr6:coauthVersionLast="47" xr6:coauthVersionMax="47" xr10:uidLastSave="{00000000-0000-0000-0000-000000000000}"/>
  <bookViews>
    <workbookView xWindow="5720" yWindow="500" windowWidth="27640" windowHeight="16940" xr2:uid="{C9F3859C-C3F1-D445-A9B8-59519D1D9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6" i="1"/>
  <c r="B37" i="1"/>
  <c r="B38" i="1"/>
  <c r="B32" i="1"/>
  <c r="B25" i="1"/>
  <c r="B26" i="1"/>
  <c r="B18" i="1"/>
</calcChain>
</file>

<file path=xl/sharedStrings.xml><?xml version="1.0" encoding="utf-8"?>
<sst xmlns="http://schemas.openxmlformats.org/spreadsheetml/2006/main" count="44" uniqueCount="41">
  <si>
    <t>Subscriptions &amp; Books</t>
  </si>
  <si>
    <t>ExpressVPN</t>
  </si>
  <si>
    <t>Kindle</t>
  </si>
  <si>
    <t>Adobe Systems</t>
  </si>
  <si>
    <t>Audible</t>
  </si>
  <si>
    <t>Dropbox</t>
  </si>
  <si>
    <t>G Suite</t>
  </si>
  <si>
    <t>Microsoft</t>
  </si>
  <si>
    <t>YouTube</t>
  </si>
  <si>
    <t>Brain FM</t>
  </si>
  <si>
    <t>ChatGPT</t>
  </si>
  <si>
    <t>Cloud</t>
  </si>
  <si>
    <t>Kubera</t>
  </si>
  <si>
    <t>Real Vision</t>
  </si>
  <si>
    <t xml:space="preserve">Trading View </t>
  </si>
  <si>
    <t>Express VPn</t>
  </si>
  <si>
    <t>Work From Home</t>
  </si>
  <si>
    <t>Tech &amp; Home Office</t>
  </si>
  <si>
    <t>Ink Station</t>
  </si>
  <si>
    <t>New Monitor</t>
  </si>
  <si>
    <t>Webcentral (Web Hosting)</t>
  </si>
  <si>
    <t>Officeworks (Mouse)</t>
  </si>
  <si>
    <t>(total $4422 50% Work)</t>
  </si>
  <si>
    <t>Taxes</t>
  </si>
  <si>
    <t>Koinly Tax Report</t>
  </si>
  <si>
    <t>Peter MacCallum Cancer Foundation</t>
  </si>
  <si>
    <t>Cancer Council (Victoria)</t>
  </si>
  <si>
    <t>Beyond Blue</t>
  </si>
  <si>
    <t>Donations</t>
  </si>
  <si>
    <t>Car</t>
  </si>
  <si>
    <t>Taxi</t>
  </si>
  <si>
    <t>Parking</t>
  </si>
  <si>
    <t xml:space="preserve"> </t>
  </si>
  <si>
    <t>Road Tolls</t>
  </si>
  <si>
    <t>Total</t>
  </si>
  <si>
    <t>Internet &amp; Phone</t>
  </si>
  <si>
    <t>Transport &amp; Car</t>
  </si>
  <si>
    <t>Hours</t>
  </si>
  <si>
    <t>Lloyd Expenses</t>
  </si>
  <si>
    <t>KMs</t>
  </si>
  <si>
    <t>(Lloyd Milani &amp; Companies)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</si>
</sst>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4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indent="1"/>
    </xf>
    <xf numFmtId="0" fontId="1" fillId="2" borderId="0" xfId="0" applyFont="1" applyFill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F7F2-DBAE-8142-9CFF-FA788177D3D4}">
  <dimension ref="A1:F44"/>
  <sheetViews>
    <sheetView tabSelected="1" topLeftCell="A11" workbookViewId="0">
      <selection activeCell="I39" sqref="I39"/>
    </sheetView>
  </sheetViews>
  <sheetFormatPr baseColWidth="10" defaultRowHeight="16" outlineLevelRow="1" x14ac:dyDescent="0.2"/>
  <cols>
    <col min="1" max="1" width="25.83203125" customWidth="1"/>
    <col min="11" max="11" width="39.5" bestFit="1" customWidth="1"/>
  </cols>
  <sheetData>
    <row r="1" spans="1:2" x14ac:dyDescent="0.2">
      <c r="A1" t="s">
        <v>38</v>
      </c>
    </row>
    <row r="2" spans="1:2" x14ac:dyDescent="0.2">
      <c r="A2" s="3" t="s">
        <v>0</v>
      </c>
    </row>
    <row r="3" spans="1:2" outlineLevel="1" x14ac:dyDescent="0.2">
      <c r="A3" s="1" t="s">
        <v>1</v>
      </c>
      <c r="B3">
        <v>-89.81</v>
      </c>
    </row>
    <row r="4" spans="1:2" outlineLevel="1" x14ac:dyDescent="0.2">
      <c r="A4" s="1" t="s">
        <v>2</v>
      </c>
      <c r="B4">
        <v>-56.95</v>
      </c>
    </row>
    <row r="5" spans="1:2" outlineLevel="1" x14ac:dyDescent="0.2">
      <c r="A5" s="1" t="s">
        <v>3</v>
      </c>
      <c r="B5">
        <v>-28.99</v>
      </c>
    </row>
    <row r="6" spans="1:2" outlineLevel="1" x14ac:dyDescent="0.2">
      <c r="A6" s="1" t="s">
        <v>4</v>
      </c>
      <c r="B6">
        <v>-148.04999999999998</v>
      </c>
    </row>
    <row r="7" spans="1:2" outlineLevel="1" x14ac:dyDescent="0.2">
      <c r="A7" s="1" t="s">
        <v>5</v>
      </c>
      <c r="B7">
        <v>-86.820000000000007</v>
      </c>
    </row>
    <row r="8" spans="1:2" outlineLevel="1" x14ac:dyDescent="0.2">
      <c r="A8" s="1" t="s">
        <v>6</v>
      </c>
      <c r="B8">
        <v>-147.84</v>
      </c>
    </row>
    <row r="9" spans="1:2" outlineLevel="1" x14ac:dyDescent="0.2">
      <c r="A9" s="1" t="s">
        <v>7</v>
      </c>
      <c r="B9">
        <v>-70</v>
      </c>
    </row>
    <row r="10" spans="1:2" outlineLevel="1" x14ac:dyDescent="0.2">
      <c r="A10" s="1" t="s">
        <v>8</v>
      </c>
      <c r="B10">
        <v>-2.99</v>
      </c>
    </row>
    <row r="11" spans="1:2" outlineLevel="1" x14ac:dyDescent="0.2">
      <c r="A11" s="1" t="s">
        <v>9</v>
      </c>
      <c r="B11">
        <v>-43.66</v>
      </c>
    </row>
    <row r="12" spans="1:2" outlineLevel="1" x14ac:dyDescent="0.2">
      <c r="A12" s="1" t="s">
        <v>10</v>
      </c>
      <c r="B12">
        <v>-61.04</v>
      </c>
    </row>
    <row r="13" spans="1:2" outlineLevel="1" x14ac:dyDescent="0.2">
      <c r="A13" s="1" t="s">
        <v>11</v>
      </c>
      <c r="B13">
        <v>-521.5200000000001</v>
      </c>
    </row>
    <row r="14" spans="1:2" outlineLevel="1" x14ac:dyDescent="0.2">
      <c r="A14" s="1" t="s">
        <v>12</v>
      </c>
      <c r="B14">
        <v>-268.8</v>
      </c>
    </row>
    <row r="15" spans="1:2" outlineLevel="1" x14ac:dyDescent="0.2">
      <c r="A15" s="1" t="s">
        <v>13</v>
      </c>
      <c r="B15">
        <v>-2624.7200000000003</v>
      </c>
    </row>
    <row r="16" spans="1:2" outlineLevel="1" x14ac:dyDescent="0.2">
      <c r="A16" s="1" t="s">
        <v>14</v>
      </c>
      <c r="B16">
        <v>-197</v>
      </c>
    </row>
    <row r="17" spans="1:3" outlineLevel="1" x14ac:dyDescent="0.2">
      <c r="A17" s="1" t="s">
        <v>15</v>
      </c>
      <c r="B17">
        <v>-99</v>
      </c>
    </row>
    <row r="18" spans="1:3" x14ac:dyDescent="0.2">
      <c r="A18" s="5" t="s">
        <v>34</v>
      </c>
      <c r="B18" s="6">
        <f>SUM(B3:B17)</f>
        <v>-4447.1900000000005</v>
      </c>
    </row>
    <row r="20" spans="1:3" x14ac:dyDescent="0.2">
      <c r="A20" s="3" t="s">
        <v>17</v>
      </c>
    </row>
    <row r="21" spans="1:3" outlineLevel="1" x14ac:dyDescent="0.2">
      <c r="A21" t="s">
        <v>20</v>
      </c>
      <c r="B21">
        <v>-166.2</v>
      </c>
    </row>
    <row r="22" spans="1:3" outlineLevel="1" x14ac:dyDescent="0.2">
      <c r="A22" t="s">
        <v>18</v>
      </c>
      <c r="B22">
        <v>-91.54</v>
      </c>
    </row>
    <row r="23" spans="1:3" outlineLevel="1" x14ac:dyDescent="0.2">
      <c r="A23" t="s">
        <v>21</v>
      </c>
      <c r="B23">
        <v>-190.98000000000002</v>
      </c>
    </row>
    <row r="24" spans="1:3" outlineLevel="1" x14ac:dyDescent="0.2">
      <c r="A24" t="s">
        <v>19</v>
      </c>
      <c r="B24" s="2">
        <v>-1096.1099999999999</v>
      </c>
    </row>
    <row r="25" spans="1:3" outlineLevel="1" x14ac:dyDescent="0.2">
      <c r="A25" t="s">
        <v>35</v>
      </c>
      <c r="B25" s="4">
        <f>-4227.65*0.5</f>
        <v>-2113.8249999999998</v>
      </c>
    </row>
    <row r="26" spans="1:3" x14ac:dyDescent="0.2">
      <c r="A26" s="6" t="s">
        <v>34</v>
      </c>
      <c r="B26" s="6">
        <f>SUM(B21:B25)</f>
        <v>-3658.6549999999997</v>
      </c>
      <c r="C26" t="s">
        <v>22</v>
      </c>
    </row>
    <row r="28" spans="1:3" x14ac:dyDescent="0.2">
      <c r="A28" s="3" t="s">
        <v>28</v>
      </c>
    </row>
    <row r="29" spans="1:3" outlineLevel="1" x14ac:dyDescent="0.2">
      <c r="A29" s="1" t="s">
        <v>27</v>
      </c>
      <c r="B29">
        <v>-52.5</v>
      </c>
    </row>
    <row r="30" spans="1:3" outlineLevel="1" x14ac:dyDescent="0.2">
      <c r="A30" s="1" t="s">
        <v>26</v>
      </c>
      <c r="B30">
        <v>-104</v>
      </c>
    </row>
    <row r="31" spans="1:3" outlineLevel="1" x14ac:dyDescent="0.2">
      <c r="A31" s="1" t="s">
        <v>25</v>
      </c>
      <c r="B31">
        <v>-10</v>
      </c>
    </row>
    <row r="32" spans="1:3" x14ac:dyDescent="0.2">
      <c r="A32" s="6" t="s">
        <v>34</v>
      </c>
      <c r="B32" s="7">
        <f>SUM(B29:B31)</f>
        <v>-166.5</v>
      </c>
    </row>
    <row r="34" spans="1:6" ht="17" customHeight="1" x14ac:dyDescent="0.2">
      <c r="A34" s="3" t="s">
        <v>36</v>
      </c>
    </row>
    <row r="35" spans="1:6" outlineLevel="1" x14ac:dyDescent="0.2">
      <c r="A35" t="s">
        <v>30</v>
      </c>
      <c r="B35">
        <v>-36</v>
      </c>
    </row>
    <row r="36" spans="1:6" outlineLevel="1" x14ac:dyDescent="0.2">
      <c r="A36" t="s">
        <v>31</v>
      </c>
      <c r="B36">
        <f>(-42+-12+-22+-35+-119+-222+-18)/2</f>
        <v>-235</v>
      </c>
    </row>
    <row r="37" spans="1:6" outlineLevel="1" x14ac:dyDescent="0.2">
      <c r="A37" t="s">
        <v>33</v>
      </c>
      <c r="B37">
        <f>-175</f>
        <v>-175</v>
      </c>
    </row>
    <row r="38" spans="1:6" x14ac:dyDescent="0.2">
      <c r="A38" s="6" t="s">
        <v>34</v>
      </c>
      <c r="B38" s="6">
        <f>SUM(B35:B37)</f>
        <v>-446</v>
      </c>
    </row>
    <row r="40" spans="1:6" x14ac:dyDescent="0.2">
      <c r="A40" t="s">
        <v>16</v>
      </c>
      <c r="B40">
        <f>9*210</f>
        <v>1890</v>
      </c>
      <c r="C40" t="s">
        <v>37</v>
      </c>
      <c r="F40" t="s">
        <v>32</v>
      </c>
    </row>
    <row r="41" spans="1:6" x14ac:dyDescent="0.2">
      <c r="A41" t="s">
        <v>29</v>
      </c>
      <c r="B41">
        <v>1500</v>
      </c>
      <c r="C41" t="s">
        <v>39</v>
      </c>
    </row>
    <row r="43" spans="1:6" x14ac:dyDescent="0.2">
      <c r="A43" s="7" t="s">
        <v>23</v>
      </c>
      <c r="B43" s="8">
        <v>-3421</v>
      </c>
      <c r="C43" t="s">
        <v>40</v>
      </c>
    </row>
    <row r="44" spans="1:6" x14ac:dyDescent="0.2">
      <c r="A44" s="7" t="s">
        <v>24</v>
      </c>
      <c r="B44" s="7">
        <v>-99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2023-07-08T01:03:21Z</dcterms:created>
  <dcterms:modified xsi:type="dcterms:W3CDTF">2024-07-05T23:21:22Z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2023-07-09T11:34:40Z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f6161c51-95c0-48aa-839a-5d908ca79a0b</vt:lpwstr>
  </property>
  <property fmtid="{D5CDD505-2E9C-101B-9397-08002B2CF9AE}" pid="8" name="MSIP_Label_e58c8fa2-0023-48e8-b4c7-86f2051149b4_ContentBits">
    <vt:lpwstr>2</vt:lpwstr>
  </property>
</Properties>
</file>