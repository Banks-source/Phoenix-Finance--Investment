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loydthomas/Dropbox/@Mila and Banks/Finance Insurance &amp; Tax/TAX/2021/Thomas Property Management/"/>
    </mc:Choice>
  </mc:AlternateContent>
  <xr:revisionPtr revIDLastSave="0" documentId="13_ncr:1_{19CACBA0-6A82-7E4C-B46B-D484A53E7C87}" xr6:coauthVersionLast="47" xr6:coauthVersionMax="47" xr10:uidLastSave="{00000000-0000-0000-0000-000000000000}"/>
  <bookViews>
    <workbookView xWindow="22060" yWindow="1580" windowWidth="27640" windowHeight="16540" xr2:uid="{468D7D98-0AE1-DD4A-BD3F-5B6DBD8CF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E29" i="1"/>
  <c r="E28" i="1"/>
  <c r="D27" i="1"/>
  <c r="D31" i="1" s="1"/>
  <c r="E25" i="1"/>
  <c r="D23" i="1"/>
  <c r="E20" i="1"/>
  <c r="E23" i="1" s="1"/>
  <c r="D18" i="1"/>
  <c r="E17" i="1"/>
  <c r="E16" i="1"/>
  <c r="E18" i="1" s="1"/>
  <c r="E14" i="1"/>
  <c r="D12" i="1"/>
  <c r="E11" i="1"/>
  <c r="E10" i="1"/>
  <c r="E12" i="1" s="1"/>
  <c r="D8" i="1"/>
  <c r="E7" i="1"/>
  <c r="E6" i="1"/>
  <c r="E5" i="1"/>
  <c r="E4" i="1"/>
  <c r="E3" i="1"/>
  <c r="E8" i="1" l="1"/>
  <c r="E27" i="1"/>
  <c r="E31" i="1" s="1"/>
</calcChain>
</file>

<file path=xl/sharedStrings.xml><?xml version="1.0" encoding="utf-8"?>
<sst xmlns="http://schemas.openxmlformats.org/spreadsheetml/2006/main" count="29" uniqueCount="22">
  <si>
    <t>Date</t>
  </si>
  <si>
    <t>Deciption</t>
  </si>
  <si>
    <t>Amount</t>
  </si>
  <si>
    <t>GST</t>
  </si>
  <si>
    <t>BAS Oct- Dec 2020</t>
  </si>
  <si>
    <t>Broker Fees - Holdern Capital</t>
  </si>
  <si>
    <t>Evalutaion - Charter Chek</t>
  </si>
  <si>
    <t>Triliogy - Deposit</t>
  </si>
  <si>
    <t>Evalutation - Charter Chek</t>
  </si>
  <si>
    <t>Architectect - Amend Drawings</t>
  </si>
  <si>
    <t>BAS Jan 2021</t>
  </si>
  <si>
    <t>Building Warrenty</t>
  </si>
  <si>
    <t>BAS Feb</t>
  </si>
  <si>
    <t>Building Deposit</t>
  </si>
  <si>
    <t>BAS Mar</t>
  </si>
  <si>
    <t>Builder Payment</t>
  </si>
  <si>
    <t>Variation</t>
  </si>
  <si>
    <t>BAS Apr</t>
  </si>
  <si>
    <t>QS Report</t>
  </si>
  <si>
    <t>BAS May</t>
  </si>
  <si>
    <t>BAS Jun</t>
  </si>
  <si>
    <t>Plumbining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</si>
</sst>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4" fontId="1" fillId="0" borderId="1" xfId="0" applyNumberFormat="1" applyFont="1" applyBorder="1"/>
    <xf numFmtId="17" fontId="0" fillId="0" borderId="1" xfId="0" applyNumberFormat="1" applyBorder="1"/>
    <xf numFmtId="14" fontId="0" fillId="0" borderId="1" xfId="0" applyNumberFormat="1" applyBorder="1"/>
    <xf numFmtId="4" fontId="0" fillId="0" borderId="1" xfId="0" applyNumberFormat="1" applyBorder="1"/>
    <xf numFmtId="164" fontId="1" fillId="0" borderId="1" xfId="0" applyNumberFormat="1" applyFont="1" applyBorder="1"/>
    <xf numFmtId="4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F8B1-C25A-6546-8120-EEA04786EFDF}">
  <dimension ref="A2:E31"/>
  <sheetViews>
    <sheetView tabSelected="1" workbookViewId="0">
      <selection activeCell="C28" sqref="C28"/>
    </sheetView>
  </sheetViews>
  <sheetFormatPr baseColWidth="10" defaultRowHeight="16" x14ac:dyDescent="0.2"/>
  <cols>
    <col min="3" max="3" width="27.1640625" bestFit="1" customWidth="1"/>
  </cols>
  <sheetData>
    <row r="2" spans="1:5" x14ac:dyDescent="0.2">
      <c r="A2" s="1"/>
      <c r="B2" s="2" t="s">
        <v>0</v>
      </c>
      <c r="C2" s="2" t="s">
        <v>1</v>
      </c>
      <c r="D2" s="3" t="s">
        <v>2</v>
      </c>
      <c r="E2" s="3" t="s">
        <v>3</v>
      </c>
    </row>
    <row r="3" spans="1:5" x14ac:dyDescent="0.2">
      <c r="A3" s="4" t="s">
        <v>4</v>
      </c>
      <c r="B3" s="5">
        <v>44132</v>
      </c>
      <c r="C3" s="1" t="s">
        <v>5</v>
      </c>
      <c r="D3" s="6">
        <v>3850</v>
      </c>
      <c r="E3" s="6">
        <f>D3/11</f>
        <v>350</v>
      </c>
    </row>
    <row r="4" spans="1:5" x14ac:dyDescent="0.2">
      <c r="A4" s="1"/>
      <c r="B4" s="5">
        <v>44154</v>
      </c>
      <c r="C4" s="1" t="s">
        <v>6</v>
      </c>
      <c r="D4" s="6">
        <v>2035</v>
      </c>
      <c r="E4" s="6">
        <f>D4/11</f>
        <v>185</v>
      </c>
    </row>
    <row r="5" spans="1:5" x14ac:dyDescent="0.2">
      <c r="A5" s="1"/>
      <c r="B5" s="5">
        <v>44159</v>
      </c>
      <c r="C5" s="1" t="s">
        <v>7</v>
      </c>
      <c r="D5" s="6">
        <v>4950</v>
      </c>
      <c r="E5" s="6">
        <f>D5/11</f>
        <v>450</v>
      </c>
    </row>
    <row r="6" spans="1:5" x14ac:dyDescent="0.2">
      <c r="A6" s="1"/>
      <c r="B6" s="5">
        <v>44180</v>
      </c>
      <c r="C6" s="1" t="s">
        <v>8</v>
      </c>
      <c r="D6" s="6">
        <v>110</v>
      </c>
      <c r="E6" s="6">
        <f t="shared" ref="E6:E7" si="0">D6/11</f>
        <v>10</v>
      </c>
    </row>
    <row r="7" spans="1:5" x14ac:dyDescent="0.2">
      <c r="A7" s="1"/>
      <c r="B7" s="5">
        <v>44183</v>
      </c>
      <c r="C7" s="1" t="s">
        <v>9</v>
      </c>
      <c r="D7" s="6">
        <v>726</v>
      </c>
      <c r="E7" s="6">
        <f t="shared" si="0"/>
        <v>66</v>
      </c>
    </row>
    <row r="8" spans="1:5" x14ac:dyDescent="0.2">
      <c r="A8" s="1"/>
      <c r="B8" s="1"/>
      <c r="C8" s="1"/>
      <c r="D8" s="3">
        <f>SUM(D3:D7)</f>
        <v>11671</v>
      </c>
      <c r="E8" s="3">
        <f>SUM(E3:E7)</f>
        <v>1061</v>
      </c>
    </row>
    <row r="9" spans="1:5" x14ac:dyDescent="0.2">
      <c r="A9" s="1"/>
      <c r="B9" s="1"/>
      <c r="C9" s="1"/>
      <c r="D9" s="3"/>
      <c r="E9" s="3"/>
    </row>
    <row r="10" spans="1:5" x14ac:dyDescent="0.2">
      <c r="A10" s="1" t="s">
        <v>10</v>
      </c>
      <c r="B10" s="5">
        <v>44202</v>
      </c>
      <c r="C10" s="1" t="s">
        <v>11</v>
      </c>
      <c r="D10" s="6">
        <v>14411.1</v>
      </c>
      <c r="E10" s="6">
        <f>D10/11</f>
        <v>1310.1000000000001</v>
      </c>
    </row>
    <row r="11" spans="1:5" x14ac:dyDescent="0.2">
      <c r="A11" s="1"/>
      <c r="B11" s="5">
        <v>44203</v>
      </c>
      <c r="C11" s="1" t="s">
        <v>11</v>
      </c>
      <c r="D11" s="6">
        <v>1667.32</v>
      </c>
      <c r="E11" s="6">
        <f>D11/11</f>
        <v>151.57454545454544</v>
      </c>
    </row>
    <row r="12" spans="1:5" x14ac:dyDescent="0.2">
      <c r="A12" s="1"/>
      <c r="B12" s="1"/>
      <c r="C12" s="1"/>
      <c r="D12" s="3">
        <f>SUM(D10:D11)</f>
        <v>16078.42</v>
      </c>
      <c r="E12" s="3">
        <f>SUM(E10:E11)</f>
        <v>1461.6745454545455</v>
      </c>
    </row>
    <row r="13" spans="1:5" x14ac:dyDescent="0.2">
      <c r="A13" s="1"/>
      <c r="B13" s="1"/>
      <c r="C13" s="1"/>
      <c r="D13" s="6"/>
      <c r="E13" s="6"/>
    </row>
    <row r="14" spans="1:5" x14ac:dyDescent="0.2">
      <c r="A14" s="1" t="s">
        <v>12</v>
      </c>
      <c r="B14" s="5">
        <v>44236</v>
      </c>
      <c r="C14" s="1" t="s">
        <v>13</v>
      </c>
      <c r="D14" s="7">
        <v>77586</v>
      </c>
      <c r="E14" s="3">
        <f>D14/11</f>
        <v>7053.272727272727</v>
      </c>
    </row>
    <row r="15" spans="1:5" x14ac:dyDescent="0.2">
      <c r="A15" s="1"/>
      <c r="B15" s="1"/>
      <c r="C15" s="1"/>
      <c r="D15" s="6"/>
      <c r="E15" s="6"/>
    </row>
    <row r="16" spans="1:5" x14ac:dyDescent="0.2">
      <c r="A16" s="1" t="s">
        <v>14</v>
      </c>
      <c r="B16" s="1"/>
      <c r="C16" s="1" t="s">
        <v>15</v>
      </c>
      <c r="D16" s="6">
        <v>2500</v>
      </c>
      <c r="E16" s="6">
        <f>D16/11</f>
        <v>227.27272727272728</v>
      </c>
    </row>
    <row r="17" spans="1:5" x14ac:dyDescent="0.2">
      <c r="A17" s="1"/>
      <c r="B17" s="5">
        <v>44267</v>
      </c>
      <c r="C17" s="1" t="s">
        <v>16</v>
      </c>
      <c r="D17" s="6">
        <v>13750</v>
      </c>
      <c r="E17" s="6">
        <f>D17/11</f>
        <v>1250</v>
      </c>
    </row>
    <row r="18" spans="1:5" x14ac:dyDescent="0.2">
      <c r="A18" s="1"/>
      <c r="B18" s="1"/>
      <c r="C18" s="1"/>
      <c r="D18" s="3">
        <f>SUM(D16:D17)</f>
        <v>16250</v>
      </c>
      <c r="E18" s="8">
        <f>SUM(E16:E17)</f>
        <v>1477.2727272727273</v>
      </c>
    </row>
    <row r="19" spans="1:5" x14ac:dyDescent="0.2">
      <c r="A19" s="1" t="s">
        <v>17</v>
      </c>
      <c r="B19" s="1"/>
      <c r="C19" s="1"/>
      <c r="D19" s="6"/>
      <c r="E19" s="6"/>
    </row>
    <row r="20" spans="1:5" x14ac:dyDescent="0.2">
      <c r="A20" s="1"/>
      <c r="B20" s="5">
        <v>44293</v>
      </c>
      <c r="C20" s="1" t="s">
        <v>18</v>
      </c>
      <c r="D20" s="6">
        <v>1100</v>
      </c>
      <c r="E20" s="6">
        <f>D20/11</f>
        <v>100</v>
      </c>
    </row>
    <row r="21" spans="1:5" x14ac:dyDescent="0.2">
      <c r="A21" s="1"/>
      <c r="B21" s="5">
        <v>44299</v>
      </c>
      <c r="C21" s="1" t="s">
        <v>15</v>
      </c>
      <c r="D21" s="6">
        <v>49775.9</v>
      </c>
      <c r="E21" s="6">
        <v>4977.59</v>
      </c>
    </row>
    <row r="22" spans="1:5" x14ac:dyDescent="0.2">
      <c r="A22" s="1"/>
      <c r="B22" s="5">
        <v>44313</v>
      </c>
      <c r="C22" s="1" t="s">
        <v>15</v>
      </c>
      <c r="D22" s="6">
        <v>100418.61</v>
      </c>
      <c r="E22" s="6">
        <v>9128.9599999999991</v>
      </c>
    </row>
    <row r="23" spans="1:5" x14ac:dyDescent="0.2">
      <c r="A23" s="1"/>
      <c r="B23" s="1"/>
      <c r="C23" s="1"/>
      <c r="D23" s="3">
        <f>SUM(D20:D22)</f>
        <v>151294.51</v>
      </c>
      <c r="E23" s="3">
        <f>SUM(E20:E22)</f>
        <v>14206.55</v>
      </c>
    </row>
    <row r="24" spans="1:5" x14ac:dyDescent="0.2">
      <c r="A24" s="1"/>
      <c r="B24" s="1"/>
      <c r="C24" s="1"/>
      <c r="D24" s="6"/>
      <c r="E24" s="6"/>
    </row>
    <row r="25" spans="1:5" x14ac:dyDescent="0.2">
      <c r="A25" s="1" t="s">
        <v>19</v>
      </c>
      <c r="B25" s="5">
        <v>44321</v>
      </c>
      <c r="C25" s="1" t="s">
        <v>18</v>
      </c>
      <c r="D25" s="3">
        <v>1100</v>
      </c>
      <c r="E25" s="3">
        <f>D25/11</f>
        <v>100</v>
      </c>
    </row>
    <row r="26" spans="1:5" x14ac:dyDescent="0.2">
      <c r="A26" s="1"/>
      <c r="B26" s="1"/>
      <c r="C26" s="1"/>
      <c r="D26" s="6"/>
      <c r="E26" s="6"/>
    </row>
    <row r="27" spans="1:5" x14ac:dyDescent="0.2">
      <c r="A27" s="1" t="s">
        <v>20</v>
      </c>
      <c r="B27" s="5">
        <v>44368</v>
      </c>
      <c r="C27" s="1" t="s">
        <v>15</v>
      </c>
      <c r="D27" s="6">
        <f>59611.15+5961.15</f>
        <v>65572.3</v>
      </c>
      <c r="E27" s="6">
        <f t="shared" ref="E27:E30" si="1">D27/11</f>
        <v>5961.1181818181822</v>
      </c>
    </row>
    <row r="28" spans="1:5" x14ac:dyDescent="0.2">
      <c r="A28" s="1"/>
      <c r="B28" s="5">
        <v>44368</v>
      </c>
      <c r="C28" s="1" t="s">
        <v>16</v>
      </c>
      <c r="D28" s="6">
        <v>11844</v>
      </c>
      <c r="E28" s="6">
        <f t="shared" si="1"/>
        <v>1076.7272727272727</v>
      </c>
    </row>
    <row r="29" spans="1:5" x14ac:dyDescent="0.2">
      <c r="A29" s="1"/>
      <c r="B29" s="5">
        <v>44375</v>
      </c>
      <c r="C29" s="1" t="s">
        <v>21</v>
      </c>
      <c r="D29" s="6">
        <v>773.85</v>
      </c>
      <c r="E29" s="6">
        <f t="shared" si="1"/>
        <v>70.350000000000009</v>
      </c>
    </row>
    <row r="30" spans="1:5" x14ac:dyDescent="0.2">
      <c r="A30" s="1"/>
      <c r="B30" s="5">
        <v>44375</v>
      </c>
      <c r="C30" s="1" t="s">
        <v>18</v>
      </c>
      <c r="D30" s="6">
        <v>1100</v>
      </c>
      <c r="E30" s="6">
        <f t="shared" si="1"/>
        <v>100</v>
      </c>
    </row>
    <row r="31" spans="1:5" x14ac:dyDescent="0.2">
      <c r="A31" s="1"/>
      <c r="B31" s="1"/>
      <c r="C31" s="1"/>
      <c r="D31" s="3">
        <f>SUM(D27:D30)</f>
        <v>79290.150000000009</v>
      </c>
      <c r="E31" s="3">
        <f>SUM(E27:E30)</f>
        <v>7208.1954545454555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2021-07-20T04:04:02Z</dcterms:created>
  <dcterms:modified xsi:type="dcterms:W3CDTF">2021-07-27T10:10:38Z</dcterms:modified>
</cp:coreProperties>
</file>