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lloydthomas/Library/CloudStorage/GoogleDrive-lloyd@thomasproperty.melbourne/My Drive/1. MilaBanks/Finance Insurance &amp; Tax/TAX/2023/Taxes FY23 - Milani &amp; Lloyd/3. Thomas Property Empire/Tyquin St/"/>
    </mc:Choice>
  </mc:AlternateContent>
  <xr:revisionPtr revIDLastSave="0" documentId="13_ncr:1_{5F3C4881-C00B-2842-BC46-3E11C1F87EBE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Dash - Profitability" sheetId="1" r:id="rId1"/>
    <sheet name="Dash - Contribution" sheetId="16" state="hidden" r:id="rId2"/>
    <sheet name="Transaction All" sheetId="4" r:id="rId3"/>
    <sheet name="Transactions FY23" sheetId="17" r:id="rId4"/>
    <sheet name="Legal" sheetId="5" state="hidden" r:id="rId5"/>
    <sheet name="BAS - Claims" sheetId="6" r:id="rId6"/>
    <sheet name="BAS Other" sheetId="18" state="hidden" r:id="rId7"/>
    <sheet name="Feasibility" sheetId="7" state="hidden" r:id="rId8"/>
    <sheet name="iBhomes" sheetId="8" state="hidden" r:id="rId9"/>
    <sheet name="Clancy_Hillbrook" sheetId="9" state="hidden" r:id="rId10"/>
    <sheet name="Clancy New" sheetId="13" state="hidden" r:id="rId11"/>
    <sheet name="Trilogy" sheetId="14" state="hidden" r:id="rId12"/>
    <sheet name="Budget_Actuals " sheetId="10" state="hidden" r:id="rId13"/>
    <sheet name="Construction Payments" sheetId="11" state="hidden" r:id="rId14"/>
    <sheet name="Sheet2" sheetId="12" state="hidden" r:id="rId15"/>
  </sheets>
  <definedNames>
    <definedName name="_23_05_2016">#REF!</definedName>
    <definedName name="_xlnm._FilterDatabase" localSheetId="2" hidden="1">'Transaction All'!$A$1:$K$997</definedName>
    <definedName name="_xlnm._FilterDatabase" localSheetId="3" hidden="1">'Transactions FY23'!$A$1:$I$106</definedName>
    <definedName name="_xlnm._FilterDatabase" localSheetId="11" hidden="1">Trilogy!$A$1:$F$113</definedName>
  </definedNames>
  <calcPr calcId="191029"/>
  <pivotCaches>
    <pivotCache cacheId="1153" r:id="rId16"/>
    <pivotCache cacheId="116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n595Xbv/xYqxGNGDz6JWC2gfPvUI3QFoJaoVyTgfcjY="/>
    </ext>
  </extLst>
</workbook>
</file>

<file path=xl/calcChain.xml><?xml version="1.0" encoding="utf-8"?>
<calcChain xmlns="http://schemas.openxmlformats.org/spreadsheetml/2006/main">
  <c r="E27" i="1" l="1"/>
  <c r="D27" i="1"/>
  <c r="D26" i="1"/>
  <c r="E16" i="1" l="1"/>
  <c r="E179" i="6"/>
  <c r="E162" i="6"/>
  <c r="E163" i="6"/>
  <c r="E164" i="6"/>
  <c r="E165" i="6"/>
  <c r="E166" i="6"/>
  <c r="E170" i="6"/>
  <c r="E171" i="6"/>
  <c r="E156" i="6"/>
  <c r="E157" i="6"/>
  <c r="E158" i="6"/>
  <c r="E159" i="6"/>
  <c r="E160" i="6"/>
  <c r="E145" i="6"/>
  <c r="E146" i="6"/>
  <c r="E147" i="6"/>
  <c r="E148" i="6"/>
  <c r="E149" i="6"/>
  <c r="E150" i="6"/>
  <c r="E151" i="6"/>
  <c r="E152" i="6"/>
  <c r="E153" i="6"/>
  <c r="E154" i="6"/>
  <c r="E141" i="6"/>
  <c r="E142" i="6"/>
  <c r="E143" i="6"/>
  <c r="E137" i="6"/>
  <c r="E138" i="6"/>
  <c r="E139" i="6"/>
  <c r="E130" i="6"/>
  <c r="E131" i="6"/>
  <c r="E132" i="6"/>
  <c r="E133" i="6"/>
  <c r="E134" i="6"/>
  <c r="E135" i="6"/>
  <c r="E124" i="6"/>
  <c r="E125" i="6"/>
  <c r="E126" i="6"/>
  <c r="E127" i="6"/>
  <c r="E128" i="6"/>
  <c r="E116" i="6"/>
  <c r="E117" i="6"/>
  <c r="E118" i="6"/>
  <c r="E119" i="6"/>
  <c r="E120" i="6"/>
  <c r="E122" i="6"/>
  <c r="E112" i="6"/>
  <c r="E113" i="6"/>
  <c r="E114" i="6"/>
  <c r="E106" i="6"/>
  <c r="E107" i="6"/>
  <c r="E108" i="6"/>
  <c r="E109" i="6"/>
  <c r="E110" i="6"/>
  <c r="E100" i="6"/>
  <c r="E101" i="6"/>
  <c r="E102" i="6"/>
  <c r="E103" i="6"/>
  <c r="E104" i="6"/>
  <c r="E89" i="6"/>
  <c r="E92" i="6"/>
  <c r="E93" i="6"/>
  <c r="E95" i="6"/>
  <c r="E96" i="6"/>
  <c r="E97" i="6"/>
  <c r="E82" i="6"/>
  <c r="E83" i="6"/>
  <c r="E84" i="6"/>
  <c r="E85" i="6"/>
  <c r="E86" i="6"/>
  <c r="E87" i="6"/>
  <c r="E74" i="6"/>
  <c r="E75" i="6"/>
  <c r="E76" i="6"/>
  <c r="E77" i="6"/>
  <c r="E78" i="6"/>
  <c r="E79" i="6"/>
  <c r="E80" i="6"/>
  <c r="E69" i="6"/>
  <c r="E70" i="6"/>
  <c r="D71" i="6"/>
  <c r="E71" i="6"/>
  <c r="E72" i="6"/>
  <c r="E65" i="6"/>
  <c r="E66" i="6"/>
  <c r="E67" i="6"/>
  <c r="E55" i="6"/>
  <c r="E56" i="6"/>
  <c r="E57" i="6"/>
  <c r="E58" i="6"/>
  <c r="E59" i="6"/>
  <c r="E61" i="6"/>
  <c r="E62" i="6"/>
  <c r="E63" i="6"/>
  <c r="E38" i="6"/>
  <c r="E39" i="6"/>
  <c r="D40" i="6"/>
  <c r="E40" i="6"/>
  <c r="E41" i="6"/>
  <c r="D30" i="6"/>
  <c r="E30" i="6"/>
  <c r="E31" i="6"/>
  <c r="E32" i="6"/>
  <c r="E33" i="6"/>
  <c r="E34" i="6"/>
  <c r="E23" i="6"/>
  <c r="E24" i="6"/>
  <c r="E25" i="6"/>
  <c r="E26" i="6"/>
  <c r="E18" i="6"/>
  <c r="E19" i="6"/>
  <c r="E20" i="6"/>
  <c r="E14" i="6"/>
  <c r="E15" i="6"/>
  <c r="E16" i="6"/>
  <c r="E10" i="6"/>
  <c r="E11" i="6"/>
  <c r="E12" i="6"/>
  <c r="E3" i="6"/>
  <c r="E4" i="6"/>
  <c r="E5" i="6"/>
  <c r="E6" i="6"/>
  <c r="E7" i="6"/>
  <c r="E8" i="6"/>
  <c r="E173" i="6"/>
  <c r="E175" i="6"/>
  <c r="E28" i="6"/>
  <c r="E36" i="6"/>
  <c r="E43" i="6"/>
  <c r="E48" i="6"/>
  <c r="E178" i="6"/>
  <c r="D106" i="17"/>
  <c r="C106" i="17"/>
  <c r="B106" i="17"/>
  <c r="D86" i="17"/>
  <c r="C85" i="17"/>
  <c r="D28" i="17"/>
  <c r="C27" i="17"/>
  <c r="B28" i="17"/>
  <c r="D175" i="6"/>
  <c r="D100" i="17"/>
  <c r="D76" i="17"/>
  <c r="B76" i="17"/>
  <c r="D33" i="17"/>
  <c r="B33" i="17"/>
  <c r="D160" i="6"/>
  <c r="D41" i="6"/>
  <c r="I14" i="1"/>
  <c r="I17" i="1"/>
  <c r="H38" i="13"/>
  <c r="H39" i="13"/>
  <c r="H40" i="13"/>
  <c r="H41" i="13"/>
  <c r="H43" i="13"/>
  <c r="H44" i="13"/>
  <c r="H45" i="13"/>
  <c r="G38" i="13"/>
  <c r="G39" i="13"/>
  <c r="G40" i="13"/>
  <c r="G41" i="13"/>
  <c r="G43" i="13"/>
  <c r="G44" i="13"/>
  <c r="G45" i="13"/>
  <c r="M11" i="13"/>
  <c r="L11" i="13"/>
  <c r="C9" i="8"/>
  <c r="C13" i="8"/>
  <c r="C15" i="8"/>
  <c r="C21" i="8"/>
  <c r="C32" i="8"/>
  <c r="G40" i="8"/>
  <c r="F39" i="8"/>
  <c r="G30" i="8"/>
  <c r="E29" i="8"/>
  <c r="G36" i="8"/>
  <c r="E35" i="8"/>
  <c r="F27" i="8"/>
  <c r="G27" i="8"/>
  <c r="F26" i="8"/>
  <c r="G26" i="8"/>
  <c r="C22" i="8"/>
  <c r="C23" i="8"/>
  <c r="G5" i="8"/>
  <c r="G7" i="8"/>
  <c r="G9" i="8"/>
  <c r="G11" i="8"/>
  <c r="G13" i="8"/>
  <c r="G15" i="8"/>
  <c r="G17" i="8"/>
  <c r="G19" i="8"/>
  <c r="G21" i="8"/>
  <c r="F4" i="8"/>
  <c r="F6" i="8"/>
  <c r="F21" i="8"/>
  <c r="E8" i="8"/>
  <c r="E10" i="8"/>
  <c r="E12" i="8"/>
  <c r="E14" i="8"/>
  <c r="E16" i="8"/>
  <c r="E18" i="8"/>
  <c r="E21" i="8"/>
  <c r="D820" i="4"/>
  <c r="B820" i="4" s="1"/>
  <c r="D1000" i="4"/>
  <c r="B1000" i="4" s="1"/>
  <c r="D993" i="4"/>
  <c r="C993" i="4" s="1"/>
  <c r="D948" i="4"/>
  <c r="C948" i="4" s="1"/>
  <c r="C952" i="4"/>
  <c r="C953" i="4"/>
  <c r="D865" i="4"/>
  <c r="C865" i="4" s="1"/>
  <c r="D921" i="4"/>
  <c r="C921" i="4" s="1"/>
  <c r="D954" i="4"/>
  <c r="C954" i="4" s="1"/>
  <c r="D997" i="4"/>
  <c r="C997" i="4" s="1"/>
  <c r="D961" i="4"/>
  <c r="C961" i="4" s="1"/>
  <c r="D962" i="4"/>
  <c r="C962" i="4" s="1"/>
  <c r="D956" i="4"/>
  <c r="C956" i="4" s="1"/>
  <c r="D963" i="4"/>
  <c r="C963" i="4" s="1"/>
  <c r="D964" i="4"/>
  <c r="C964" i="4" s="1"/>
  <c r="D965" i="4"/>
  <c r="C965" i="4" s="1"/>
  <c r="D966" i="4"/>
  <c r="C966" i="4" s="1"/>
  <c r="D1002" i="4"/>
  <c r="C1002" i="4" s="1"/>
  <c r="D1001" i="4"/>
  <c r="C1001" i="4" s="1"/>
  <c r="D976" i="4"/>
  <c r="C976" i="4" s="1"/>
  <c r="D972" i="4"/>
  <c r="C972" i="4" s="1"/>
  <c r="D977" i="4"/>
  <c r="C977" i="4" s="1"/>
  <c r="D980" i="4"/>
  <c r="C980" i="4" s="1"/>
  <c r="D981" i="4"/>
  <c r="C981" i="4" s="1"/>
  <c r="C982" i="4"/>
  <c r="C983" i="4"/>
  <c r="D984" i="4"/>
  <c r="C984" i="4" s="1"/>
  <c r="D985" i="4"/>
  <c r="C985" i="4" s="1"/>
  <c r="D986" i="4"/>
  <c r="C986" i="4" s="1"/>
  <c r="D987" i="4"/>
  <c r="C987" i="4" s="1"/>
  <c r="D991" i="4"/>
  <c r="C991" i="4" s="1"/>
  <c r="D955" i="4"/>
  <c r="C955" i="4" s="1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B46" i="12"/>
  <c r="B48" i="12"/>
  <c r="B49" i="12"/>
  <c r="B50" i="12"/>
  <c r="B51" i="12"/>
  <c r="B55" i="12"/>
  <c r="B56" i="12"/>
  <c r="B52" i="12"/>
  <c r="B7" i="12"/>
  <c r="D7" i="12"/>
  <c r="E7" i="12"/>
  <c r="E12" i="12"/>
  <c r="E18" i="12"/>
  <c r="E20" i="12"/>
  <c r="B24" i="12"/>
  <c r="C24" i="12"/>
  <c r="D24" i="12"/>
  <c r="B23" i="12"/>
  <c r="C23" i="12"/>
  <c r="D23" i="12"/>
  <c r="B9" i="12"/>
  <c r="B10" i="12"/>
  <c r="B4" i="12"/>
  <c r="B11" i="12"/>
  <c r="B12" i="12"/>
  <c r="B20" i="12"/>
  <c r="XFD18" i="12"/>
  <c r="D10" i="12"/>
  <c r="C11" i="12"/>
  <c r="D11" i="12"/>
  <c r="D12" i="12"/>
  <c r="C9" i="12"/>
  <c r="C12" i="12"/>
  <c r="G7" i="12"/>
  <c r="B2" i="12"/>
  <c r="E2" i="12"/>
  <c r="E3" i="12"/>
  <c r="E4" i="12"/>
  <c r="D105" i="10"/>
  <c r="C101" i="10"/>
  <c r="C105" i="10"/>
  <c r="E87" i="10"/>
  <c r="D83" i="10"/>
  <c r="C74" i="10"/>
  <c r="C81" i="10"/>
  <c r="C82" i="10"/>
  <c r="C83" i="10"/>
  <c r="E70" i="10"/>
  <c r="D66" i="10"/>
  <c r="C66" i="10"/>
  <c r="D57" i="10"/>
  <c r="C56" i="10"/>
  <c r="C57" i="10"/>
  <c r="D36" i="10"/>
  <c r="D30" i="10"/>
  <c r="D14" i="10"/>
  <c r="K7" i="9"/>
  <c r="K36" i="9"/>
  <c r="K37" i="9"/>
  <c r="K38" i="9"/>
  <c r="K39" i="9"/>
  <c r="I36" i="9"/>
  <c r="I39" i="9"/>
  <c r="L39" i="9"/>
  <c r="E7" i="9"/>
  <c r="E36" i="9"/>
  <c r="E37" i="9"/>
  <c r="E38" i="9"/>
  <c r="E39" i="9"/>
  <c r="F39" i="9"/>
  <c r="L38" i="9"/>
  <c r="F38" i="9"/>
  <c r="L37" i="9"/>
  <c r="F37" i="9"/>
  <c r="L36" i="9"/>
  <c r="F36" i="9"/>
  <c r="L32" i="9"/>
  <c r="F32" i="9"/>
  <c r="L31" i="9"/>
  <c r="F31" i="9"/>
  <c r="L30" i="9"/>
  <c r="F30" i="9"/>
  <c r="L26" i="9"/>
  <c r="L25" i="9"/>
  <c r="F25" i="9"/>
  <c r="L24" i="9"/>
  <c r="F24" i="9"/>
  <c r="L23" i="9"/>
  <c r="F23" i="9"/>
  <c r="L21" i="9"/>
  <c r="F21" i="9"/>
  <c r="L19" i="9"/>
  <c r="F19" i="9"/>
  <c r="L18" i="9"/>
  <c r="F18" i="9"/>
  <c r="L17" i="9"/>
  <c r="F17" i="9"/>
  <c r="L15" i="9"/>
  <c r="F15" i="9"/>
  <c r="L13" i="9"/>
  <c r="F13" i="9"/>
  <c r="L12" i="9"/>
  <c r="F12" i="9"/>
  <c r="L11" i="9"/>
  <c r="F11" i="9"/>
  <c r="L10" i="9"/>
  <c r="F10" i="9"/>
  <c r="L9" i="9"/>
  <c r="F9" i="9"/>
  <c r="L8" i="9"/>
  <c r="F8" i="9"/>
  <c r="L7" i="9"/>
  <c r="F7" i="9"/>
  <c r="L6" i="9"/>
  <c r="F6" i="9"/>
  <c r="L4" i="9"/>
  <c r="F4" i="9"/>
  <c r="L3" i="9"/>
  <c r="F3" i="9"/>
  <c r="V36" i="7"/>
  <c r="T5" i="7"/>
  <c r="V5" i="7"/>
  <c r="V9" i="7"/>
  <c r="V16" i="7"/>
  <c r="V31" i="7"/>
  <c r="V37" i="7"/>
  <c r="V38" i="7"/>
  <c r="U36" i="7"/>
  <c r="U5" i="7"/>
  <c r="U9" i="7"/>
  <c r="U16" i="7"/>
  <c r="U31" i="7"/>
  <c r="U37" i="7"/>
  <c r="U38" i="7"/>
  <c r="T36" i="7"/>
  <c r="T9" i="7"/>
  <c r="T16" i="7"/>
  <c r="T31" i="7"/>
  <c r="T37" i="7"/>
  <c r="T38" i="7"/>
  <c r="S36" i="7"/>
  <c r="S16" i="7"/>
  <c r="S31" i="7"/>
  <c r="S37" i="7"/>
  <c r="S38" i="7"/>
  <c r="J36" i="7"/>
  <c r="J16" i="7"/>
  <c r="J31" i="7"/>
  <c r="J37" i="7"/>
  <c r="J38" i="7"/>
  <c r="I36" i="7"/>
  <c r="I16" i="7"/>
  <c r="I31" i="7"/>
  <c r="I37" i="7"/>
  <c r="I38" i="7"/>
  <c r="H36" i="7"/>
  <c r="H16" i="7"/>
  <c r="H31" i="7"/>
  <c r="H37" i="7"/>
  <c r="H38" i="7"/>
  <c r="G36" i="7"/>
  <c r="G16" i="7"/>
  <c r="G31" i="7"/>
  <c r="G37" i="7"/>
  <c r="G38" i="7"/>
  <c r="D34" i="7"/>
  <c r="B4" i="7"/>
  <c r="D8" i="7"/>
  <c r="D10" i="7"/>
  <c r="D12" i="7"/>
  <c r="D13" i="7"/>
  <c r="D14" i="7"/>
  <c r="D35" i="7"/>
  <c r="D36" i="7"/>
  <c r="D37" i="7"/>
  <c r="C34" i="7"/>
  <c r="C8" i="7"/>
  <c r="C10" i="7"/>
  <c r="C12" i="7"/>
  <c r="C4" i="7"/>
  <c r="C13" i="7"/>
  <c r="C14" i="7"/>
  <c r="C35" i="7"/>
  <c r="C36" i="7"/>
  <c r="C37" i="7"/>
  <c r="B34" i="7"/>
  <c r="B8" i="7"/>
  <c r="B10" i="7"/>
  <c r="B12" i="7"/>
  <c r="B13" i="7"/>
  <c r="B14" i="7"/>
  <c r="B35" i="7"/>
  <c r="B36" i="7"/>
  <c r="B37" i="7"/>
  <c r="V25" i="7"/>
  <c r="V32" i="7"/>
  <c r="V33" i="7"/>
  <c r="V34" i="7"/>
  <c r="U25" i="7"/>
  <c r="U32" i="7"/>
  <c r="U33" i="7"/>
  <c r="U34" i="7"/>
  <c r="T25" i="7"/>
  <c r="T32" i="7"/>
  <c r="T33" i="7"/>
  <c r="T34" i="7"/>
  <c r="S25" i="7"/>
  <c r="S32" i="7"/>
  <c r="S33" i="7"/>
  <c r="S34" i="7"/>
  <c r="J25" i="7"/>
  <c r="J32" i="7"/>
  <c r="J33" i="7"/>
  <c r="J34" i="7"/>
  <c r="I25" i="7"/>
  <c r="I32" i="7"/>
  <c r="I33" i="7"/>
  <c r="I34" i="7"/>
  <c r="H25" i="7"/>
  <c r="H32" i="7"/>
  <c r="H33" i="7"/>
  <c r="H34" i="7"/>
  <c r="G25" i="7"/>
  <c r="G32" i="7"/>
  <c r="G33" i="7"/>
  <c r="G34" i="7"/>
  <c r="D23" i="7"/>
  <c r="D30" i="7"/>
  <c r="D29" i="7"/>
  <c r="D31" i="7"/>
  <c r="C23" i="7"/>
  <c r="C30" i="7"/>
  <c r="C29" i="7"/>
  <c r="C31" i="7"/>
  <c r="B23" i="7"/>
  <c r="B30" i="7"/>
  <c r="B29" i="7"/>
  <c r="B31" i="7"/>
  <c r="AB25" i="7"/>
  <c r="Z5" i="7"/>
  <c r="AB5" i="7"/>
  <c r="AB9" i="7"/>
  <c r="AB16" i="7"/>
  <c r="AB27" i="7"/>
  <c r="AB28" i="7"/>
  <c r="AA25" i="7"/>
  <c r="AA16" i="7"/>
  <c r="AA27" i="7"/>
  <c r="AA28" i="7"/>
  <c r="Z25" i="7"/>
  <c r="Z16" i="7"/>
  <c r="Z27" i="7"/>
  <c r="Z28" i="7"/>
  <c r="Y25" i="7"/>
  <c r="Y16" i="7"/>
  <c r="Y27" i="7"/>
  <c r="Y28" i="7"/>
  <c r="V27" i="7"/>
  <c r="V28" i="7"/>
  <c r="U27" i="7"/>
  <c r="U28" i="7"/>
  <c r="T27" i="7"/>
  <c r="T28" i="7"/>
  <c r="S27" i="7"/>
  <c r="S28" i="7"/>
  <c r="P25" i="7"/>
  <c r="N5" i="7"/>
  <c r="P5" i="7"/>
  <c r="P9" i="7"/>
  <c r="P16" i="7"/>
  <c r="P27" i="7"/>
  <c r="P28" i="7"/>
  <c r="O25" i="7"/>
  <c r="O5" i="7"/>
  <c r="O9" i="7"/>
  <c r="O14" i="7"/>
  <c r="O16" i="7"/>
  <c r="O27" i="7"/>
  <c r="O28" i="7"/>
  <c r="N25" i="7"/>
  <c r="N9" i="7"/>
  <c r="N14" i="7"/>
  <c r="N16" i="7"/>
  <c r="N27" i="7"/>
  <c r="N28" i="7"/>
  <c r="M25" i="7"/>
  <c r="M9" i="7"/>
  <c r="M14" i="7"/>
  <c r="M16" i="7"/>
  <c r="M27" i="7"/>
  <c r="M28" i="7"/>
  <c r="J27" i="7"/>
  <c r="J28" i="7"/>
  <c r="I27" i="7"/>
  <c r="I28" i="7"/>
  <c r="H27" i="7"/>
  <c r="H28" i="7"/>
  <c r="G27" i="7"/>
  <c r="G28" i="7"/>
  <c r="D25" i="7"/>
  <c r="D26" i="7"/>
  <c r="C25" i="7"/>
  <c r="C26" i="7"/>
  <c r="B25" i="7"/>
  <c r="B26" i="7"/>
  <c r="AA5" i="7"/>
  <c r="H5" i="7"/>
  <c r="J5" i="7"/>
  <c r="I5" i="7"/>
  <c r="D171" i="6"/>
  <c r="D154" i="6"/>
  <c r="D143" i="6"/>
  <c r="D139" i="6"/>
  <c r="D135" i="6"/>
  <c r="D128" i="6"/>
  <c r="D122" i="6"/>
  <c r="D114" i="6"/>
  <c r="D110" i="6"/>
  <c r="D104" i="6"/>
  <c r="D97" i="6"/>
  <c r="D87" i="6"/>
  <c r="D80" i="6"/>
  <c r="D72" i="6"/>
  <c r="D67" i="6"/>
  <c r="D63" i="6"/>
  <c r="E53" i="6"/>
  <c r="D53" i="6"/>
  <c r="D48" i="6"/>
  <c r="D34" i="6"/>
  <c r="D26" i="6"/>
  <c r="D20" i="6"/>
  <c r="D8" i="6"/>
  <c r="D12" i="6"/>
  <c r="D16" i="6"/>
  <c r="B23" i="5"/>
  <c r="B26" i="5"/>
  <c r="D944" i="4"/>
  <c r="C944" i="4" s="1"/>
  <c r="D943" i="4"/>
  <c r="C943" i="4" s="1"/>
  <c r="D939" i="4"/>
  <c r="C939" i="4" s="1"/>
  <c r="D938" i="4"/>
  <c r="C938" i="4" s="1"/>
  <c r="D937" i="4"/>
  <c r="C937" i="4" s="1"/>
  <c r="D933" i="4"/>
  <c r="C933" i="4" s="1"/>
  <c r="D940" i="4"/>
  <c r="C940" i="4" s="1"/>
  <c r="D932" i="4"/>
  <c r="C932" i="4" s="1"/>
  <c r="D931" i="4"/>
  <c r="C931" i="4" s="1"/>
  <c r="C999" i="4"/>
  <c r="D967" i="4"/>
  <c r="C967" i="4"/>
  <c r="D998" i="4"/>
  <c r="C998" i="4" s="1"/>
  <c r="D922" i="4"/>
  <c r="C922" i="4" s="1"/>
  <c r="D947" i="4"/>
  <c r="C947" i="4" s="1"/>
  <c r="D917" i="4"/>
  <c r="C917" i="4" s="1"/>
  <c r="D915" i="4"/>
  <c r="C915" i="4" s="1"/>
  <c r="D916" i="4"/>
  <c r="C916" i="4" s="1"/>
  <c r="D911" i="4"/>
  <c r="C911" i="4" s="1"/>
  <c r="D910" i="4"/>
  <c r="C910" i="4" s="1"/>
  <c r="D909" i="4"/>
  <c r="C909" i="4" s="1"/>
  <c r="D905" i="4"/>
  <c r="C905" i="4" s="1"/>
  <c r="D904" i="4"/>
  <c r="C904" i="4" s="1"/>
  <c r="D903" i="4"/>
  <c r="C903" i="4" s="1"/>
  <c r="D902" i="4"/>
  <c r="C902" i="4" s="1"/>
  <c r="D898" i="4"/>
  <c r="C898" i="4" s="1"/>
  <c r="D897" i="4"/>
  <c r="C897" i="4" s="1"/>
  <c r="C896" i="4"/>
  <c r="D895" i="4"/>
  <c r="C895" i="4" s="1"/>
  <c r="D894" i="4"/>
  <c r="C894" i="4" s="1"/>
  <c r="C893" i="4"/>
  <c r="C892" i="4"/>
  <c r="D891" i="4"/>
  <c r="C891" i="4" s="1"/>
  <c r="D887" i="4"/>
  <c r="C887" i="4" s="1"/>
  <c r="D885" i="4"/>
  <c r="C885" i="4" s="1"/>
  <c r="D884" i="4"/>
  <c r="C884" i="4" s="1"/>
  <c r="D883" i="4"/>
  <c r="C883" i="4" s="1"/>
  <c r="D882" i="4"/>
  <c r="C882" i="4" s="1"/>
  <c r="D879" i="4"/>
  <c r="C879" i="4" s="1"/>
  <c r="D878" i="4"/>
  <c r="C878" i="4" s="1"/>
  <c r="D877" i="4"/>
  <c r="C877" i="4" s="1"/>
  <c r="D876" i="4"/>
  <c r="C876" i="4" s="1"/>
  <c r="D875" i="4"/>
  <c r="C875" i="4" s="1"/>
  <c r="D874" i="4"/>
  <c r="C874" i="4" s="1"/>
  <c r="D870" i="4"/>
  <c r="C870" i="4" s="1"/>
  <c r="D869" i="4"/>
  <c r="C869" i="4" s="1"/>
  <c r="D868" i="4"/>
  <c r="C868" i="4" s="1"/>
  <c r="D863" i="4"/>
  <c r="C863" i="4" s="1"/>
  <c r="D864" i="4"/>
  <c r="C864" i="4" s="1"/>
  <c r="D860" i="4"/>
  <c r="C860" i="4" s="1"/>
  <c r="D859" i="4"/>
  <c r="C859" i="4" s="1"/>
  <c r="D856" i="4"/>
  <c r="C856" i="4" s="1"/>
  <c r="C857" i="4"/>
  <c r="D855" i="4"/>
  <c r="C855" i="4" s="1"/>
  <c r="D854" i="4"/>
  <c r="C854" i="4" s="1"/>
  <c r="D853" i="4"/>
  <c r="C853" i="4" s="1"/>
  <c r="D852" i="4"/>
  <c r="C852" i="4" s="1"/>
  <c r="C849" i="4"/>
  <c r="C848" i="4"/>
  <c r="C843" i="4"/>
  <c r="C842" i="4"/>
  <c r="C841" i="4"/>
  <c r="D838" i="4"/>
  <c r="C838" i="4" s="1"/>
  <c r="D834" i="4"/>
  <c r="C834" i="4" s="1"/>
  <c r="D833" i="4"/>
  <c r="C833" i="4" s="1"/>
  <c r="D832" i="4"/>
  <c r="C832" i="4" s="1"/>
  <c r="C829" i="4"/>
  <c r="D826" i="4"/>
  <c r="C826" i="4" s="1"/>
  <c r="D825" i="4"/>
  <c r="C825" i="4" s="1"/>
  <c r="D804" i="4"/>
  <c r="C804" i="4" s="1"/>
  <c r="D798" i="4"/>
  <c r="C798" i="4" s="1"/>
  <c r="D795" i="4"/>
  <c r="C795" i="4" s="1"/>
  <c r="D792" i="4"/>
  <c r="C792" i="4" s="1"/>
  <c r="D784" i="4"/>
  <c r="C784" i="4" s="1"/>
  <c r="C824" i="4"/>
  <c r="C822" i="4"/>
  <c r="C819" i="4"/>
  <c r="C818" i="4"/>
  <c r="C817" i="4"/>
  <c r="C816" i="4"/>
  <c r="C815" i="4"/>
  <c r="C814" i="4"/>
  <c r="C811" i="4"/>
  <c r="C810" i="4"/>
  <c r="C809" i="4"/>
  <c r="C808" i="4"/>
  <c r="C807" i="4"/>
  <c r="C806" i="4"/>
  <c r="C797" i="4"/>
  <c r="C796" i="4"/>
  <c r="C794" i="4"/>
  <c r="C789" i="4"/>
  <c r="C788" i="4"/>
  <c r="C787" i="4"/>
  <c r="C786" i="4"/>
  <c r="C785" i="4"/>
  <c r="D783" i="4"/>
  <c r="C783" i="4" s="1"/>
  <c r="D779" i="4"/>
  <c r="C779" i="4" s="1"/>
  <c r="C778" i="4"/>
  <c r="C777" i="4"/>
  <c r="C773" i="4"/>
  <c r="C774" i="4"/>
  <c r="C772" i="4"/>
  <c r="C771" i="4"/>
  <c r="C770" i="4"/>
  <c r="C769" i="4"/>
  <c r="C768" i="4"/>
  <c r="C767" i="4"/>
  <c r="C766" i="4"/>
  <c r="C765" i="4"/>
  <c r="D764" i="4"/>
  <c r="C764" i="4" s="1"/>
  <c r="D763" i="4"/>
  <c r="C763" i="4" s="1"/>
  <c r="C762" i="4"/>
  <c r="C761" i="4"/>
  <c r="D760" i="4"/>
  <c r="C760" i="4" s="1"/>
  <c r="D759" i="4"/>
  <c r="C759" i="4" s="1"/>
  <c r="C758" i="4"/>
  <c r="C757" i="4"/>
  <c r="C756" i="4"/>
  <c r="C755" i="4"/>
  <c r="C754" i="4"/>
  <c r="C753" i="4"/>
  <c r="C752" i="4"/>
  <c r="C751" i="4"/>
  <c r="C750" i="4"/>
  <c r="B749" i="4"/>
  <c r="D749" i="4"/>
  <c r="C749" i="4" s="1"/>
  <c r="B748" i="4"/>
  <c r="D748" i="4"/>
  <c r="C748" i="4" s="1"/>
  <c r="C747" i="4"/>
  <c r="C746" i="4"/>
  <c r="C745" i="4"/>
  <c r="C744" i="4"/>
  <c r="D743" i="4"/>
  <c r="C743" i="4" s="1"/>
  <c r="C742" i="4"/>
  <c r="C741" i="4"/>
  <c r="C740" i="4"/>
  <c r="D739" i="4"/>
  <c r="C739" i="4" s="1"/>
  <c r="C738" i="4"/>
  <c r="C737" i="4"/>
  <c r="C736" i="4"/>
  <c r="C735" i="4"/>
  <c r="C734" i="4"/>
  <c r="C733" i="4"/>
  <c r="C732" i="4"/>
  <c r="D731" i="4"/>
  <c r="C731" i="4" s="1"/>
  <c r="C730" i="4"/>
  <c r="C729" i="4"/>
  <c r="C728" i="4"/>
  <c r="D727" i="4"/>
  <c r="C727" i="4" s="1"/>
  <c r="C726" i="4"/>
  <c r="C725" i="4"/>
  <c r="C724" i="4"/>
  <c r="C723" i="4"/>
  <c r="D722" i="4"/>
  <c r="C722" i="4" s="1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D690" i="4"/>
  <c r="C690" i="4" s="1"/>
  <c r="C689" i="4"/>
  <c r="C688" i="4"/>
  <c r="C687" i="4"/>
  <c r="D686" i="4"/>
  <c r="C686" i="4" s="1"/>
  <c r="C685" i="4"/>
  <c r="C684" i="4"/>
  <c r="D683" i="4"/>
  <c r="C683" i="4" s="1"/>
  <c r="D682" i="4"/>
  <c r="C682" i="4" s="1"/>
  <c r="C681" i="4"/>
  <c r="C680" i="4"/>
  <c r="C679" i="4"/>
  <c r="C678" i="4"/>
  <c r="C677" i="4"/>
  <c r="D676" i="4"/>
  <c r="C676" i="4" s="1"/>
  <c r="C675" i="4"/>
  <c r="C674" i="4"/>
  <c r="C673" i="4"/>
  <c r="C672" i="4"/>
  <c r="C671" i="4"/>
  <c r="C670" i="4"/>
  <c r="C669" i="4"/>
  <c r="C668" i="4"/>
  <c r="C667" i="4"/>
  <c r="C666" i="4"/>
  <c r="C665" i="4"/>
  <c r="C664" i="4"/>
  <c r="D663" i="4"/>
  <c r="C663" i="4" s="1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D649" i="4"/>
  <c r="C649" i="4" s="1"/>
  <c r="C648" i="4"/>
  <c r="C647" i="4"/>
  <c r="C646" i="4"/>
  <c r="C645" i="4"/>
  <c r="C644" i="4"/>
  <c r="C643" i="4"/>
  <c r="C642" i="4"/>
  <c r="C641" i="4"/>
  <c r="C640" i="4"/>
  <c r="D639" i="4"/>
  <c r="C639" i="4" s="1"/>
  <c r="D638" i="4"/>
  <c r="C638" i="4" s="1"/>
  <c r="D637" i="4"/>
  <c r="C637" i="4" s="1"/>
  <c r="D636" i="4"/>
  <c r="C636" i="4" s="1"/>
  <c r="C635" i="4"/>
  <c r="C634" i="4"/>
  <c r="C633" i="4"/>
  <c r="D632" i="4"/>
  <c r="C632" i="4" s="1"/>
  <c r="C631" i="4"/>
  <c r="C630" i="4"/>
  <c r="C629" i="4"/>
  <c r="C628" i="4"/>
  <c r="C627" i="4"/>
  <c r="C626" i="4"/>
  <c r="C625" i="4"/>
  <c r="C624" i="4"/>
  <c r="D623" i="4"/>
  <c r="C623" i="4" s="1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D607" i="4"/>
  <c r="C607" i="4" s="1"/>
  <c r="C606" i="4"/>
  <c r="C605" i="4"/>
  <c r="C604" i="4"/>
  <c r="C603" i="4"/>
  <c r="C602" i="4"/>
  <c r="C601" i="4"/>
  <c r="C600" i="4"/>
  <c r="D599" i="4"/>
  <c r="C599" i="4" s="1"/>
  <c r="C598" i="4"/>
  <c r="C597" i="4"/>
  <c r="C596" i="4"/>
  <c r="C595" i="4"/>
  <c r="D594" i="4"/>
  <c r="C594" i="4" s="1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B7" i="4"/>
  <c r="C7" i="4" s="1"/>
  <c r="C6" i="4"/>
  <c r="C5" i="4"/>
  <c r="C4" i="4"/>
  <c r="C3" i="4"/>
  <c r="C2" i="4"/>
  <c r="I5" i="1"/>
  <c r="I9" i="1" l="1"/>
  <c r="I20" i="1" s="1"/>
  <c r="B821" i="4"/>
  <c r="C821" i="4"/>
  <c r="D82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9" authorId="0" shapeId="0" xr:uid="{00000000-0006-0000-0300-000001000000}">
      <text>
        <r>
          <rPr>
            <sz val="12"/>
            <color theme="1"/>
            <rFont val="Arial"/>
            <family val="2"/>
            <scheme val="minor"/>
          </rPr>
          <t>======
ID#AAAAqSqQY3A
Microsoft Office User    (2021-05-06 03:53:59)
Microsoft Office User:Feasibility Report Scott</t>
        </r>
      </text>
    </comment>
    <comment ref="F20" authorId="0" shapeId="0" xr:uid="{00000000-0006-0000-0300-000003000000}">
      <text>
        <r>
          <rPr>
            <sz val="12"/>
            <color theme="1"/>
            <rFont val="Arial"/>
            <family val="2"/>
            <scheme val="minor"/>
          </rPr>
          <t>======
ID#AAAAqSqQY3I
Microsoft Office User    (2021-05-06 03:53:59)
70 Tyquin St Deposit</t>
        </r>
      </text>
    </comment>
    <comment ref="F43" authorId="0" shapeId="0" xr:uid="{00000000-0006-0000-0300-000004000000}">
      <text>
        <r>
          <rPr>
            <sz val="12"/>
            <color theme="1"/>
            <rFont val="Arial"/>
            <family val="2"/>
            <scheme val="minor"/>
          </rPr>
          <t>======
ID#AAAAqSqQY28
Microsoft Office User    (2021-05-06 03:53:59)
Land Surveyor</t>
        </r>
      </text>
    </comment>
    <comment ref="F99" authorId="0" shapeId="0" xr:uid="{00000000-0006-0000-0300-000002000000}">
      <text>
        <r>
          <rPr>
            <sz val="12"/>
            <color theme="1"/>
            <rFont val="Arial"/>
            <family val="2"/>
            <scheme val="minor"/>
          </rPr>
          <t>======
ID#AAAAqSqQY3M
Microsoft Office User    (2021-05-06 03:53:59)
mistake transaction</t>
        </r>
      </text>
    </comment>
    <comment ref="F102" authorId="0" shapeId="0" xr:uid="{00000000-0006-0000-0300-000005000000}">
      <text>
        <r>
          <rPr>
            <sz val="12"/>
            <color theme="1"/>
            <rFont val="Arial"/>
            <family val="2"/>
            <scheme val="minor"/>
          </rPr>
          <t>======
ID#AAAAqSqQY3E
Microsoft Office User    (2021-05-06 03:53:59)
mistake transaction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+KfOgJiiF8aeEvpRBiyTxk/gtA=="/>
    </ext>
  </extLst>
</comments>
</file>

<file path=xl/sharedStrings.xml><?xml version="1.0" encoding="utf-8"?>
<sst xmlns="http://schemas.openxmlformats.org/spreadsheetml/2006/main" count="4456" uniqueCount="796">
  <si>
    <t>Total</t>
  </si>
  <si>
    <t>Ex GST</t>
  </si>
  <si>
    <t>GST</t>
  </si>
  <si>
    <t>ex GST</t>
  </si>
  <si>
    <t>TDC</t>
  </si>
  <si>
    <t>Paid</t>
  </si>
  <si>
    <t>Interest</t>
  </si>
  <si>
    <t>Trilogy</t>
  </si>
  <si>
    <t>GRV</t>
  </si>
  <si>
    <t>TH Value</t>
  </si>
  <si>
    <t>Sale Price</t>
  </si>
  <si>
    <t>Other</t>
  </si>
  <si>
    <t>Profit</t>
  </si>
  <si>
    <t xml:space="preserve">Category </t>
  </si>
  <si>
    <t>Sub Cat 1</t>
  </si>
  <si>
    <t>Sub Cat 2</t>
  </si>
  <si>
    <t>Sum of Ex GST</t>
  </si>
  <si>
    <t>Sum of GST</t>
  </si>
  <si>
    <t>Sum of Amount</t>
  </si>
  <si>
    <t>Lloyd</t>
  </si>
  <si>
    <t>Loan</t>
  </si>
  <si>
    <t>Grand Total</t>
  </si>
  <si>
    <t>Equity</t>
  </si>
  <si>
    <t>Date</t>
  </si>
  <si>
    <t>Amount</t>
  </si>
  <si>
    <t>Description</t>
  </si>
  <si>
    <t>Deposit for 68 Tyquin St</t>
  </si>
  <si>
    <t>1 Site Aquistion</t>
  </si>
  <si>
    <t>Deposit - Land</t>
  </si>
  <si>
    <t>Settlement Costs (Stamps, Legals etc)</t>
  </si>
  <si>
    <t>Settlement - Land</t>
  </si>
  <si>
    <t>Deposit for 70 Tyquin St</t>
  </si>
  <si>
    <t>Land Loan - 68 Tyquin St</t>
  </si>
  <si>
    <t>Land Loan - 70 Tyquin St</t>
  </si>
  <si>
    <t>Transfer from xx4836 CommBank app Tyquin St</t>
  </si>
  <si>
    <t>Direct Credit 302416 Barlow McEwan Tr RENT PAYMNT THOM</t>
  </si>
  <si>
    <t>Income</t>
  </si>
  <si>
    <t>Rent</t>
  </si>
  <si>
    <t>Direct Credit 421520 ANDREW MANOKARAN Mano</t>
  </si>
  <si>
    <t>Andrew</t>
  </si>
  <si>
    <t>Direct Debit 012179 Advantedge PTVL ADV</t>
  </si>
  <si>
    <t>Direct Credit 421520 ANDREW MANOKARAN Andrew</t>
  </si>
  <si>
    <t>Direct Credit 421520 ANDREW MANOKARAN Andrew Tyquin</t>
  </si>
  <si>
    <t>Direct Credit 421520 LLOYD THOMAS</t>
  </si>
  <si>
    <t>Transfer from xx4836 CommBank app Tyquin settlement</t>
  </si>
  <si>
    <t xml:space="preserve">HOBSONS BAY COUNCIL  NetBank BPAY 39032 59020006808 </t>
  </si>
  <si>
    <t>Rates</t>
  </si>
  <si>
    <t>Transfer to xx4836 NetBank 68 Feasibility Rep</t>
  </si>
  <si>
    <t>2 Planning</t>
  </si>
  <si>
    <t>Town Planning</t>
  </si>
  <si>
    <t>Architecture</t>
  </si>
  <si>
    <t>Transfer to xx4836 NetBank 68 Initial Deposit</t>
  </si>
  <si>
    <t>Initial Purchse</t>
  </si>
  <si>
    <t>Transfer from xx4836 NetBank tyquin st LT</t>
  </si>
  <si>
    <t>Transfer to other Bank NetBank 68 70 Tyquin St</t>
  </si>
  <si>
    <t>Direct Credit 421520 ANDREW MANOKARAN Andrew Architect</t>
  </si>
  <si>
    <t xml:space="preserve"> </t>
  </si>
  <si>
    <t>Transfer to xx1274 NetBank Jo Flowers Champag</t>
  </si>
  <si>
    <t>Gift</t>
  </si>
  <si>
    <t>Transfer from xx8740 NetBank TyquinArchitectFes</t>
  </si>
  <si>
    <t>Direct Debit 452599 AAMI PI HPL071936456</t>
  </si>
  <si>
    <t>Insurance</t>
  </si>
  <si>
    <t>Direct Credit 421520 ANDREW MANOKARAN Andrew 70tyquin</t>
  </si>
  <si>
    <t>Transfer to other Bank NetBank Settlement</t>
  </si>
  <si>
    <t>Settlement</t>
  </si>
  <si>
    <t>Transfer from xx8740 CommBank app Settlement</t>
  </si>
  <si>
    <t>Direct Debit 452599 AAMI PI HPL077169729</t>
  </si>
  <si>
    <t>Transfer to other Bank NetBank deposit interest</t>
  </si>
  <si>
    <t>Transfer from xx4836 NetBank Top Up</t>
  </si>
  <si>
    <t>Transfer from xx4836 NetBank Tyquin St Project</t>
  </si>
  <si>
    <t>Direct Credit 421520 ANDREW MANOKARAN Andrew 70 Tyquin</t>
  </si>
  <si>
    <t>Transfer to other Bank NetBank Tyquin St Lloyd</t>
  </si>
  <si>
    <t>Land Surveyor</t>
  </si>
  <si>
    <t>CITY WEST WATER      NetBank BPAY 8789 121739220138</t>
  </si>
  <si>
    <t>Utility - Water</t>
  </si>
  <si>
    <t>Transfer from xx4836 NetBank 70 Tyquin Reno</t>
  </si>
  <si>
    <t>Direct Credit 106600 LLOYD THOMAS Left over from Set</t>
  </si>
  <si>
    <t>Credit</t>
  </si>
  <si>
    <t>Transfer to CBA A/c NetBank TyquinRenoPayment1</t>
  </si>
  <si>
    <t>Reno</t>
  </si>
  <si>
    <t>Direct Credit 421520 ANDREW MANOKARAN</t>
  </si>
  <si>
    <t>Transfer from xx8740 NetBank renovationpayment2</t>
  </si>
  <si>
    <t>Transfer to other Bank NetBank MPL3461 planlevy</t>
  </si>
  <si>
    <t>Council</t>
  </si>
  <si>
    <t>Direct Debit 000439 BANK-M S311052458400</t>
  </si>
  <si>
    <t>Transfer to CBA A/c CommBank app Tyquinrenopay2</t>
  </si>
  <si>
    <t>Transfer from xx4836 CommBank app TyquinMontlyPay</t>
  </si>
  <si>
    <t>Transfer from xx4836 CommBank app Tyquinrenopay3LT</t>
  </si>
  <si>
    <t>Transfer from xx4836 CommBank app TyquinplanpermitLT</t>
  </si>
  <si>
    <t>Transfer to other Bank CommBank app deposit loan pay</t>
  </si>
  <si>
    <t>Transfer to other Bank NetBank TyquinStProject LT</t>
  </si>
  <si>
    <t>Transfer to CBA A/c NetBank Tyquin Reno3</t>
  </si>
  <si>
    <t>Transfer from xx4836 NetBank TyquinPermit</t>
  </si>
  <si>
    <t>Transfer from xx8740 CommBank app Laptop</t>
  </si>
  <si>
    <t>Direct Credit 421520 ANDREW MANOKARAN Tyquin Street</t>
  </si>
  <si>
    <t>Transfer to CBA A/c NetBank Electricity Bill</t>
  </si>
  <si>
    <t>Utility - Electricity</t>
  </si>
  <si>
    <t>HOBSONS BAY COUNCIL  NetBank BPAY 39032 59020006808</t>
  </si>
  <si>
    <t>Transfer from xx4836 NetBank SeptPayment</t>
  </si>
  <si>
    <t>Transfer to xx4836 NetBank personalloanpaymen</t>
  </si>
  <si>
    <t>Transfer from xx4836 NetBank Payment Extra</t>
  </si>
  <si>
    <t>Transfer to other Bank NetBank loanrepaymentLT</t>
  </si>
  <si>
    <t>Unpaid Payment Fee Value Date: 28/10/2016</t>
  </si>
  <si>
    <t>Bank Fee</t>
  </si>
  <si>
    <t>Transfer from xx4836 NetBank Month Payment LT</t>
  </si>
  <si>
    <t>Return 28/10/16 Direct Debit 000439 BANK-M S311052458400 Value Date: 28/10/2016</t>
  </si>
  <si>
    <t>Direct Credit 421520 ANDREW MANOKARAN Advertising</t>
  </si>
  <si>
    <t>Transfer to other Bank NetBank advertising</t>
  </si>
  <si>
    <t>Transfer from xx4836 NetBank First Rent</t>
  </si>
  <si>
    <t>Transfer to xx4836 NetBank personal loan</t>
  </si>
  <si>
    <t>Transfer from xx4836 NetBank advertising</t>
  </si>
  <si>
    <t>Transfer from xx4836 NetBank TyquinStProjectLT</t>
  </si>
  <si>
    <t>Transfer from xx4836 NetBank personalpackback</t>
  </si>
  <si>
    <t>Transfer from xx4836 NetBank extraLTratesdoors</t>
  </si>
  <si>
    <t>Transfer from GURPINDER KAUR CommBank app rent70 Tyquin</t>
  </si>
  <si>
    <t>Transfer to CBA A/c NetBank 70Tyquin St Reno</t>
  </si>
  <si>
    <t>Transfer to CBA A/c NetBank 70TyquinDoors</t>
  </si>
  <si>
    <t>Maintenance</t>
  </si>
  <si>
    <t>Transfer to CBA A/c NetBank 70TyquinPropertMgt</t>
  </si>
  <si>
    <t>Preoperty Management</t>
  </si>
  <si>
    <t>Transfer to CBA A/c NetBank reno payment</t>
  </si>
  <si>
    <t>Transfer to CBA A/c NetBank maintenance68and70</t>
  </si>
  <si>
    <t>Transfer to CBA A/c NetBank reno final</t>
  </si>
  <si>
    <t>Transfer from xx1274 NetBank andrew money</t>
  </si>
  <si>
    <t>Transfer from GURPINDER KAUR CommBank app Rent 70 Tyquin st</t>
  </si>
  <si>
    <t>Transfer from GURPINDER KAUR NetBank Rent 70 Tyquin st</t>
  </si>
  <si>
    <t>Transfer from xx4836 CommBank app Monthly payment</t>
  </si>
  <si>
    <t>Transfer to other Bank NetBank tyquin st Lloyd</t>
  </si>
  <si>
    <t>Town Planner</t>
  </si>
  <si>
    <t>Transfer from xx4836 CommBank app Pre heading tyquin</t>
  </si>
  <si>
    <t>Transfer to CBA A/c NetBank 70 Tyquin</t>
  </si>
  <si>
    <t>Transfer from xx4836 CommBank app Lloyd townplanner</t>
  </si>
  <si>
    <t>Transfer from xx4836 CommBank app Andrew townplanner</t>
  </si>
  <si>
    <t>Transfer from xx4836 NetBank monthly payment</t>
  </si>
  <si>
    <t>HOBSONS BAY COUNCIL  NetBank BPAY 39032 59020007004</t>
  </si>
  <si>
    <t>Transfer from GURPINDER KAUR CB TabletApp rent 70 tyquin</t>
  </si>
  <si>
    <t>Direct Credit 421520 ANDREW MANOKARAN Andrew Mano VCAT</t>
  </si>
  <si>
    <t>Transfer from xx4836 NetBank monthly payment LT</t>
  </si>
  <si>
    <t>Transfer from xx4836 NetBank traffic engineer</t>
  </si>
  <si>
    <t>Transfer from GURPINDER KAUR NetBank rent 70 tyquin</t>
  </si>
  <si>
    <t>CITY WEST WATER      NetBank BPAY 8789 121739219120</t>
  </si>
  <si>
    <t>Transfer to other Bank NetBank tyquin st project</t>
  </si>
  <si>
    <t>Transfer to other Bank NetBank Townplanning VCAT</t>
  </si>
  <si>
    <t>Transfer from xx4836 NetBank andrew traffic eng</t>
  </si>
  <si>
    <t>Transfer from xx4836 NetBank lloyd traffic eng</t>
  </si>
  <si>
    <t>Transfer to other Bank NetBank Traffic Engineer</t>
  </si>
  <si>
    <t>Traffic Engineer</t>
  </si>
  <si>
    <t>Direct Credit 421520 ANDREW MANOKARAN Andrew Manokaran</t>
  </si>
  <si>
    <t>Transfer from xx4836 NetBank TyquinBuildPer LT</t>
  </si>
  <si>
    <t>Transfer to other Bank NetBank Endorsed Drawings</t>
  </si>
  <si>
    <t>Transfer from UTTAMJEET SINGH NetBank RENT 68 T LAVERTON</t>
  </si>
  <si>
    <t>Unpaid Payment Fee Value Date: 28/12/2017</t>
  </si>
  <si>
    <t>Return 28/12/17 Direct Debit 000439 BANK-M S311052458400 Value Date: 28/12/2017</t>
  </si>
  <si>
    <t>Transfer to CBA A/c NetBank 68 Tyquin St TPM</t>
  </si>
  <si>
    <t>Transfer from xx4836 NetBank extra payment</t>
  </si>
  <si>
    <t>BOM Loans            NetBank BPAY 22871 193911052458400</t>
  </si>
  <si>
    <t>Transfer from GURPINDER KAUR NetBank rent 70 tyquin Value Date: 24/01/2018</t>
  </si>
  <si>
    <t>Overdrawing Approval Fee For overdrawing that occurred 15/02/18</t>
  </si>
  <si>
    <t>Transfer from UTTAMJEET SINGH CommBank app rent 68 tyquin st</t>
  </si>
  <si>
    <t>Unpaid Payment Fee Value Date: 28/02/2018</t>
  </si>
  <si>
    <t>Debit Excess Interest</t>
  </si>
  <si>
    <t>Return 28/02/18 Direct Debit 000439 BANK-M S311052458400 Value Date: 28/02/2018</t>
  </si>
  <si>
    <t>Debit Excess Int Adjusted Value Date: 01/03/2018</t>
  </si>
  <si>
    <t>Transfer to other Bank NetBank upwork</t>
  </si>
  <si>
    <t>Renders</t>
  </si>
  <si>
    <t>Transfer to other Bank NetBank renders upwork</t>
  </si>
  <si>
    <t>Direct Credit 106600 ANDREW MANOKARAN Tyquin Street</t>
  </si>
  <si>
    <t>Transfer from GURPINDER KAUR CB TabletApp 70 tyquin st</t>
  </si>
  <si>
    <t>Transfer from GURPINDER KAUR NetBank 70 tyquin st</t>
  </si>
  <si>
    <t>Transfer from UTTAMJEET SINGH NetBank rent 68 tyquin st</t>
  </si>
  <si>
    <t>Transfer to CBA A/c NetBank WindowShutterRepai</t>
  </si>
  <si>
    <t>Transfer to CBA A/c CommBank app</t>
  </si>
  <si>
    <t>Transfer from xx4836 NetBank payback</t>
  </si>
  <si>
    <t>Transfer to CBA A/c NetBank TyquinStBrokenPipe</t>
  </si>
  <si>
    <t>Transfer to xx1274 CommBank app</t>
  </si>
  <si>
    <t>Transfer from xx4836 NetBank building permit</t>
  </si>
  <si>
    <t>Transfer to other Bank NetBank Lloyd Tyquin St</t>
  </si>
  <si>
    <t>Building Permit</t>
  </si>
  <si>
    <t>Transfer from xx4836 CommBank app Lloyd payment</t>
  </si>
  <si>
    <t>Transfer from xx4836 CommBank app Andrew payment</t>
  </si>
  <si>
    <t>Direct Credit 106600 ANDREW MANOKARAN Tyquin Project</t>
  </si>
  <si>
    <t>Direct Credit 106600 ANDREW MANOKARAN Tyquin Street Proj</t>
  </si>
  <si>
    <t>Transfer from xx4836 CommBank app BuildPermitLT</t>
  </si>
  <si>
    <t>Transfer to other Bank NetBank 68Tyq GlassReplace</t>
  </si>
  <si>
    <t>Transfer from xx4836 NetBank BuildPermitLT</t>
  </si>
  <si>
    <t>Transfer to other Bank NetBank Q003027 Accounting Advise BCG</t>
  </si>
  <si>
    <t>Accounting Advise</t>
  </si>
  <si>
    <t>Transfer to CBA A/c NetBank Energy Report</t>
  </si>
  <si>
    <t>Energy Report</t>
  </si>
  <si>
    <t>Transfer to xx4836 NetBank</t>
  </si>
  <si>
    <t>Transfer to other Bank NetBank DSP Arch Build Per</t>
  </si>
  <si>
    <t>Transfer from xx8759 CommBank app Payback</t>
  </si>
  <si>
    <t>Transfer to xx8759 NetBank Payment LT</t>
  </si>
  <si>
    <t>Transfer From MANJIT SINGH CREDIT TO ACCOUNT</t>
  </si>
  <si>
    <t>Transfer to xx1274 NetBank</t>
  </si>
  <si>
    <t>Transfer from xx1274 NetBank Payback</t>
  </si>
  <si>
    <t>Direct Credit 106600 ANDREW MANOKARAN Lloyd Thomas CBA</t>
  </si>
  <si>
    <t>Transfer to CBA A/c NetBank Thomic</t>
  </si>
  <si>
    <t>Project Management</t>
  </si>
  <si>
    <t>Transfer to other Bank NetBank Payback LT</t>
  </si>
  <si>
    <t>Transfer from xx4836 NetBank Payment LT</t>
  </si>
  <si>
    <t>Transfer to other Bank NetBank Legal Advise</t>
  </si>
  <si>
    <t>Legal</t>
  </si>
  <si>
    <t>Lewis</t>
  </si>
  <si>
    <t>Transfer from xx4836 NetBank Lloyd</t>
  </si>
  <si>
    <t>Transfer from xx1274 NetBank Lloyd Payment</t>
  </si>
  <si>
    <t>Transfer to xx4353 CommBank app</t>
  </si>
  <si>
    <t>Transfer to other Bank NetBank subdivision</t>
  </si>
  <si>
    <t>Direct Credit 068523 TRANS RECALLED subdivision</t>
  </si>
  <si>
    <t>Transfer to other Bank NetBank Project Management</t>
  </si>
  <si>
    <t>Transfer from xx1274 NetBank Lloyd</t>
  </si>
  <si>
    <t>Transfer to CBA A/c NetBank 6981Depo</t>
  </si>
  <si>
    <t>MTK</t>
  </si>
  <si>
    <t>Transfer from xx1274 NetBank monthly payment LT</t>
  </si>
  <si>
    <t>Transfer to xx1274 CommBank app Council ammendment</t>
  </si>
  <si>
    <t>Transfer to other Bank NetBank 1212 BPA Lloyd</t>
  </si>
  <si>
    <t>Transfer to other Bank NetBank MCS Connect</t>
  </si>
  <si>
    <t>Transfer to xx4549 NetBank</t>
  </si>
  <si>
    <t>Direct Credit 106600 LLOYD THOMAS Lloyd Thomas</t>
  </si>
  <si>
    <t>Transfer from xx4549 NetBank</t>
  </si>
  <si>
    <t>Transfer from xx4836 NetBank</t>
  </si>
  <si>
    <t>Transfer to other Bank NetBank Bank Eval</t>
  </si>
  <si>
    <t>Finance</t>
  </si>
  <si>
    <t>Eval</t>
  </si>
  <si>
    <t>CharterChkeck</t>
  </si>
  <si>
    <t>Direct Credit 106600 LLOYD THOMAS Lloyd</t>
  </si>
  <si>
    <t>Transfer to other Bank CommBank app repairTap 68Tyquin</t>
  </si>
  <si>
    <t>Transfer to CBA A/c NetBank Estate Masters</t>
  </si>
  <si>
    <t>Transfer to other Bank NetBank Hot water unit</t>
  </si>
  <si>
    <t>Transfer to CBA A/c NetBank EngineerAmmendBuil</t>
  </si>
  <si>
    <t>Engineering</t>
  </si>
  <si>
    <t>Transfer from xx4836 NetBank lloyd payback</t>
  </si>
  <si>
    <t>Transfer to other Bank CommBank app section 173</t>
  </si>
  <si>
    <t>Transfer from xx2863 CommBank app Lloyd</t>
  </si>
  <si>
    <t>Transfer from xx2863 CommBank app Loan</t>
  </si>
  <si>
    <t>Transfer to other Bank NetBank City West Water</t>
  </si>
  <si>
    <t>Transfer to other Bank NetBank 70 Tyquin St Rudy</t>
  </si>
  <si>
    <t>Transfer to other Bank NetBank NBN</t>
  </si>
  <si>
    <t>Transfer to other Bank NetBank PowerCorp01</t>
  </si>
  <si>
    <t>Transfer to other Bank NetBank PowerCorp02</t>
  </si>
  <si>
    <t>Direct Credit 106600 ANDREW MANOKARAN Andrew Tyquin</t>
  </si>
  <si>
    <t>Transfer to other Bank CommBank app city west water</t>
  </si>
  <si>
    <t>SROVIC LAND TAX      NetBank BPAY 5249 26934936</t>
  </si>
  <si>
    <t>Land Tax</t>
  </si>
  <si>
    <t>Unpaid Payment Fee Value Date: 15/08/2019</t>
  </si>
  <si>
    <t>Return 15/08/19 Direct Debit 452599 AAMI PI HPL071936456 Value Date: 15/08/2019</t>
  </si>
  <si>
    <t>SROVIC LAND TAX      NetBank BPAY 5249 28871922 Land Tax 68 Tyquin</t>
  </si>
  <si>
    <t>Transfer to other Bank NetBank PLAN section173</t>
  </si>
  <si>
    <t>Transfer from xx1274 NetBank Tyquin St Project</t>
  </si>
  <si>
    <t>Transfer to other Bank NetBank Section 173 Legal</t>
  </si>
  <si>
    <t>Transfer to other Bank NetBank Demolition</t>
  </si>
  <si>
    <t>3 Build</t>
  </si>
  <si>
    <t>Pre Build</t>
  </si>
  <si>
    <t>Demolition</t>
  </si>
  <si>
    <t>Transfer from xx4353 NetBank lloyd deposit</t>
  </si>
  <si>
    <t>Direct Credit 106600 ANDREW MANOKARAN Tyquin Street Demo</t>
  </si>
  <si>
    <t>Transfer to xx1274 CommBank app Remove Aircon</t>
  </si>
  <si>
    <t>Transfer to other Bank NetBank subdivision anthon</t>
  </si>
  <si>
    <t>Transfer to xx4549 NetBank Lloyd</t>
  </si>
  <si>
    <t>Transfer from xx4836 NetBank lloyd</t>
  </si>
  <si>
    <t>Transfer from xx4836 NetBank lloyd monthly</t>
  </si>
  <si>
    <t>CITY WEST WATER      CommBank app BPAY 8789 121739219120</t>
  </si>
  <si>
    <t>CITY WEST WATER      CommBank app BPAY 8789 121739220138</t>
  </si>
  <si>
    <t>Transfer from xx4549 CommBank app Lloyd</t>
  </si>
  <si>
    <t>Transfer to other Bank NetBank demolition</t>
  </si>
  <si>
    <t>Direct Credit 106600 ANDREW MANOKARAN Tyquin St Project</t>
  </si>
  <si>
    <t>Transfer to CBA A/c NetBank Tyquin St Deposit1</t>
  </si>
  <si>
    <t>Deposit</t>
  </si>
  <si>
    <t>IBhomes</t>
  </si>
  <si>
    <t>Direct Credit 106600 ANDREW MANOKARAN Tyquin Street - Bu</t>
  </si>
  <si>
    <t>Transfer to other Bank NetBank Anthony Ford</t>
  </si>
  <si>
    <t>Transfer to other Bank NetBank IV00000001008 Rudy</t>
  </si>
  <si>
    <t>Transfer to other Bank NetBank INV0278 Lloyd Thom</t>
  </si>
  <si>
    <t>Transfer to CBA A/c NetBank Deposit</t>
  </si>
  <si>
    <t>Transfer to CBA A/c NetBank Tyquin St Maintena</t>
  </si>
  <si>
    <t>Direct Credit 106600 ANDREW MANOKARAN Tyquin Street - Le</t>
  </si>
  <si>
    <t>Transfer to other Bank NetBank Subdivision PLAN</t>
  </si>
  <si>
    <t>Transfer to xx1274 NetBank project management</t>
  </si>
  <si>
    <t>Transfer From ANDREW MANOKARAN CREDIT TO ACCOUNT</t>
  </si>
  <si>
    <t>Transfer To Lloyd Thomas - NAB CommBank App Lloyd</t>
  </si>
  <si>
    <t>Transfer to xx1274 CommBank app Lloyd</t>
  </si>
  <si>
    <t>Transfer to other Bank NetBank Property Eval</t>
  </si>
  <si>
    <t>Transfer from xx2863 NetBank</t>
  </si>
  <si>
    <t>Unpaid NetBank Payment Fee</t>
  </si>
  <si>
    <t>Fee</t>
  </si>
  <si>
    <t>Transfer from xx4836 NetBank Lloyd monthly</t>
  </si>
  <si>
    <t>Transfer to other Bank NetBank ReviewBuildContrac</t>
  </si>
  <si>
    <t>1880336 AAMI INSURANCE LLOYD THOMAS</t>
  </si>
  <si>
    <t>INTERNET TRANSFER B551 Fencing</t>
  </si>
  <si>
    <t>Fencing</t>
  </si>
  <si>
    <t>INTERNET TRANSFER B551001 Fencing</t>
  </si>
  <si>
    <t>ONLINE W3887487572 Lloyd THOMAS L</t>
  </si>
  <si>
    <t>INTERNET TRANSFER Lloyd</t>
  </si>
  <si>
    <t>INTERNET TRANSFER Thom6-04</t>
  </si>
  <si>
    <t>ONLINE Y0639755624 Lloyd THOMAS L</t>
  </si>
  <si>
    <t>ONLINE K4659938297 Linked Acc Trns THOMAS L</t>
  </si>
  <si>
    <t>ONLINE Q4239294297 Linked Acc Trns THOMAS L</t>
  </si>
  <si>
    <t>INTERNET TRANSFER B551002 Fencing</t>
  </si>
  <si>
    <t>ONLINE Z7917635046 Linked Acc Trns THOMAS L</t>
  </si>
  <si>
    <t>Andrew - Tyquin ANDREW MANOKARAN Lloyd Thomas</t>
  </si>
  <si>
    <t>INTERNET BPAY HOBSONS BAY COUNCIL 59020006808</t>
  </si>
  <si>
    <t>ONLINE B6752515811 Linked Acc Trns THOMAS L</t>
  </si>
  <si>
    <t>Andrew Manokaran - ANDREW MANOKARAN Lloyd Thomas - P</t>
  </si>
  <si>
    <t>ONLINE P1334477389 from Andrew THOMAS L</t>
  </si>
  <si>
    <t>INTERNET BPAY CITY WEST WATER 121739220138</t>
  </si>
  <si>
    <t>ONLINE Z1534208556 Lloyd THOMAS L</t>
  </si>
  <si>
    <t>INTERNET BPAY HOBSONS BAY COUNCIL 59020007004</t>
  </si>
  <si>
    <t>INTERNET BPAY CITY WEST WATER 121739219120</t>
  </si>
  <si>
    <t>Andrew Manokaran ANDREW MANOKARAN Lloyd Thomas</t>
  </si>
  <si>
    <t>ONLINE D7104234645 sept Lloyd THOMAS L</t>
  </si>
  <si>
    <t>INTEREST</t>
  </si>
  <si>
    <t>INTERNET BPAY Advantedge 503712481</t>
  </si>
  <si>
    <t>S311153450600 BANK-M LLOYD EDWARD THO</t>
  </si>
  <si>
    <t>ONLINE B2318208892 Linked Acc Trns THOMAS L</t>
  </si>
  <si>
    <t>Lloyd Thomas - Pay ANDREW MANOKARAN Lloyd Thomas - P</t>
  </si>
  <si>
    <t>ONLINE A0178226495 Linked Acc Trns THOMAS L</t>
  </si>
  <si>
    <t>INTERNET TRANSFER Ref27330 HoldenCap</t>
  </si>
  <si>
    <t>Broker Fees</t>
  </si>
  <si>
    <t>Holden Capital</t>
  </si>
  <si>
    <t>ONLINE M8181966844 Linked Acc Trns THOMAS L</t>
  </si>
  <si>
    <t>INTERNET BPAY       Advantedge          503712481</t>
  </si>
  <si>
    <t>ONLINE  S6533454987 Linked Acc Trns     THOMAS L</t>
  </si>
  <si>
    <t>Andrew Manokaran   ANDREW MANOKARAN</t>
  </si>
  <si>
    <t>INTERNET TRANSFER 01255256 Charter Check</t>
  </si>
  <si>
    <t>ONLINE F5233545192 Linked Acc Trns THOMAS L</t>
  </si>
  <si>
    <t>Tyquin St Project ANDREW MANOKARAN Lloyd Thomas - P</t>
  </si>
  <si>
    <t>INTERNET TRANSFER Lloyd Thomas - Trilogy</t>
  </si>
  <si>
    <t>Admin (Legal)</t>
  </si>
  <si>
    <t>INTERNET TRANSFER Weed Tyquin St</t>
  </si>
  <si>
    <t>INTERNET BPAY TAX OFFICE PAYMENTS 001713975272144860</t>
  </si>
  <si>
    <t>GST Payment</t>
  </si>
  <si>
    <t>ONLINE N1395427213 Linked Acc Trns THOMAS L</t>
  </si>
  <si>
    <t>INTERNET BPAY CHARTER KECK 01258268</t>
  </si>
  <si>
    <t>INTERNET TRANSFER 1212-BPB - Architect</t>
  </si>
  <si>
    <t>PTVL ADV Advantedge LLOYD THOMAS</t>
  </si>
  <si>
    <t>ONLINE C9592918912 Lloyd THOMAS L</t>
  </si>
  <si>
    <t>Bank Credit</t>
  </si>
  <si>
    <t>Building Warrenty</t>
  </si>
  <si>
    <t>Andrew Manokaran    ANDREW MANOKARAN</t>
  </si>
  <si>
    <t>Tyquin ANDREW MANOKARAN Lloyd Thomas - P</t>
  </si>
  <si>
    <t>ONLINE H3074958618 Linked Acc Trns THOMAS L</t>
  </si>
  <si>
    <t>ONLINE P3744404339 Linked Acc Trns THOMAS L</t>
  </si>
  <si>
    <t>ONLINE N9257695224 Linked Acc Trns THOMAS L</t>
  </si>
  <si>
    <t>Andrew Tyquin Proj ANDREW MANOKARAN Lloyd Thomas - P</t>
  </si>
  <si>
    <t>INTERNET TRANSFER Tyquin St Build</t>
  </si>
  <si>
    <t>INTERNET TRANSFER TYQUIN ST BUILD</t>
  </si>
  <si>
    <t>ONLINE Q5082437789 Linked Acc Trns THOMAS L</t>
  </si>
  <si>
    <t>INTERNET BPAY CITY WEST WATER 999141413107</t>
  </si>
  <si>
    <t>Services</t>
  </si>
  <si>
    <t>CityWest Water</t>
  </si>
  <si>
    <t>INTERNET TRANSFER 6981BPRema</t>
  </si>
  <si>
    <t>INTERNET TRANSFER B551003</t>
  </si>
  <si>
    <t>ONLINE V2462705736 VBA Building Permi THOMAS L (VBA Levy)</t>
  </si>
  <si>
    <t>VBA</t>
  </si>
  <si>
    <t>ANDREW MANOKARAN Andrew Tyquin Projec</t>
  </si>
  <si>
    <t>Tyquin Street Proj ANDREW MANOKARAN Lloyd Thomas - P</t>
  </si>
  <si>
    <t>INTERNET TRANSFER TyquinStSettlement</t>
  </si>
  <si>
    <t>Settlement - Construction</t>
  </si>
  <si>
    <t>lloyd thomas L4074936144</t>
  </si>
  <si>
    <t>ONLINE Q2142725442 Linked Acc Trns THOMAS L</t>
  </si>
  <si>
    <t>Contrcution Settlement (Manual)</t>
  </si>
  <si>
    <t>lloyd thomas J6755246344</t>
  </si>
  <si>
    <t>S311052458400 BANK-M ANDREW MANOKARAN</t>
  </si>
  <si>
    <t>REVERSAL OF DEBIT ST GEORGE MERCHANT AS311052458400</t>
  </si>
  <si>
    <t>Lewis OBrien PL Inv 0940 Credit</t>
  </si>
  <si>
    <t>ONLINE M7557447265 Linked Acc Trns THOMAS L</t>
  </si>
  <si>
    <t>ANDREW MANOKARAN Andrew Tyquin ProjecInterest Payment for</t>
  </si>
  <si>
    <t>lloyd thomas R0157775229</t>
  </si>
  <si>
    <t>ANDREW MANOKARAN Tyquin St Project</t>
  </si>
  <si>
    <t>66 Tyquin Gold Build Homes Lloyd Thomas</t>
  </si>
  <si>
    <t>ANDREW MANOKARAN Tyquin Street</t>
  </si>
  <si>
    <t>ONLINE H2251908184 Linked Acc Trns THOMAS L</t>
  </si>
  <si>
    <t>INTERNET BPAY SROVIC LAND TAX 36952910</t>
  </si>
  <si>
    <t>ONLINE  A7885986138 Linked Acc Trns     THOMAS L</t>
  </si>
  <si>
    <t>ONLINE  K6015226512 Linked Acc Trns     THOMAS L</t>
  </si>
  <si>
    <t>INTERNET TRANSFER   Lloyd</t>
  </si>
  <si>
    <t>ONLINE  N5066228851 Linked Acc Trns     THOMAS L</t>
  </si>
  <si>
    <t>INTERNET BPAY       SROVIC LAND TAX     34867884</t>
  </si>
  <si>
    <t>ANDREW MANOKARAN    Tyquin Street</t>
  </si>
  <si>
    <t>Build Contract - IBHomes - Variation</t>
  </si>
  <si>
    <t>Variation</t>
  </si>
  <si>
    <t>QS Report</t>
  </si>
  <si>
    <t>Mitchelle Brandtman</t>
  </si>
  <si>
    <t>Build Contract - IBHomes - Base Stage</t>
  </si>
  <si>
    <t>Base</t>
  </si>
  <si>
    <t>Build Contract - IBhomes - Slab Stage</t>
  </si>
  <si>
    <t>Slab</t>
  </si>
  <si>
    <t>Build Contract - Ibhomes - Frame Stage</t>
  </si>
  <si>
    <t>Frame</t>
  </si>
  <si>
    <t>Plumbing Application</t>
  </si>
  <si>
    <t>Utilities</t>
  </si>
  <si>
    <t>Utility - Build</t>
  </si>
  <si>
    <t>Twenty20</t>
  </si>
  <si>
    <t>JCL</t>
  </si>
  <si>
    <t>Barrister</t>
  </si>
  <si>
    <t>Expert Report - Darbecca</t>
  </si>
  <si>
    <t>Termination</t>
  </si>
  <si>
    <t>Expert Report</t>
  </si>
  <si>
    <t>Drabecca</t>
  </si>
  <si>
    <t>Build Contract - Ibhomes - Lockup Stage</t>
  </si>
  <si>
    <t>Lockup</t>
  </si>
  <si>
    <t>Video Survellience</t>
  </si>
  <si>
    <t>Video Cameras</t>
  </si>
  <si>
    <t>iDetect</t>
  </si>
  <si>
    <t>Temp Fencing</t>
  </si>
  <si>
    <t>Clem</t>
  </si>
  <si>
    <t>iDEtect</t>
  </si>
  <si>
    <t>idetect</t>
  </si>
  <si>
    <t>Exppert Report - Spot On</t>
  </si>
  <si>
    <t>Spot On Consulting</t>
  </si>
  <si>
    <t>Mis</t>
  </si>
  <si>
    <t>Locks</t>
  </si>
  <si>
    <t>Legals</t>
  </si>
  <si>
    <t>Spont on Consulting - Expert Report</t>
  </si>
  <si>
    <t>Klem Hire - Fencing</t>
  </si>
  <si>
    <t>21/10/2022</t>
  </si>
  <si>
    <t>24/10/2022</t>
  </si>
  <si>
    <t>24/10/2023</t>
  </si>
  <si>
    <t>26/10/2022</t>
  </si>
  <si>
    <t>27/10/2022</t>
  </si>
  <si>
    <t>Electricity</t>
  </si>
  <si>
    <t>Build Contract - Clancy - Defects 1</t>
  </si>
  <si>
    <t>Defects</t>
  </si>
  <si>
    <t>Clancy</t>
  </si>
  <si>
    <t>21/22/2022</t>
  </si>
  <si>
    <t>Build Contract - Clancy - Defects 2</t>
  </si>
  <si>
    <t>Build Contract - Clancy - Defects 3</t>
  </si>
  <si>
    <t>Date INV</t>
  </si>
  <si>
    <t>INV Amount</t>
  </si>
  <si>
    <t>Deciption</t>
  </si>
  <si>
    <t>BAS Oct- Dec 2020</t>
  </si>
  <si>
    <t>Broker Fees - Holdern Capital</t>
  </si>
  <si>
    <t>Evalutaion - Charter Chek</t>
  </si>
  <si>
    <t>Triliogy - Deposit</t>
  </si>
  <si>
    <t>Evalutation - Charter Chek</t>
  </si>
  <si>
    <t>Architectect - Amend Drawings</t>
  </si>
  <si>
    <t>BAS Jan 2021</t>
  </si>
  <si>
    <t>BAS Feb</t>
  </si>
  <si>
    <t>Deposit 1</t>
  </si>
  <si>
    <t>Deposit 2</t>
  </si>
  <si>
    <t>BAS Mar</t>
  </si>
  <si>
    <t>Builder Payment (other contract 50K)</t>
  </si>
  <si>
    <t>BAS Apr</t>
  </si>
  <si>
    <t>Builder Payment - Base 1</t>
  </si>
  <si>
    <t>Builder Payment - Slab 1</t>
  </si>
  <si>
    <t>BAS May</t>
  </si>
  <si>
    <t>BAS Jun</t>
  </si>
  <si>
    <t>Builder Payment - Frame 1</t>
  </si>
  <si>
    <t>Variation 1</t>
  </si>
  <si>
    <t>Plumbining Application</t>
  </si>
  <si>
    <t xml:space="preserve">Electricity </t>
  </si>
  <si>
    <t>BAS Aug</t>
  </si>
  <si>
    <t>Legals - Twenty20 Legal</t>
  </si>
  <si>
    <t>Builder Payment - Frame 2</t>
  </si>
  <si>
    <t>BAS Sept</t>
  </si>
  <si>
    <t>BAS Oct</t>
  </si>
  <si>
    <t>Water</t>
  </si>
  <si>
    <t>BAS Nov</t>
  </si>
  <si>
    <t>BAS Dec</t>
  </si>
  <si>
    <t>Car GST</t>
  </si>
  <si>
    <t>?</t>
  </si>
  <si>
    <t>BAS Jan</t>
  </si>
  <si>
    <t>Legals - Council</t>
  </si>
  <si>
    <t>Builder Payment - Frame 3</t>
  </si>
  <si>
    <t>QS</t>
  </si>
  <si>
    <t>Darbecca Inspection Report</t>
  </si>
  <si>
    <t>Builder Payment - Lockup1</t>
  </si>
  <si>
    <t>Fencing - CC</t>
  </si>
  <si>
    <t>Expert Report - Spot On</t>
  </si>
  <si>
    <t>June</t>
  </si>
  <si>
    <t xml:space="preserve">Clem Hire - Fencing </t>
  </si>
  <si>
    <t>Clem Hire - Fencing</t>
  </si>
  <si>
    <t>July</t>
  </si>
  <si>
    <t>Aug</t>
  </si>
  <si>
    <t>Sept</t>
  </si>
  <si>
    <t>Oct</t>
  </si>
  <si>
    <t>Builder Payment</t>
  </si>
  <si>
    <t>Nov</t>
  </si>
  <si>
    <t>23/01/2023</t>
  </si>
  <si>
    <t xml:space="preserve">Feb </t>
  </si>
  <si>
    <t>16/2/2023</t>
  </si>
  <si>
    <t>Legals - Barrister</t>
  </si>
  <si>
    <t>Mar</t>
  </si>
  <si>
    <t>15/3/2023</t>
  </si>
  <si>
    <t>24/3/2023</t>
  </si>
  <si>
    <t xml:space="preserve">Legals </t>
  </si>
  <si>
    <t>25/3/2023</t>
  </si>
  <si>
    <t>Sales Marketing - Beyond</t>
  </si>
  <si>
    <t>Apr</t>
  </si>
  <si>
    <t>30/4/23</t>
  </si>
  <si>
    <t xml:space="preserve">QS </t>
  </si>
  <si>
    <t>May</t>
  </si>
  <si>
    <t>Original - Maybe Jan 2017</t>
  </si>
  <si>
    <t>Land Purchase</t>
  </si>
  <si>
    <t>Updated on May 18 2019</t>
  </si>
  <si>
    <t>Total Purchase Costs</t>
  </si>
  <si>
    <t>Development</t>
  </si>
  <si>
    <t>Likely</t>
  </si>
  <si>
    <t>Worst Case</t>
  </si>
  <si>
    <t>Best Case</t>
  </si>
  <si>
    <t>Loans on  Properties</t>
  </si>
  <si>
    <t>Actual</t>
  </si>
  <si>
    <t>Planning and Permits</t>
  </si>
  <si>
    <t>Construction @ 210K per townhouse</t>
  </si>
  <si>
    <t>Open Space Contribution</t>
  </si>
  <si>
    <t>Contingency</t>
  </si>
  <si>
    <t>Holding Costs</t>
  </si>
  <si>
    <t>subdivision</t>
  </si>
  <si>
    <t>Total Project Costs</t>
  </si>
  <si>
    <t>Contingency + Other (PM, Legal, Stamp,Demo)</t>
  </si>
  <si>
    <t>Interest &amp; Bank Fees</t>
  </si>
  <si>
    <t>End Evaluation</t>
  </si>
  <si>
    <t>Unit 1 (3 bed)</t>
  </si>
  <si>
    <t>Unit 2 (3 bed)</t>
  </si>
  <si>
    <t>Acutal</t>
  </si>
  <si>
    <t>Unit 3 (3 bed)</t>
  </si>
  <si>
    <t>Unit 4 (3 bed)</t>
  </si>
  <si>
    <t>Unit 5 (3 bed)</t>
  </si>
  <si>
    <t>Unit 6 (3 bed)</t>
  </si>
  <si>
    <t>Total End Eval</t>
  </si>
  <si>
    <t>Total Profit</t>
  </si>
  <si>
    <t>Total Profit/Investor</t>
  </si>
  <si>
    <t>Loans Per Investor</t>
  </si>
  <si>
    <t>Eval for 3 townhouses</t>
  </si>
  <si>
    <t>3 Townhouses</t>
  </si>
  <si>
    <t>Equity Avaliable to withdrfaw @80 %</t>
  </si>
  <si>
    <t>Total Equity</t>
  </si>
  <si>
    <t>Cash Flow</t>
  </si>
  <si>
    <t>Rent (3 townhouses)</t>
  </si>
  <si>
    <t>Cash Flow/Investor</t>
  </si>
  <si>
    <t>Interest &amp; Bills</t>
  </si>
  <si>
    <t>INV</t>
  </si>
  <si>
    <t>Personal</t>
  </si>
  <si>
    <t>0216</t>
  </si>
  <si>
    <t>0217</t>
  </si>
  <si>
    <t>Desposit GST</t>
  </si>
  <si>
    <t>Warrenty</t>
  </si>
  <si>
    <t>0257</t>
  </si>
  <si>
    <t>Deposit 2 GST</t>
  </si>
  <si>
    <t>0265</t>
  </si>
  <si>
    <t>Base Stage 1 - Trilogy</t>
  </si>
  <si>
    <t>Base Stage 1 - GST</t>
  </si>
  <si>
    <t>0267</t>
  </si>
  <si>
    <t>Slab Stage - Trilogy</t>
  </si>
  <si>
    <t>Slab Stage - GST</t>
  </si>
  <si>
    <t>0273</t>
  </si>
  <si>
    <t>Frame 1 - Ground Floor</t>
  </si>
  <si>
    <t>Frame 1 - Ground Floor GST</t>
  </si>
  <si>
    <t>0277</t>
  </si>
  <si>
    <t>Farme 2 - Flooring Joist, Upper Walls, Brick Piers - GST</t>
  </si>
  <si>
    <t>Farme 2 - Flooring Joist, Upper Walls, Brick Piers</t>
  </si>
  <si>
    <t>0285</t>
  </si>
  <si>
    <t xml:space="preserve">Frame 3 </t>
  </si>
  <si>
    <t>Frame 3 - GST</t>
  </si>
  <si>
    <t>17/3/2022</t>
  </si>
  <si>
    <t>0289</t>
  </si>
  <si>
    <t xml:space="preserve">Lockup 1 </t>
  </si>
  <si>
    <t>Lockup1 - GST</t>
  </si>
  <si>
    <t>Total Ex GST</t>
  </si>
  <si>
    <t>Variations</t>
  </si>
  <si>
    <t>Deposit - 50K Contract</t>
  </si>
  <si>
    <t>Deposit - 50K Contract GST</t>
  </si>
  <si>
    <t>Item</t>
  </si>
  <si>
    <t>HillBrook</t>
  </si>
  <si>
    <t>HillBrook v Clancy</t>
  </si>
  <si>
    <t>Clancy Original</t>
  </si>
  <si>
    <t>Prelims</t>
  </si>
  <si>
    <t xml:space="preserve">Dec-22  </t>
  </si>
  <si>
    <t>Make Good of Site</t>
  </si>
  <si>
    <t>Jan-23  </t>
  </si>
  <si>
    <t>Masonry</t>
  </si>
  <si>
    <t>Feb-23  </t>
  </si>
  <si>
    <t>Brick Lintels</t>
  </si>
  <si>
    <t xml:space="preserve">Mar-23  </t>
  </si>
  <si>
    <t>Capentry (Lock &amp; Fix)</t>
  </si>
  <si>
    <t>Apr-23  </t>
  </si>
  <si>
    <t>Roofing</t>
  </si>
  <si>
    <t>Garage Doors</t>
  </si>
  <si>
    <t>Jun-23  </t>
  </si>
  <si>
    <t>Electrical</t>
  </si>
  <si>
    <t xml:space="preserve">Jul-23    </t>
  </si>
  <si>
    <t>Plumbing</t>
  </si>
  <si>
    <t>Mechanical</t>
  </si>
  <si>
    <t>Plastering</t>
  </si>
  <si>
    <t>Insulation</t>
  </si>
  <si>
    <t>Timber Flooring</t>
  </si>
  <si>
    <t>Carpet</t>
  </si>
  <si>
    <t>Tiling &amp; Waterproofing</t>
  </si>
  <si>
    <t>Stairs &amp; Balustrades</t>
  </si>
  <si>
    <t>Shower Screen/Mirros</t>
  </si>
  <si>
    <t>Santiary FF&amp;E/Hot Water Service</t>
  </si>
  <si>
    <t>Joiney</t>
  </si>
  <si>
    <t>Stonework</t>
  </si>
  <si>
    <t>Painting</t>
  </si>
  <si>
    <t>Render</t>
  </si>
  <si>
    <t>Applicances</t>
  </si>
  <si>
    <t>Landscaping incl Driveway, Crossover, Footpath</t>
  </si>
  <si>
    <t>Prime Costs</t>
  </si>
  <si>
    <t>Labour to rectify Frame</t>
  </si>
  <si>
    <t>under ground plumbing</t>
  </si>
  <si>
    <t>Builders Warrenty</t>
  </si>
  <si>
    <t>Joinery</t>
  </si>
  <si>
    <t>Subtotal</t>
  </si>
  <si>
    <t>Builders Margin (20%)</t>
  </si>
  <si>
    <t>Builders Margin (25%)</t>
  </si>
  <si>
    <t>Budget</t>
  </si>
  <si>
    <t>Actuals</t>
  </si>
  <si>
    <t>Purchase 68 Tyquin St (27th May 2010)</t>
  </si>
  <si>
    <t>Stamp</t>
  </si>
  <si>
    <t>Purchase 70 Tyquin St (29 July 2016)</t>
  </si>
  <si>
    <t>Stamp &amp; Settlement Costs</t>
  </si>
  <si>
    <t>Total Contributions</t>
  </si>
  <si>
    <t>Feasibility Report (Scott)</t>
  </si>
  <si>
    <t>Feasibility Report (Danny)</t>
  </si>
  <si>
    <t>Town Planning Application</t>
  </si>
  <si>
    <t>Advertising</t>
  </si>
  <si>
    <t>Transfer to other Bank NetBank Lloyd</t>
  </si>
  <si>
    <t>VCAT</t>
  </si>
  <si>
    <t>Townplanning VCAT</t>
  </si>
  <si>
    <t xml:space="preserve">Building Permit Application </t>
  </si>
  <si>
    <t>Transfer to other Bank NetBank Lloyd Tyquin St $2420</t>
  </si>
  <si>
    <t>Transfer to other Bank NetBank DSP Arch Build Per $-9955</t>
  </si>
  <si>
    <t>Transfer to CBA A/c NetBank Eng Drawings $-4897</t>
  </si>
  <si>
    <t>Building Surveyor</t>
  </si>
  <si>
    <t>Structural &amp; Civil Engineer</t>
  </si>
  <si>
    <t>Transfer to CBA A/c NetBank Deposit Tyquin St - Structural Eng - $2000</t>
  </si>
  <si>
    <t>Transfer to CBA A/c NetBank Eng Drawings</t>
  </si>
  <si>
    <t>Civil Engineer</t>
  </si>
  <si>
    <t>Energy Assessments 6 Star</t>
  </si>
  <si>
    <t>Geotechnical Engineer</t>
  </si>
  <si>
    <t>Transfer to other Bank NetBank Q003027 Accounting Advise BCG $-440</t>
  </si>
  <si>
    <t>Contengency (5%)</t>
  </si>
  <si>
    <t>Transfer to other Bank NetBank INV0278 Lloyd Thom (Register Titles)</t>
  </si>
  <si>
    <t>INTERNET TRANSFER Thom6-04 (contracts)</t>
  </si>
  <si>
    <t>Build</t>
  </si>
  <si>
    <t>Build (108 Squares or 1031 m2)</t>
  </si>
  <si>
    <t>Project Mgmt</t>
  </si>
  <si>
    <t>Holding Costs (12 months)</t>
  </si>
  <si>
    <t>Contengency (2%)</t>
  </si>
  <si>
    <t>Subdivision</t>
  </si>
  <si>
    <t>Application Fees</t>
  </si>
  <si>
    <t>Transfer to other Bank NetBank subdivision - Anythony Ford</t>
  </si>
  <si>
    <t>Telecommunications</t>
  </si>
  <si>
    <t>Power Corp</t>
  </si>
  <si>
    <t>PIC - Water</t>
  </si>
  <si>
    <t>Section 173</t>
  </si>
  <si>
    <t>Open Space Contribution Fees (5% of Land value)</t>
  </si>
  <si>
    <t>Build - Build Permit</t>
  </si>
  <si>
    <t xml:space="preserve">  </t>
  </si>
  <si>
    <t>ONLINE B3932268784 Linked Acc Trns THOMAS L</t>
  </si>
  <si>
    <t>ONLINE L8919635903 Linked Acc Trns THOMAS L</t>
  </si>
  <si>
    <t>ONLINE  X5630505973 Linked Acc Trns     THOMAS L</t>
  </si>
  <si>
    <t>ONLINE C5070264703 Linked Acc Trns THOMAS L</t>
  </si>
  <si>
    <t>Deposit - Andrew</t>
  </si>
  <si>
    <t>Deposit - Lloyd</t>
  </si>
  <si>
    <t>Loan Amount</t>
  </si>
  <si>
    <t>Contributions</t>
  </si>
  <si>
    <t>Cost of Borrowing</t>
  </si>
  <si>
    <t>Lender</t>
  </si>
  <si>
    <t>Andrew &amp; lloyd</t>
  </si>
  <si>
    <t>Investor Remaining</t>
  </si>
  <si>
    <t>Notes</t>
  </si>
  <si>
    <t>Constrcution</t>
  </si>
  <si>
    <t>Contigency</t>
  </si>
  <si>
    <t>Bank Legals</t>
  </si>
  <si>
    <t>Land</t>
  </si>
  <si>
    <t>Cost of borrowing</t>
  </si>
  <si>
    <t>Our Legals</t>
  </si>
  <si>
    <t xml:space="preserve">Stamps </t>
  </si>
  <si>
    <t>PIC</t>
  </si>
  <si>
    <t>Total Shortfall</t>
  </si>
  <si>
    <t>Total with GST</t>
  </si>
  <si>
    <t>Remaining</t>
  </si>
  <si>
    <t>4500,  6250,  5000,  50000</t>
  </si>
  <si>
    <t>4500, 6250,  7000, 50000, 30000, 34000</t>
  </si>
  <si>
    <t xml:space="preserve">Lloyd </t>
  </si>
  <si>
    <t>Loan Share</t>
  </si>
  <si>
    <t xml:space="preserve">Value (TH for Sale) </t>
  </si>
  <si>
    <t>GST (Sale)</t>
  </si>
  <si>
    <t>Agent Fees &amp; Marketing</t>
  </si>
  <si>
    <t>Total to Hand</t>
  </si>
  <si>
    <t>Total Loand after Sale of one TH</t>
  </si>
  <si>
    <t>Loan Per TH</t>
  </si>
  <si>
    <t>Value x THs</t>
  </si>
  <si>
    <t/>
  </si>
  <si>
    <t>Current Cost</t>
  </si>
  <si>
    <t>Margin</t>
  </si>
  <si>
    <t xml:space="preserve">Other </t>
  </si>
  <si>
    <t>ASIC</t>
  </si>
  <si>
    <t>Sales</t>
  </si>
  <si>
    <t>Beyond</t>
  </si>
  <si>
    <t>Sales Advertising</t>
  </si>
  <si>
    <t>Build Contract - Clancy - Defects 4</t>
  </si>
  <si>
    <t>Build Contract - Clancy - Defects 5</t>
  </si>
  <si>
    <t>Build Contract - Clancy - Defects 6</t>
  </si>
  <si>
    <t>Build Contract - Clancy - Defects 7</t>
  </si>
  <si>
    <t>4 Finance</t>
  </si>
  <si>
    <t>5 Legals</t>
  </si>
  <si>
    <t>6 Holding Cost</t>
  </si>
  <si>
    <t>Education</t>
  </si>
  <si>
    <t>Company Fee</t>
  </si>
  <si>
    <t xml:space="preserve">7 Subdivision </t>
  </si>
  <si>
    <t>8 Contribution</t>
  </si>
  <si>
    <t>Remaining Build Costs</t>
  </si>
  <si>
    <t>Profit/Loss</t>
  </si>
  <si>
    <t>Total Paid to iBhomes (inc GST)</t>
  </si>
  <si>
    <t>Variation - On Track</t>
  </si>
  <si>
    <t>Fully vetted</t>
  </si>
  <si>
    <t>Trans Date</t>
  </si>
  <si>
    <t>Account</t>
  </si>
  <si>
    <t>Principal</t>
  </si>
  <si>
    <t>Transaction Note</t>
  </si>
  <si>
    <t>Transaction Type</t>
  </si>
  <si>
    <t>Admin and Monitoring</t>
  </si>
  <si>
    <t>Admin and Monitoring Fee 2</t>
  </si>
  <si>
    <t>Interest - Normal</t>
  </si>
  <si>
    <t>Application and Extension Fees</t>
  </si>
  <si>
    <t>Extension Fee 1.92% January 2023</t>
  </si>
  <si>
    <t>Extension Fee</t>
  </si>
  <si>
    <t>Extension Fee 1.92% December 2022</t>
  </si>
  <si>
    <t>Progress and Other Fees</t>
  </si>
  <si>
    <t>TMIT Drawdown Fee 9</t>
  </si>
  <si>
    <t>Progress Draw Fee</t>
  </si>
  <si>
    <t>Construction</t>
  </si>
  <si>
    <t>SP Clancy Constructions Pty Ltd</t>
  </si>
  <si>
    <t>Construction Drawdown</t>
  </si>
  <si>
    <t>Extension Fee 1.92% November 2022</t>
  </si>
  <si>
    <t>TMIT Drawdown Fee 2</t>
  </si>
  <si>
    <t>Extension Fee 1.92% October 2022</t>
  </si>
  <si>
    <t>TMIT Drawdown fee 7</t>
  </si>
  <si>
    <t>Extension Fee 1.92% September 2022</t>
  </si>
  <si>
    <t>Extension Fee 1.92% August 2022</t>
  </si>
  <si>
    <t>Extension Fee 1.92% July 2022</t>
  </si>
  <si>
    <t>Extension Fee 1.92% June 2022</t>
  </si>
  <si>
    <t>Extension Fee 1.92% May 2022</t>
  </si>
  <si>
    <t>Variation Fee</t>
  </si>
  <si>
    <t>TMIT Drawdown Fee 6</t>
  </si>
  <si>
    <t>iB Homes Pty Ltd</t>
  </si>
  <si>
    <t>TMIT Drawdown Fee 5</t>
  </si>
  <si>
    <t>TMIT Drawdown Fee 4</t>
  </si>
  <si>
    <t>Land Acquisition/Refinance Settlement</t>
  </si>
  <si>
    <t>Refund from McCarthy Durie Lawyers</t>
  </si>
  <si>
    <t>Other Repayment (CR)</t>
  </si>
  <si>
    <t>TMIT Drawdown Fee 3</t>
  </si>
  <si>
    <t>iB Homes</t>
  </si>
  <si>
    <t>Transfer from Commitment Fee Account</t>
  </si>
  <si>
    <t>Interest Repayment (CR)</t>
  </si>
  <si>
    <t>GST Paid (DR)</t>
  </si>
  <si>
    <t>Mitchell Brandtman</t>
  </si>
  <si>
    <t>Other Costs</t>
  </si>
  <si>
    <t>TMIT Drawdown Fee 1</t>
  </si>
  <si>
    <t>Reimbursement of On Track Excavations Invoice</t>
  </si>
  <si>
    <t>IB Homes</t>
  </si>
  <si>
    <t>McCarthy Durie Lawyers</t>
  </si>
  <si>
    <t>Brokerage</t>
  </si>
  <si>
    <t>Brokerage Fees</t>
  </si>
  <si>
    <t>Application Fee</t>
  </si>
  <si>
    <t>Professional Fees</t>
  </si>
  <si>
    <t>Row Labels</t>
  </si>
  <si>
    <t>Cost ex margin &amp; GST</t>
  </si>
  <si>
    <t xml:space="preserve">Landscaping </t>
  </si>
  <si>
    <t>Builders Margin</t>
  </si>
  <si>
    <t>Remaining inc GST</t>
  </si>
  <si>
    <t>Remaining ex GST</t>
  </si>
  <si>
    <t>Extension Fee 2% June 2023</t>
  </si>
  <si>
    <t>Thomas Property Management Pty Ltd Extension Fee June 2023</t>
  </si>
  <si>
    <t>TMIT Drawdown Fee 13</t>
  </si>
  <si>
    <t xml:space="preserve">Thomas Property Managment Drawdown Fee </t>
  </si>
  <si>
    <t>Thomas Property Management Invoice 662-007</t>
  </si>
  <si>
    <t>Extension Fee 2% May 2023</t>
  </si>
  <si>
    <t>Thomas Property Management Pty Ltd Extension Fee May 2023</t>
  </si>
  <si>
    <t>TMIT Drawdown Fee 12</t>
  </si>
  <si>
    <t xml:space="preserve">TMIT Drawdown Fee 12 - Thomas Property Management Pty Ltd </t>
  </si>
  <si>
    <t xml:space="preserve">662-006 - Thomas Property Group Pty Ltd </t>
  </si>
  <si>
    <t>Charter Keck Cramer</t>
  </si>
  <si>
    <t xml:space="preserve">INV0143024 - Thomas Property Management Pty Ltd </t>
  </si>
  <si>
    <t>Extension Fee 2% April 2023</t>
  </si>
  <si>
    <t>Thomas Property Management Pty Ltd Extension Fee April 2023</t>
  </si>
  <si>
    <t>Extension Fee 2% March 2023</t>
  </si>
  <si>
    <t>Thomas Property Management Pty Ltd Extension Fee March 2023</t>
  </si>
  <si>
    <t>TMIT Drawdown Fee 11</t>
  </si>
  <si>
    <t xml:space="preserve">TMIT Drawdown Fee 11 - Thomas Propety Management Pty Ltd </t>
  </si>
  <si>
    <t xml:space="preserve">662005 - Thomas Property Management Pty Ltd </t>
  </si>
  <si>
    <t>Extension Fee 2% February 2023</t>
  </si>
  <si>
    <t>Thomas Property Management Pty Ltd Extension Fee February 2023</t>
  </si>
  <si>
    <t>TMIT Drawdown Fee 10</t>
  </si>
  <si>
    <t xml:space="preserve">TMIT Drawdown Fee 10 - Thomas property Management Ptu Ltd </t>
  </si>
  <si>
    <t xml:space="preserve">662-004 - Thomas Property Management Pty Ltd </t>
  </si>
  <si>
    <t>Interest &amp; Fees (to complete)</t>
  </si>
  <si>
    <t>Full History (2012 to June 2023)</t>
  </si>
  <si>
    <t>Total FY24</t>
  </si>
  <si>
    <t>BAS Jul</t>
  </si>
  <si>
    <t>Trilogy - Admin and Monitoring</t>
  </si>
  <si>
    <t>Trilogy - Interest</t>
  </si>
  <si>
    <t>WATER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</si>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</sst>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&quot;$&quot;#,##0.00"/>
    <numFmt numFmtId="166" formatCode="mmm\ d"/>
    <numFmt numFmtId="167" formatCode="m/d/yyyy"/>
    <numFmt numFmtId="168" formatCode="m/d/yy"/>
  </numFmts>
  <fonts count="35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222222"/>
      <name val="Arial"/>
      <family val="2"/>
    </font>
    <font>
      <sz val="10"/>
      <color rgb="FF222222"/>
      <name val="Arial"/>
      <family val="2"/>
    </font>
    <font>
      <b/>
      <sz val="10"/>
      <color rgb="FF222222"/>
      <name val="Calibri"/>
      <family val="2"/>
    </font>
    <font>
      <sz val="10"/>
      <color rgb="FF222222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Arial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Arial"/>
      <family val="2"/>
    </font>
    <font>
      <sz val="12"/>
      <color theme="0"/>
      <name val="Arial"/>
      <family val="2"/>
    </font>
    <font>
      <strike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Arial"/>
      <family val="2"/>
      <scheme val="minor"/>
    </font>
    <font>
      <i/>
      <sz val="11"/>
      <name val="Calibri"/>
      <family val="2"/>
    </font>
    <font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D965"/>
        <bgColor rgb="FFFFD965"/>
      </patternFill>
    </fill>
    <fill>
      <patternFill patternType="solid">
        <fgColor rgb="FFDEEAF6"/>
        <bgColor rgb="FFDEEAF6"/>
      </patternFill>
    </fill>
    <fill>
      <patternFill patternType="solid">
        <fgColor rgb="FFADB9CA"/>
        <bgColor rgb="FFADB9CA"/>
      </patternFill>
    </fill>
    <fill>
      <patternFill patternType="solid">
        <fgColor theme="6"/>
        <bgColor theme="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164" fontId="4" fillId="0" borderId="0" xfId="0" applyNumberFormat="1" applyFont="1"/>
    <xf numFmtId="0" fontId="5" fillId="0" borderId="0" xfId="0" applyFont="1"/>
    <xf numFmtId="0" fontId="6" fillId="0" borderId="1" xfId="0" applyFont="1" applyBorder="1"/>
    <xf numFmtId="0" fontId="4" fillId="0" borderId="0" xfId="0" applyFont="1"/>
    <xf numFmtId="0" fontId="4" fillId="0" borderId="1" xfId="0" applyFont="1" applyBorder="1"/>
    <xf numFmtId="3" fontId="4" fillId="0" borderId="1" xfId="0" applyNumberFormat="1" applyFont="1" applyBorder="1"/>
    <xf numFmtId="0" fontId="8" fillId="0" borderId="0" xfId="0" applyFont="1"/>
    <xf numFmtId="4" fontId="8" fillId="0" borderId="1" xfId="0" applyNumberFormat="1" applyFont="1" applyBorder="1"/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14" fontId="8" fillId="0" borderId="1" xfId="0" applyNumberFormat="1" applyFont="1" applyBorder="1"/>
    <xf numFmtId="3" fontId="8" fillId="0" borderId="1" xfId="0" applyNumberFormat="1" applyFont="1" applyBorder="1"/>
    <xf numFmtId="4" fontId="8" fillId="0" borderId="0" xfId="0" applyNumberFormat="1" applyFont="1"/>
    <xf numFmtId="0" fontId="7" fillId="2" borderId="1" xfId="0" applyFont="1" applyFill="1" applyBorder="1"/>
    <xf numFmtId="0" fontId="9" fillId="2" borderId="1" xfId="0" applyFont="1" applyFill="1" applyBorder="1"/>
    <xf numFmtId="4" fontId="9" fillId="2" borderId="1" xfId="0" applyNumberFormat="1" applyFont="1" applyFill="1" applyBorder="1"/>
    <xf numFmtId="17" fontId="8" fillId="0" borderId="1" xfId="0" applyNumberFormat="1" applyFont="1" applyBorder="1"/>
    <xf numFmtId="0" fontId="10" fillId="0" borderId="1" xfId="0" applyFont="1" applyBorder="1"/>
    <xf numFmtId="4" fontId="10" fillId="0" borderId="1" xfId="0" applyNumberFormat="1" applyFont="1" applyBorder="1"/>
    <xf numFmtId="164" fontId="8" fillId="0" borderId="1" xfId="0" applyNumberFormat="1" applyFont="1" applyBorder="1"/>
    <xf numFmtId="164" fontId="10" fillId="0" borderId="1" xfId="0" applyNumberFormat="1" applyFont="1" applyBorder="1"/>
    <xf numFmtId="165" fontId="4" fillId="0" borderId="0" xfId="0" applyNumberFormat="1" applyFont="1"/>
    <xf numFmtId="0" fontId="8" fillId="0" borderId="2" xfId="0" applyFont="1" applyBorder="1"/>
    <xf numFmtId="4" fontId="10" fillId="0" borderId="2" xfId="0" applyNumberFormat="1" applyFont="1" applyBorder="1"/>
    <xf numFmtId="14" fontId="10" fillId="0" borderId="1" xfId="0" applyNumberFormat="1" applyFont="1" applyBorder="1"/>
    <xf numFmtId="14" fontId="11" fillId="0" borderId="0" xfId="0" applyNumberFormat="1" applyFont="1"/>
    <xf numFmtId="14" fontId="8" fillId="0" borderId="0" xfId="0" applyNumberFormat="1" applyFont="1"/>
    <xf numFmtId="0" fontId="11" fillId="0" borderId="1" xfId="0" applyFont="1" applyBorder="1"/>
    <xf numFmtId="4" fontId="10" fillId="0" borderId="0" xfId="0" applyNumberFormat="1" applyFont="1"/>
    <xf numFmtId="167" fontId="8" fillId="0" borderId="1" xfId="0" applyNumberFormat="1" applyFont="1" applyBorder="1"/>
    <xf numFmtId="167" fontId="8" fillId="0" borderId="1" xfId="0" applyNumberFormat="1" applyFont="1" applyBorder="1" applyAlignment="1">
      <alignment horizontal="right"/>
    </xf>
    <xf numFmtId="168" fontId="8" fillId="0" borderId="1" xfId="0" applyNumberFormat="1" applyFont="1" applyBorder="1" applyAlignment="1">
      <alignment horizontal="right"/>
    </xf>
    <xf numFmtId="0" fontId="12" fillId="0" borderId="0" xfId="0" applyFont="1"/>
    <xf numFmtId="3" fontId="12" fillId="0" borderId="0" xfId="0" applyNumberFormat="1" applyFont="1"/>
    <xf numFmtId="0" fontId="12" fillId="0" borderId="1" xfId="0" applyFont="1" applyBorder="1"/>
    <xf numFmtId="0" fontId="13" fillId="0" borderId="1" xfId="0" applyFont="1" applyBorder="1"/>
    <xf numFmtId="3" fontId="12" fillId="0" borderId="1" xfId="0" applyNumberFormat="1" applyFont="1" applyBorder="1"/>
    <xf numFmtId="0" fontId="14" fillId="4" borderId="1" xfId="0" applyFont="1" applyFill="1" applyBorder="1"/>
    <xf numFmtId="3" fontId="14" fillId="4" borderId="1" xfId="0" applyNumberFormat="1" applyFont="1" applyFill="1" applyBorder="1"/>
    <xf numFmtId="0" fontId="15" fillId="0" borderId="1" xfId="0" applyFont="1" applyBorder="1"/>
    <xf numFmtId="3" fontId="15" fillId="0" borderId="1" xfId="0" applyNumberFormat="1" applyFont="1" applyBorder="1"/>
    <xf numFmtId="0" fontId="16" fillId="4" borderId="1" xfId="0" applyFont="1" applyFill="1" applyBorder="1"/>
    <xf numFmtId="164" fontId="12" fillId="0" borderId="0" xfId="0" applyNumberFormat="1" applyFont="1"/>
    <xf numFmtId="3" fontId="16" fillId="4" borderId="1" xfId="0" applyNumberFormat="1" applyFont="1" applyFill="1" applyBorder="1"/>
    <xf numFmtId="0" fontId="17" fillId="0" borderId="1" xfId="0" applyFont="1" applyBorder="1"/>
    <xf numFmtId="3" fontId="17" fillId="0" borderId="1" xfId="0" applyNumberFormat="1" applyFont="1" applyBorder="1"/>
    <xf numFmtId="0" fontId="14" fillId="5" borderId="1" xfId="0" applyFont="1" applyFill="1" applyBorder="1"/>
    <xf numFmtId="3" fontId="14" fillId="5" borderId="1" xfId="0" applyNumberFormat="1" applyFont="1" applyFill="1" applyBorder="1"/>
    <xf numFmtId="3" fontId="14" fillId="0" borderId="3" xfId="0" applyNumberFormat="1" applyFont="1" applyBorder="1"/>
    <xf numFmtId="3" fontId="15" fillId="6" borderId="1" xfId="0" applyNumberFormat="1" applyFont="1" applyFill="1" applyBorder="1"/>
    <xf numFmtId="0" fontId="16" fillId="5" borderId="1" xfId="0" applyFont="1" applyFill="1" applyBorder="1"/>
    <xf numFmtId="3" fontId="16" fillId="5" borderId="1" xfId="0" applyNumberFormat="1" applyFont="1" applyFill="1" applyBorder="1"/>
    <xf numFmtId="3" fontId="16" fillId="5" borderId="4" xfId="0" applyNumberFormat="1" applyFont="1" applyFill="1" applyBorder="1"/>
    <xf numFmtId="3" fontId="17" fillId="6" borderId="1" xfId="0" applyNumberFormat="1" applyFont="1" applyFill="1" applyBorder="1"/>
    <xf numFmtId="0" fontId="14" fillId="0" borderId="1" xfId="0" applyFont="1" applyBorder="1"/>
    <xf numFmtId="3" fontId="14" fillId="0" borderId="1" xfId="0" applyNumberFormat="1" applyFont="1" applyBorder="1"/>
    <xf numFmtId="0" fontId="16" fillId="0" borderId="1" xfId="0" applyFont="1" applyBorder="1"/>
    <xf numFmtId="3" fontId="16" fillId="0" borderId="1" xfId="0" applyNumberFormat="1" applyFont="1" applyBorder="1"/>
    <xf numFmtId="0" fontId="14" fillId="7" borderId="1" xfId="0" applyFont="1" applyFill="1" applyBorder="1"/>
    <xf numFmtId="3" fontId="14" fillId="7" borderId="1" xfId="0" applyNumberFormat="1" applyFont="1" applyFill="1" applyBorder="1"/>
    <xf numFmtId="0" fontId="14" fillId="6" borderId="1" xfId="0" applyFont="1" applyFill="1" applyBorder="1"/>
    <xf numFmtId="164" fontId="14" fillId="6" borderId="1" xfId="0" applyNumberFormat="1" applyFont="1" applyFill="1" applyBorder="1"/>
    <xf numFmtId="0" fontId="16" fillId="7" borderId="1" xfId="0" applyFont="1" applyFill="1" applyBorder="1"/>
    <xf numFmtId="3" fontId="16" fillId="7" borderId="1" xfId="0" applyNumberFormat="1" applyFont="1" applyFill="1" applyBorder="1"/>
    <xf numFmtId="0" fontId="16" fillId="6" borderId="1" xfId="0" applyFont="1" applyFill="1" applyBorder="1"/>
    <xf numFmtId="164" fontId="16" fillId="6" borderId="1" xfId="0" applyNumberFormat="1" applyFont="1" applyFill="1" applyBorder="1"/>
    <xf numFmtId="3" fontId="16" fillId="6" borderId="1" xfId="0" applyNumberFormat="1" applyFont="1" applyFill="1" applyBorder="1"/>
    <xf numFmtId="3" fontId="14" fillId="6" borderId="1" xfId="0" applyNumberFormat="1" applyFont="1" applyFill="1" applyBorder="1"/>
    <xf numFmtId="0" fontId="18" fillId="0" borderId="1" xfId="0" applyFont="1" applyBorder="1"/>
    <xf numFmtId="0" fontId="21" fillId="2" borderId="6" xfId="0" applyFont="1" applyFill="1" applyBorder="1"/>
    <xf numFmtId="49" fontId="21" fillId="2" borderId="6" xfId="0" applyNumberFormat="1" applyFont="1" applyFill="1" applyBorder="1"/>
    <xf numFmtId="4" fontId="21" fillId="2" borderId="6" xfId="0" applyNumberFormat="1" applyFont="1" applyFill="1" applyBorder="1"/>
    <xf numFmtId="0" fontId="22" fillId="2" borderId="1" xfId="0" applyFont="1" applyFill="1" applyBorder="1"/>
    <xf numFmtId="3" fontId="22" fillId="2" borderId="1" xfId="0" applyNumberFormat="1" applyFont="1" applyFill="1" applyBorder="1"/>
    <xf numFmtId="14" fontId="18" fillId="0" borderId="1" xfId="0" applyNumberFormat="1" applyFont="1" applyBorder="1"/>
    <xf numFmtId="49" fontId="18" fillId="0" borderId="1" xfId="0" applyNumberFormat="1" applyFont="1" applyBorder="1"/>
    <xf numFmtId="4" fontId="18" fillId="0" borderId="1" xfId="0" applyNumberFormat="1" applyFont="1" applyBorder="1"/>
    <xf numFmtId="0" fontId="18" fillId="0" borderId="5" xfId="0" applyFont="1" applyBorder="1"/>
    <xf numFmtId="3" fontId="18" fillId="0" borderId="1" xfId="0" applyNumberFormat="1" applyFont="1" applyBorder="1"/>
    <xf numFmtId="165" fontId="18" fillId="0" borderId="1" xfId="0" applyNumberFormat="1" applyFont="1" applyBorder="1"/>
    <xf numFmtId="0" fontId="18" fillId="0" borderId="1" xfId="0" applyFont="1" applyBorder="1" applyAlignment="1">
      <alignment horizontal="right"/>
    </xf>
    <xf numFmtId="0" fontId="18" fillId="0" borderId="7" xfId="0" applyFont="1" applyBorder="1"/>
    <xf numFmtId="0" fontId="4" fillId="0" borderId="2" xfId="0" applyFont="1" applyBorder="1"/>
    <xf numFmtId="3" fontId="18" fillId="0" borderId="2" xfId="0" applyNumberFormat="1" applyFont="1" applyBorder="1"/>
    <xf numFmtId="0" fontId="19" fillId="0" borderId="1" xfId="0" applyFont="1" applyBorder="1"/>
    <xf numFmtId="49" fontId="19" fillId="0" borderId="1" xfId="0" applyNumberFormat="1" applyFont="1" applyBorder="1"/>
    <xf numFmtId="4" fontId="19" fillId="0" borderId="5" xfId="0" applyNumberFormat="1" applyFont="1" applyBorder="1"/>
    <xf numFmtId="165" fontId="19" fillId="0" borderId="1" xfId="0" applyNumberFormat="1" applyFont="1" applyBorder="1"/>
    <xf numFmtId="3" fontId="19" fillId="0" borderId="1" xfId="0" applyNumberFormat="1" applyFont="1" applyBorder="1"/>
    <xf numFmtId="3" fontId="19" fillId="0" borderId="8" xfId="0" applyNumberFormat="1" applyFont="1" applyBorder="1"/>
    <xf numFmtId="4" fontId="19" fillId="0" borderId="1" xfId="0" applyNumberFormat="1" applyFont="1" applyBorder="1"/>
    <xf numFmtId="165" fontId="19" fillId="0" borderId="9" xfId="0" applyNumberFormat="1" applyFont="1" applyBorder="1"/>
    <xf numFmtId="0" fontId="4" fillId="0" borderId="8" xfId="0" applyFont="1" applyBorder="1"/>
    <xf numFmtId="3" fontId="23" fillId="0" borderId="8" xfId="0" applyNumberFormat="1" applyFont="1" applyBorder="1"/>
    <xf numFmtId="0" fontId="19" fillId="0" borderId="5" xfId="0" applyFont="1" applyBorder="1"/>
    <xf numFmtId="0" fontId="24" fillId="2" borderId="1" xfId="0" applyFont="1" applyFill="1" applyBorder="1"/>
    <xf numFmtId="165" fontId="8" fillId="0" borderId="0" xfId="0" applyNumberFormat="1" applyFont="1"/>
    <xf numFmtId="17" fontId="25" fillId="0" borderId="1" xfId="0" applyNumberFormat="1" applyFont="1" applyBorder="1" applyAlignment="1">
      <alignment horizontal="left"/>
    </xf>
    <xf numFmtId="0" fontId="24" fillId="2" borderId="6" xfId="0" applyFont="1" applyFill="1" applyBorder="1"/>
    <xf numFmtId="165" fontId="24" fillId="2" borderId="6" xfId="0" applyNumberFormat="1" applyFont="1" applyFill="1" applyBorder="1"/>
    <xf numFmtId="165" fontId="7" fillId="2" borderId="6" xfId="0" applyNumberFormat="1" applyFont="1" applyFill="1" applyBorder="1"/>
    <xf numFmtId="165" fontId="4" fillId="0" borderId="1" xfId="0" applyNumberFormat="1" applyFont="1" applyBorder="1"/>
    <xf numFmtId="165" fontId="11" fillId="0" borderId="1" xfId="0" applyNumberFormat="1" applyFont="1" applyBorder="1"/>
    <xf numFmtId="0" fontId="25" fillId="0" borderId="1" xfId="0" applyFont="1" applyBorder="1"/>
    <xf numFmtId="165" fontId="11" fillId="0" borderId="8" xfId="0" applyNumberFormat="1" applyFont="1" applyBorder="1"/>
    <xf numFmtId="165" fontId="8" fillId="0" borderId="1" xfId="0" applyNumberFormat="1" applyFont="1" applyBorder="1"/>
    <xf numFmtId="0" fontId="4" fillId="8" borderId="1" xfId="0" applyFont="1" applyFill="1" applyBorder="1"/>
    <xf numFmtId="165" fontId="4" fillId="8" borderId="1" xfId="0" applyNumberFormat="1" applyFont="1" applyFill="1" applyBorder="1"/>
    <xf numFmtId="165" fontId="11" fillId="8" borderId="10" xfId="0" applyNumberFormat="1" applyFont="1" applyFill="1" applyBorder="1"/>
    <xf numFmtId="165" fontId="8" fillId="8" borderId="1" xfId="0" applyNumberFormat="1" applyFont="1" applyFill="1" applyBorder="1"/>
    <xf numFmtId="0" fontId="4" fillId="9" borderId="1" xfId="0" applyFont="1" applyFill="1" applyBorder="1"/>
    <xf numFmtId="17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/>
    <xf numFmtId="165" fontId="11" fillId="10" borderId="10" xfId="0" applyNumberFormat="1" applyFont="1" applyFill="1" applyBorder="1"/>
    <xf numFmtId="165" fontId="8" fillId="10" borderId="1" xfId="0" applyNumberFormat="1" applyFont="1" applyFill="1" applyBorder="1"/>
    <xf numFmtId="0" fontId="8" fillId="11" borderId="6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10" fillId="0" borderId="0" xfId="0" applyFont="1"/>
    <xf numFmtId="0" fontId="8" fillId="11" borderId="6" xfId="0" applyFont="1" applyFill="1" applyBorder="1"/>
    <xf numFmtId="0" fontId="10" fillId="11" borderId="6" xfId="0" applyFont="1" applyFill="1" applyBorder="1"/>
    <xf numFmtId="15" fontId="8" fillId="8" borderId="6" xfId="0" applyNumberFormat="1" applyFont="1" applyFill="1" applyBorder="1"/>
    <xf numFmtId="0" fontId="8" fillId="8" borderId="6" xfId="0" applyFont="1" applyFill="1" applyBorder="1"/>
    <xf numFmtId="15" fontId="8" fillId="0" borderId="0" xfId="0" applyNumberFormat="1" applyFont="1"/>
    <xf numFmtId="0" fontId="8" fillId="12" borderId="6" xfId="0" applyFont="1" applyFill="1" applyBorder="1"/>
    <xf numFmtId="0" fontId="10" fillId="0" borderId="3" xfId="0" applyFont="1" applyBorder="1"/>
    <xf numFmtId="1" fontId="8" fillId="0" borderId="1" xfId="0" applyNumberFormat="1" applyFont="1" applyBorder="1"/>
    <xf numFmtId="1" fontId="8" fillId="0" borderId="0" xfId="0" applyNumberFormat="1" applyFont="1"/>
    <xf numFmtId="0" fontId="8" fillId="0" borderId="11" xfId="0" applyFont="1" applyBorder="1"/>
    <xf numFmtId="3" fontId="10" fillId="0" borderId="1" xfId="0" applyNumberFormat="1" applyFont="1" applyBorder="1"/>
    <xf numFmtId="164" fontId="8" fillId="0" borderId="0" xfId="0" applyNumberFormat="1" applyFont="1"/>
    <xf numFmtId="49" fontId="8" fillId="0" borderId="0" xfId="0" applyNumberFormat="1" applyFont="1"/>
    <xf numFmtId="0" fontId="0" fillId="0" borderId="12" xfId="0" applyBorder="1"/>
    <xf numFmtId="0" fontId="0" fillId="0" borderId="13" xfId="0" applyBorder="1"/>
    <xf numFmtId="0" fontId="0" fillId="0" borderId="12" xfId="0" pivotButton="1" applyBorder="1"/>
    <xf numFmtId="0" fontId="0" fillId="0" borderId="14" xfId="0" applyBorder="1"/>
    <xf numFmtId="0" fontId="3" fillId="0" borderId="0" xfId="0" applyFont="1"/>
    <xf numFmtId="0" fontId="26" fillId="0" borderId="0" xfId="0" applyFont="1"/>
    <xf numFmtId="6" fontId="0" fillId="0" borderId="0" xfId="0" applyNumberFormat="1"/>
    <xf numFmtId="6" fontId="3" fillId="0" borderId="0" xfId="0" applyNumberFormat="1" applyFont="1"/>
    <xf numFmtId="0" fontId="0" fillId="0" borderId="15" xfId="0" applyBorder="1"/>
    <xf numFmtId="164" fontId="0" fillId="0" borderId="15" xfId="0" pivotButton="1" applyNumberFormat="1" applyBorder="1"/>
    <xf numFmtId="164" fontId="0" fillId="0" borderId="15" xfId="0" applyNumberFormat="1" applyBorder="1"/>
    <xf numFmtId="0" fontId="3" fillId="0" borderId="6" xfId="0" applyFont="1" applyBorder="1"/>
    <xf numFmtId="0" fontId="3" fillId="0" borderId="15" xfId="0" applyFont="1" applyBorder="1"/>
    <xf numFmtId="0" fontId="8" fillId="0" borderId="15" xfId="0" applyFont="1" applyBorder="1"/>
    <xf numFmtId="165" fontId="8" fillId="0" borderId="10" xfId="0" applyNumberFormat="1" applyFont="1" applyBorder="1"/>
    <xf numFmtId="0" fontId="26" fillId="0" borderId="15" xfId="0" applyFont="1" applyBorder="1"/>
    <xf numFmtId="6" fontId="3" fillId="0" borderId="15" xfId="0" applyNumberFormat="1" applyFont="1" applyBorder="1"/>
    <xf numFmtId="6" fontId="26" fillId="0" borderId="15" xfId="0" applyNumberFormat="1" applyFont="1" applyBorder="1"/>
    <xf numFmtId="4" fontId="8" fillId="0" borderId="15" xfId="0" applyNumberFormat="1" applyFont="1" applyBorder="1"/>
    <xf numFmtId="0" fontId="4" fillId="0" borderId="15" xfId="0" applyFont="1" applyBorder="1"/>
    <xf numFmtId="165" fontId="0" fillId="0" borderId="0" xfId="0" applyNumberFormat="1"/>
    <xf numFmtId="14" fontId="8" fillId="0" borderId="15" xfId="0" applyNumberFormat="1" applyFont="1" applyBorder="1"/>
    <xf numFmtId="3" fontId="0" fillId="0" borderId="15" xfId="0" applyNumberFormat="1" applyBorder="1"/>
    <xf numFmtId="165" fontId="0" fillId="0" borderId="6" xfId="0" applyNumberFormat="1" applyBorder="1"/>
    <xf numFmtId="0" fontId="3" fillId="0" borderId="16" xfId="0" applyFont="1" applyBorder="1"/>
    <xf numFmtId="164" fontId="26" fillId="0" borderId="15" xfId="0" applyNumberFormat="1" applyFont="1" applyBorder="1"/>
    <xf numFmtId="164" fontId="3" fillId="0" borderId="15" xfId="0" applyNumberFormat="1" applyFont="1" applyBorder="1"/>
    <xf numFmtId="8" fontId="0" fillId="0" borderId="0" xfId="0" applyNumberFormat="1"/>
    <xf numFmtId="0" fontId="3" fillId="13" borderId="15" xfId="0" applyFont="1" applyFill="1" applyBorder="1"/>
    <xf numFmtId="6" fontId="3" fillId="13" borderId="15" xfId="0" applyNumberFormat="1" applyFont="1" applyFill="1" applyBorder="1"/>
    <xf numFmtId="4" fontId="12" fillId="0" borderId="0" xfId="0" applyNumberFormat="1" applyFont="1"/>
    <xf numFmtId="14" fontId="18" fillId="0" borderId="15" xfId="0" applyNumberFormat="1" applyFont="1" applyBorder="1"/>
    <xf numFmtId="0" fontId="10" fillId="13" borderId="15" xfId="0" applyFont="1" applyFill="1" applyBorder="1"/>
    <xf numFmtId="0" fontId="8" fillId="13" borderId="15" xfId="0" applyFont="1" applyFill="1" applyBorder="1"/>
    <xf numFmtId="4" fontId="8" fillId="13" borderId="15" xfId="0" applyNumberFormat="1" applyFont="1" applyFill="1" applyBorder="1"/>
    <xf numFmtId="0" fontId="0" fillId="0" borderId="6" xfId="0" applyBorder="1"/>
    <xf numFmtId="0" fontId="18" fillId="0" borderId="0" xfId="0" applyFont="1"/>
    <xf numFmtId="0" fontId="13" fillId="0" borderId="0" xfId="0" applyFont="1"/>
    <xf numFmtId="14" fontId="1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6" fontId="0" fillId="0" borderId="6" xfId="0" applyNumberFormat="1" applyBorder="1"/>
    <xf numFmtId="165" fontId="8" fillId="13" borderId="1" xfId="0" applyNumberFormat="1" applyFont="1" applyFill="1" applyBorder="1"/>
    <xf numFmtId="0" fontId="4" fillId="0" borderId="5" xfId="0" applyFont="1" applyBorder="1"/>
    <xf numFmtId="165" fontId="11" fillId="0" borderId="15" xfId="0" applyNumberFormat="1" applyFont="1" applyBorder="1"/>
    <xf numFmtId="165" fontId="8" fillId="0" borderId="15" xfId="0" applyNumberFormat="1" applyFont="1" applyBorder="1"/>
    <xf numFmtId="165" fontId="11" fillId="0" borderId="6" xfId="0" applyNumberFormat="1" applyFont="1" applyBorder="1"/>
    <xf numFmtId="0" fontId="27" fillId="0" borderId="15" xfId="0" applyFont="1" applyBorder="1"/>
    <xf numFmtId="0" fontId="4" fillId="0" borderId="11" xfId="0" applyFont="1" applyBorder="1"/>
    <xf numFmtId="165" fontId="8" fillId="0" borderId="5" xfId="0" applyNumberFormat="1" applyFont="1" applyBorder="1"/>
    <xf numFmtId="165" fontId="8" fillId="0" borderId="6" xfId="0" applyNumberFormat="1" applyFont="1" applyBorder="1"/>
    <xf numFmtId="0" fontId="2" fillId="0" borderId="15" xfId="0" applyFont="1" applyBorder="1"/>
    <xf numFmtId="17" fontId="8" fillId="0" borderId="1" xfId="0" applyNumberFormat="1" applyFont="1" applyBorder="1" applyAlignment="1">
      <alignment horizontal="left"/>
    </xf>
    <xf numFmtId="166" fontId="8" fillId="0" borderId="1" xfId="0" applyNumberFormat="1" applyFont="1" applyBorder="1" applyAlignment="1">
      <alignment horizontal="left"/>
    </xf>
    <xf numFmtId="0" fontId="1" fillId="0" borderId="0" xfId="0" applyFont="1"/>
    <xf numFmtId="0" fontId="22" fillId="2" borderId="1" xfId="0" applyFont="1" applyFill="1" applyBorder="1" applyAlignment="1">
      <alignment horizontal="center"/>
    </xf>
    <xf numFmtId="4" fontId="22" fillId="2" borderId="1" xfId="0" applyNumberFormat="1" applyFont="1" applyFill="1" applyBorder="1" applyAlignment="1">
      <alignment horizontal="center"/>
    </xf>
    <xf numFmtId="4" fontId="29" fillId="2" borderId="1" xfId="0" applyNumberFormat="1" applyFont="1" applyFill="1" applyBorder="1" applyAlignment="1">
      <alignment horizontal="center"/>
    </xf>
    <xf numFmtId="3" fontId="22" fillId="2" borderId="1" xfId="0" applyNumberFormat="1" applyFont="1" applyFill="1" applyBorder="1" applyAlignment="1">
      <alignment horizontal="center"/>
    </xf>
    <xf numFmtId="0" fontId="18" fillId="13" borderId="15" xfId="0" applyFont="1" applyFill="1" applyBorder="1"/>
    <xf numFmtId="0" fontId="8" fillId="0" borderId="6" xfId="0" applyFont="1" applyBorder="1"/>
    <xf numFmtId="4" fontId="10" fillId="0" borderId="6" xfId="0" applyNumberFormat="1" applyFont="1" applyBorder="1"/>
    <xf numFmtId="14" fontId="8" fillId="0" borderId="6" xfId="0" applyNumberFormat="1" applyFont="1" applyBorder="1"/>
    <xf numFmtId="14" fontId="11" fillId="0" borderId="6" xfId="0" applyNumberFormat="1" applyFont="1" applyBorder="1" applyAlignment="1">
      <alignment horizontal="right"/>
    </xf>
    <xf numFmtId="4" fontId="8" fillId="0" borderId="6" xfId="0" applyNumberFormat="1" applyFont="1" applyBorder="1"/>
    <xf numFmtId="4" fontId="11" fillId="0" borderId="6" xfId="0" applyNumberFormat="1" applyFont="1" applyBorder="1"/>
    <xf numFmtId="164" fontId="18" fillId="0" borderId="0" xfId="0" applyNumberFormat="1" applyFont="1"/>
    <xf numFmtId="14" fontId="30" fillId="0" borderId="15" xfId="0" applyNumberFormat="1" applyFont="1" applyBorder="1"/>
    <xf numFmtId="4" fontId="30" fillId="0" borderId="17" xfId="0" applyNumberFormat="1" applyFont="1" applyBorder="1"/>
    <xf numFmtId="3" fontId="30" fillId="0" borderId="17" xfId="0" applyNumberFormat="1" applyFont="1" applyBorder="1"/>
    <xf numFmtId="0" fontId="30" fillId="0" borderId="17" xfId="0" applyFont="1" applyBorder="1"/>
    <xf numFmtId="0" fontId="30" fillId="0" borderId="17" xfId="0" applyFont="1" applyBorder="1" applyAlignment="1">
      <alignment horizontal="left"/>
    </xf>
    <xf numFmtId="0" fontId="30" fillId="0" borderId="17" xfId="0" applyFont="1" applyBorder="1" applyAlignment="1">
      <alignment horizontal="right"/>
    </xf>
    <xf numFmtId="14" fontId="30" fillId="0" borderId="18" xfId="0" applyNumberFormat="1" applyFont="1" applyBorder="1"/>
    <xf numFmtId="4" fontId="30" fillId="0" borderId="19" xfId="0" applyNumberFormat="1" applyFont="1" applyBorder="1"/>
    <xf numFmtId="3" fontId="30" fillId="0" borderId="19" xfId="0" applyNumberFormat="1" applyFont="1" applyBorder="1"/>
    <xf numFmtId="0" fontId="30" fillId="0" borderId="19" xfId="0" applyFont="1" applyBorder="1"/>
    <xf numFmtId="0" fontId="30" fillId="0" borderId="19" xfId="0" applyFont="1" applyBorder="1" applyAlignment="1">
      <alignment horizontal="left"/>
    </xf>
    <xf numFmtId="0" fontId="30" fillId="0" borderId="19" xfId="0" applyFont="1" applyBorder="1" applyAlignment="1">
      <alignment horizontal="right"/>
    </xf>
    <xf numFmtId="14" fontId="30" fillId="0" borderId="18" xfId="0" applyNumberFormat="1" applyFont="1" applyBorder="1" applyAlignment="1">
      <alignment horizontal="right"/>
    </xf>
    <xf numFmtId="4" fontId="30" fillId="0" borderId="1" xfId="0" applyNumberFormat="1" applyFont="1" applyBorder="1"/>
    <xf numFmtId="4" fontId="18" fillId="0" borderId="19" xfId="0" applyNumberFormat="1" applyFont="1" applyBorder="1"/>
    <xf numFmtId="167" fontId="30" fillId="0" borderId="18" xfId="0" applyNumberFormat="1" applyFont="1" applyBorder="1"/>
    <xf numFmtId="167" fontId="30" fillId="0" borderId="18" xfId="0" applyNumberFormat="1" applyFont="1" applyBorder="1" applyAlignment="1">
      <alignment horizontal="right"/>
    </xf>
    <xf numFmtId="0" fontId="19" fillId="13" borderId="15" xfId="0" applyFont="1" applyFill="1" applyBorder="1"/>
    <xf numFmtId="4" fontId="19" fillId="13" borderId="15" xfId="0" applyNumberFormat="1" applyFont="1" applyFill="1" applyBorder="1"/>
    <xf numFmtId="0" fontId="31" fillId="0" borderId="1" xfId="0" applyFont="1" applyBorder="1" applyAlignment="1">
      <alignment horizontal="center"/>
    </xf>
    <xf numFmtId="4" fontId="31" fillId="0" borderId="1" xfId="0" applyNumberFormat="1" applyFont="1" applyBorder="1" applyAlignment="1">
      <alignment horizontal="center"/>
    </xf>
    <xf numFmtId="3" fontId="31" fillId="0" borderId="1" xfId="0" applyNumberFormat="1" applyFont="1" applyBorder="1" applyAlignment="1">
      <alignment horizontal="center"/>
    </xf>
    <xf numFmtId="0" fontId="31" fillId="0" borderId="0" xfId="0" applyFont="1"/>
    <xf numFmtId="0" fontId="32" fillId="0" borderId="0" xfId="0" applyFont="1"/>
    <xf numFmtId="14" fontId="31" fillId="0" borderId="1" xfId="0" applyNumberFormat="1" applyFont="1" applyBorder="1"/>
    <xf numFmtId="4" fontId="31" fillId="0" borderId="1" xfId="0" applyNumberFormat="1" applyFont="1" applyBorder="1"/>
    <xf numFmtId="0" fontId="31" fillId="0" borderId="1" xfId="0" applyFont="1" applyBorder="1"/>
    <xf numFmtId="0" fontId="31" fillId="0" borderId="1" xfId="0" applyFont="1" applyBorder="1" applyAlignment="1">
      <alignment horizontal="left"/>
    </xf>
    <xf numFmtId="0" fontId="31" fillId="0" borderId="1" xfId="0" applyFont="1" applyBorder="1" applyAlignment="1">
      <alignment horizontal="right"/>
    </xf>
    <xf numFmtId="14" fontId="33" fillId="0" borderId="1" xfId="0" applyNumberFormat="1" applyFont="1" applyBorder="1"/>
    <xf numFmtId="4" fontId="33" fillId="0" borderId="1" xfId="0" applyNumberFormat="1" applyFont="1" applyBorder="1"/>
    <xf numFmtId="0" fontId="33" fillId="0" borderId="1" xfId="0" applyFont="1" applyBorder="1"/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right"/>
    </xf>
    <xf numFmtId="3" fontId="31" fillId="0" borderId="1" xfId="0" applyNumberFormat="1" applyFont="1" applyBorder="1"/>
    <xf numFmtId="0" fontId="32" fillId="0" borderId="1" xfId="0" applyFont="1" applyBorder="1"/>
    <xf numFmtId="14" fontId="31" fillId="0" borderId="2" xfId="0" applyNumberFormat="1" applyFont="1" applyBorder="1"/>
    <xf numFmtId="4" fontId="31" fillId="0" borderId="2" xfId="0" applyNumberFormat="1" applyFont="1" applyBorder="1"/>
    <xf numFmtId="14" fontId="31" fillId="0" borderId="15" xfId="0" applyNumberFormat="1" applyFont="1" applyBorder="1"/>
    <xf numFmtId="4" fontId="31" fillId="0" borderId="15" xfId="0" applyNumberFormat="1" applyFont="1" applyBorder="1"/>
    <xf numFmtId="0" fontId="31" fillId="0" borderId="15" xfId="0" applyFont="1" applyBorder="1"/>
    <xf numFmtId="0" fontId="32" fillId="0" borderId="15" xfId="0" applyFont="1" applyBorder="1"/>
    <xf numFmtId="3" fontId="31" fillId="0" borderId="15" xfId="0" applyNumberFormat="1" applyFont="1" applyBorder="1"/>
    <xf numFmtId="0" fontId="31" fillId="0" borderId="15" xfId="0" applyFont="1" applyBorder="1" applyAlignment="1">
      <alignment horizontal="left"/>
    </xf>
    <xf numFmtId="0" fontId="31" fillId="0" borderId="15" xfId="0" applyFont="1" applyBorder="1" applyAlignment="1">
      <alignment horizontal="right"/>
    </xf>
    <xf numFmtId="15" fontId="32" fillId="0" borderId="0" xfId="0" applyNumberFormat="1" applyFont="1"/>
    <xf numFmtId="14" fontId="31" fillId="0" borderId="15" xfId="0" applyNumberFormat="1" applyFont="1" applyBorder="1" applyAlignment="1">
      <alignment horizontal="right"/>
    </xf>
    <xf numFmtId="167" fontId="31" fillId="0" borderId="15" xfId="0" applyNumberFormat="1" applyFont="1" applyBorder="1" applyAlignment="1">
      <alignment horizontal="right"/>
    </xf>
    <xf numFmtId="0" fontId="34" fillId="0" borderId="15" xfId="0" applyFont="1" applyBorder="1"/>
    <xf numFmtId="14" fontId="11" fillId="12" borderId="20" xfId="0" applyNumberFormat="1" applyFont="1" applyFill="1" applyBorder="1"/>
    <xf numFmtId="0" fontId="11" fillId="0" borderId="20" xfId="0" applyFont="1" applyBorder="1"/>
    <xf numFmtId="4" fontId="11" fillId="12" borderId="20" xfId="0" applyNumberFormat="1" applyFont="1" applyFill="1" applyBorder="1"/>
    <xf numFmtId="0" fontId="11" fillId="0" borderId="6" xfId="0" applyFont="1" applyBorder="1"/>
    <xf numFmtId="165" fontId="4" fillId="0" borderId="2" xfId="0" applyNumberFormat="1" applyFont="1" applyBorder="1" applyAlignment="1">
      <alignment horizontal="right"/>
    </xf>
    <xf numFmtId="0" fontId="20" fillId="0" borderId="8" xfId="0" applyFont="1" applyBorder="1"/>
    <xf numFmtId="165" fontId="8" fillId="0" borderId="2" xfId="0" applyNumberFormat="1" applyFont="1" applyBorder="1" applyAlignment="1">
      <alignment horizontal="right"/>
    </xf>
    <xf numFmtId="165" fontId="4" fillId="8" borderId="2" xfId="0" applyNumberFormat="1" applyFont="1" applyFill="1" applyBorder="1" applyAlignment="1">
      <alignment horizontal="right"/>
    </xf>
    <xf numFmtId="164" fontId="0" fillId="0" borderId="16" xfId="0" applyNumberFormat="1" applyFill="1" applyBorder="1"/>
    <xf numFmtId="14" fontId="31" fillId="0" borderId="0" xfId="0" applyNumberFormat="1" applyFont="1" applyBorder="1"/>
    <xf numFmtId="14" fontId="31" fillId="0" borderId="1" xfId="0" applyNumberFormat="1" applyFont="1" applyBorder="1" applyAlignment="1">
      <alignment horizontal="right"/>
    </xf>
    <xf numFmtId="0" fontId="31" fillId="0" borderId="2" xfId="0" applyFont="1" applyBorder="1" applyAlignment="1">
      <alignment horizontal="left"/>
    </xf>
    <xf numFmtId="0" fontId="31" fillId="0" borderId="2" xfId="0" applyFont="1" applyBorder="1" applyAlignment="1">
      <alignment horizontal="right"/>
    </xf>
    <xf numFmtId="14" fontId="31" fillId="0" borderId="0" xfId="0" applyNumberFormat="1" applyFont="1" applyBorder="1" applyAlignment="1">
      <alignment horizontal="right"/>
    </xf>
    <xf numFmtId="0" fontId="31" fillId="0" borderId="0" xfId="0" applyFont="1" applyBorder="1" applyAlignment="1">
      <alignment horizontal="right"/>
    </xf>
    <xf numFmtId="167" fontId="31" fillId="0" borderId="0" xfId="0" applyNumberFormat="1" applyFont="1" applyBorder="1"/>
    <xf numFmtId="14" fontId="32" fillId="0" borderId="0" xfId="0" applyNumberFormat="1" applyFont="1" applyBorder="1"/>
    <xf numFmtId="14" fontId="32" fillId="0" borderId="15" xfId="0" applyNumberFormat="1" applyFont="1" applyBorder="1"/>
    <xf numFmtId="0" fontId="31" fillId="0" borderId="0" xfId="0" applyFont="1" applyBorder="1"/>
    <xf numFmtId="15" fontId="32" fillId="0" borderId="15" xfId="0" applyNumberFormat="1" applyFont="1" applyBorder="1"/>
    <xf numFmtId="14" fontId="18" fillId="0" borderId="0" xfId="0" applyNumberFormat="1" applyFont="1" applyBorder="1"/>
    <xf numFmtId="0" fontId="18" fillId="0" borderId="0" xfId="0" applyFont="1" applyBorder="1"/>
    <xf numFmtId="3" fontId="31" fillId="0" borderId="2" xfId="0" applyNumberFormat="1" applyFont="1" applyBorder="1"/>
    <xf numFmtId="164" fontId="0" fillId="0" borderId="0" xfId="0" applyNumberFormat="1"/>
  </cellXfs>
  <cellStyles count="1">
    <cellStyle name="Normal" xfId="0" builtinId="0"/>
  </cellStyles>
  <dxfs count="23"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loyd Thomas" refreshedDate="45101.357459375002" createdVersion="8" refreshedVersion="8" minRefreshableVersion="3" recordCount="908" xr:uid="{B1FADB65-CE77-244C-BAA4-6BF526A1E3C8}">
  <cacheSource type="worksheet">
    <worksheetSource ref="A1:H904" sheet="Transaction All"/>
  </cacheSource>
  <cacheFields count="8">
    <cacheField name="Date" numFmtId="0">
      <sharedItems containsDate="1" containsMixedTypes="1" minDate="2016-05-23T00:00:00" maxDate="2023-12-05T00:00:00"/>
    </cacheField>
    <cacheField name="Amount" numFmtId="4">
      <sharedItems containsSemiMixedTypes="0" containsString="0" containsNumber="1" minValue="-335250" maxValue="50000"/>
    </cacheField>
    <cacheField name="Ex GST" numFmtId="4">
      <sharedItems containsSemiMixedTypes="0" containsString="0" containsNumber="1" minValue="-335250" maxValue="50000"/>
    </cacheField>
    <cacheField name="GST" numFmtId="0">
      <sharedItems containsString="0" containsBlank="1" containsNumber="1" minValue="-9849.8109090909093" maxValue="100"/>
    </cacheField>
    <cacheField name="Description" numFmtId="0">
      <sharedItems containsBlank="1"/>
    </cacheField>
    <cacheField name="Category " numFmtId="0">
      <sharedItems count="13">
        <s v="1 Site Aquistion"/>
        <s v="8 Contribution"/>
        <s v="Income"/>
        <s v="6 Holding Cost"/>
        <s v="2 Planning"/>
        <s v="Other"/>
        <s v="Project Management"/>
        <s v="5 Legals"/>
        <s v="7 Subdivision "/>
        <s v="4 Finance"/>
        <s v="3 Build"/>
        <s v="Termination"/>
        <s v="Sales"/>
      </sharedItems>
    </cacheField>
    <cacheField name="Sub Cat 1" numFmtId="0">
      <sharedItems containsBlank="1" count="54">
        <s v="Deposit - Land"/>
        <s v="Settlement - Land"/>
        <s v="Loan"/>
        <s v="Lloyd"/>
        <s v="Rent"/>
        <s v="Andrew"/>
        <s v="Interest"/>
        <s v="Rates"/>
        <s v="Town Planning"/>
        <s v="Initial Purchse"/>
        <s v="Gift"/>
        <s v="Insurance"/>
        <s v="Settlement"/>
        <s v="Utility - Water"/>
        <s v="Credit"/>
        <s v="Reno"/>
        <s v="Utility - Electricity"/>
        <s v="Bank Fee"/>
        <s v="Maintenance"/>
        <s v="Preoperty Management"/>
        <s v="Building Permit"/>
        <m/>
        <s v="Lewis"/>
        <s v="Eval"/>
        <s v="Education"/>
        <s v="Land Tax"/>
        <s v="Pre Build"/>
        <s v="Deposit"/>
        <s v="Fee"/>
        <s v="Broker Fees"/>
        <s v="Admin (Legal)"/>
        <s v="GST Payment"/>
        <s v="Bank Credit"/>
        <s v="Building Warrenty"/>
        <s v="Services"/>
        <s v="Settlement - Construction"/>
        <s v="Variation"/>
        <s v="QS Report"/>
        <s v="Base"/>
        <s v="Slab"/>
        <s v="Frame"/>
        <s v="Plumbing Application"/>
        <s v="Utility - Build"/>
        <s v="Twenty20"/>
        <s v="JCL"/>
        <s v="Barrister"/>
        <s v="Expert Report"/>
        <s v="Lockup"/>
        <s v="Video Cameras"/>
        <s v="Fencing"/>
        <s v="Locks"/>
        <s v="Defects"/>
        <s v="Company Fee"/>
        <s v="Advertising"/>
      </sharedItems>
    </cacheField>
    <cacheField name="Sub Cat 2" numFmtId="0">
      <sharedItems containsBlank="1" containsMixedTypes="1" containsNumber="1" containsInteger="1" minValue="68" maxValue="70" count="28">
        <n v="68"/>
        <n v="70"/>
        <m/>
        <s v="Architecture"/>
        <s v="Land Surveyor"/>
        <s v="Council"/>
        <s v="Town Planner"/>
        <s v="Traffic Engineer"/>
        <s v="Renders"/>
        <s v="Accounting Advise"/>
        <s v="Energy Report"/>
        <s v="MTK"/>
        <s v="CharterChkeck"/>
        <s v="Engineering"/>
        <s v="Demolition"/>
        <s v="IBhomes"/>
        <s v="Fencing"/>
        <s v="Holden Capital"/>
        <s v="Trilogy"/>
        <s v="CityWest Water"/>
        <s v="VBA"/>
        <s v="Mitchelle Brandtman"/>
        <s v="Drabecca"/>
        <s v="iDetect"/>
        <s v="Clem"/>
        <s v="Spot On Consulting"/>
        <s v="Clancy"/>
        <s v="Beyo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loyd Thomas" refreshedDate="45483.345270254627" createdVersion="8" refreshedVersion="8" minRefreshableVersion="3" recordCount="1003" xr:uid="{0F72D554-2066-6548-B628-2E62B373C2EE}">
  <cacheSource type="worksheet">
    <worksheetSource ref="A1:H1017" sheet="Transaction All"/>
  </cacheSource>
  <cacheFields count="8">
    <cacheField name="Date" numFmtId="0">
      <sharedItems containsDate="1" containsBlank="1" containsMixedTypes="1" minDate="2016-05-23T00:00:00" maxDate="2023-12-05T00:00:00"/>
    </cacheField>
    <cacheField name="Amount" numFmtId="0">
      <sharedItems containsString="0" containsBlank="1" containsNumber="1" minValue="-335250" maxValue="50000"/>
    </cacheField>
    <cacheField name="Ex GST" numFmtId="0">
      <sharedItems containsString="0" containsBlank="1" containsNumber="1" minValue="-335250" maxValue="50000"/>
    </cacheField>
    <cacheField name="GST" numFmtId="0">
      <sharedItems containsString="0" containsBlank="1" containsNumber="1" minValue="-9849.8109090909093" maxValue="100"/>
    </cacheField>
    <cacheField name="Description" numFmtId="0">
      <sharedItems containsBlank="1"/>
    </cacheField>
    <cacheField name="Category " numFmtId="0">
      <sharedItems containsBlank="1" count="14">
        <s v="1 Site Aquistion"/>
        <s v="8 Contribution"/>
        <s v="Income"/>
        <s v="6 Holding Cost"/>
        <s v="2 Planning"/>
        <s v="Other"/>
        <s v="Project Management"/>
        <s v="5 Legals"/>
        <s v="7 Subdivision "/>
        <s v="4 Finance"/>
        <s v="3 Build"/>
        <s v="Termination"/>
        <s v="Sales"/>
        <m/>
      </sharedItems>
    </cacheField>
    <cacheField name="Sub Cat 1" numFmtId="0">
      <sharedItems containsBlank="1" count="60">
        <s v="Deposit - Land"/>
        <s v="Settlement - Land"/>
        <s v="Loan"/>
        <s v="Lloyd"/>
        <s v="Rent"/>
        <s v="Andrew"/>
        <s v="Interest"/>
        <s v="Rates"/>
        <s v="Town Planning"/>
        <s v="Initial Purchse"/>
        <s v="Gift"/>
        <s v="Insurance"/>
        <s v="Settlement"/>
        <s v="Utility - Water"/>
        <s v="Credit"/>
        <s v="Reno"/>
        <s v="Utility - Electricity"/>
        <s v="Bank Fee"/>
        <s v="Maintenance"/>
        <s v="Preoperty Management"/>
        <s v="Building Permit"/>
        <m/>
        <s v="Lewis"/>
        <s v="Eval"/>
        <s v="Education"/>
        <s v="Land Tax"/>
        <s v="Pre Build"/>
        <s v="Deposit"/>
        <s v="Fee"/>
        <s v="Broker Fees"/>
        <s v="Admin (Legal)"/>
        <s v="GST Payment"/>
        <s v="Bank Credit"/>
        <s v="Building Warrenty"/>
        <s v="Services"/>
        <s v="Settlement - Construction"/>
        <s v="Admin and Monitoring"/>
        <s v="Application and Extension Fees"/>
        <s v="Progress and Other Fees"/>
        <s v="Variation"/>
        <s v="QS Report"/>
        <s v="Base"/>
        <s v="Slab"/>
        <s v="GST"/>
        <s v="Frame"/>
        <s v="Plumbing Application"/>
        <s v="Utility - Build"/>
        <s v="Twenty20"/>
        <s v="JCL"/>
        <s v="Barrister"/>
        <s v="Expert Report"/>
        <s v="Lockup"/>
        <s v="Video Cameras"/>
        <s v="Fencing"/>
        <s v="Locks"/>
        <s v="Company Fee"/>
        <s v="Defects"/>
        <s v="Extension Fee"/>
        <s v="Advertising"/>
        <s v="Professional Fees"/>
      </sharedItems>
    </cacheField>
    <cacheField name="Sub Cat 2" numFmtId="0">
      <sharedItems containsBlank="1" containsMixedTypes="1" containsNumber="1" containsInteger="1" minValue="68" maxValue="70" count="28">
        <n v="68"/>
        <n v="70"/>
        <m/>
        <s v="Architecture"/>
        <s v="Land Surveyor"/>
        <s v="Council"/>
        <s v="Town Planner"/>
        <s v="Traffic Engineer"/>
        <s v="Renders"/>
        <s v="Accounting Advise"/>
        <s v="Energy Report"/>
        <s v="MTK"/>
        <s v="CharterChkeck"/>
        <s v="Engineering"/>
        <s v="Demolition"/>
        <s v="IBhomes"/>
        <s v="Fencing"/>
        <s v="Holden Capital"/>
        <s v="Trilogy"/>
        <s v="CityWest Water"/>
        <s v="VBA"/>
        <s v="Mitchelle Brandtman"/>
        <s v="Drabecca"/>
        <s v="iDetect"/>
        <s v="Clem"/>
        <s v="Spot On Consulting"/>
        <s v="Clancy"/>
        <s v="Beyo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8">
  <r>
    <d v="2016-05-23T00:00:00"/>
    <n v="-30000"/>
    <n v="-30000"/>
    <n v="0"/>
    <s v="Deposit for 68 Tyquin St"/>
    <x v="0"/>
    <x v="0"/>
    <x v="0"/>
  </r>
  <r>
    <d v="2016-05-23T00:00:00"/>
    <n v="-15656"/>
    <n v="-15656"/>
    <n v="0"/>
    <s v="Settlement Costs (Stamps, Legals etc)"/>
    <x v="0"/>
    <x v="1"/>
    <x v="0"/>
  </r>
  <r>
    <d v="2016-05-23T00:00:00"/>
    <n v="-37250"/>
    <n v="-37250"/>
    <n v="0"/>
    <s v="Deposit for 70 Tyquin St"/>
    <x v="0"/>
    <x v="0"/>
    <x v="1"/>
  </r>
  <r>
    <d v="2016-05-23T00:00:00"/>
    <n v="-26962"/>
    <n v="-26962"/>
    <n v="0"/>
    <s v="Settlement Costs (Stamps, Legals etc)"/>
    <x v="0"/>
    <x v="1"/>
    <x v="1"/>
  </r>
  <r>
    <d v="2016-05-23T00:00:00"/>
    <n v="-270000"/>
    <n v="-270000"/>
    <n v="0"/>
    <s v="Land Loan - 68 Tyquin St"/>
    <x v="0"/>
    <x v="2"/>
    <x v="2"/>
  </r>
  <r>
    <d v="2016-05-23T00:00:00"/>
    <n v="-335250"/>
    <n v="-335250"/>
    <n v="0"/>
    <s v="Land Loan - 70 Tyquin St"/>
    <x v="0"/>
    <x v="2"/>
    <x v="2"/>
  </r>
  <r>
    <d v="2016-05-23T00:00:00"/>
    <n v="250"/>
    <n v="250"/>
    <n v="0"/>
    <s v="Transfer from xx4836 CommBank app Tyquin St"/>
    <x v="1"/>
    <x v="3"/>
    <x v="2"/>
  </r>
  <r>
    <d v="2016-05-23T00:00:00"/>
    <n v="1150.07"/>
    <n v="1150.07"/>
    <n v="0"/>
    <s v="Direct Credit 302416 Barlow McEwan Tr RENT PAYMNT THOM"/>
    <x v="2"/>
    <x v="4"/>
    <x v="0"/>
  </r>
  <r>
    <d v="2016-05-25T00:00:00"/>
    <n v="250"/>
    <n v="250"/>
    <n v="0"/>
    <s v="Direct Credit 421520 ANDREW MANOKARAN Mano"/>
    <x v="1"/>
    <x v="5"/>
    <x v="2"/>
  </r>
  <r>
    <d v="2016-05-27T00:00:00"/>
    <n v="-931.14"/>
    <n v="-931.14"/>
    <n v="0"/>
    <s v="Direct Debit 012179 Advantedge PTVL ADV"/>
    <x v="3"/>
    <x v="6"/>
    <x v="0"/>
  </r>
  <r>
    <d v="2016-05-27T00:00:00"/>
    <n v="-501.27"/>
    <n v="-501.27"/>
    <n v="0"/>
    <s v="Direct Debit 012179 Advantedge PTVL ADV"/>
    <x v="3"/>
    <x v="6"/>
    <x v="0"/>
  </r>
  <r>
    <d v="2016-06-02T00:00:00"/>
    <n v="5000"/>
    <n v="5000"/>
    <n v="0"/>
    <s v="Direct Credit 421520 ANDREW MANOKARAN Andrew"/>
    <x v="1"/>
    <x v="5"/>
    <x v="2"/>
  </r>
  <r>
    <d v="2016-06-03T00:00:00"/>
    <n v="5000"/>
    <n v="5000"/>
    <n v="0"/>
    <s v="Direct Credit 421520 ANDREW MANOKARAN Andrew Tyquin"/>
    <x v="1"/>
    <x v="5"/>
    <x v="2"/>
  </r>
  <r>
    <d v="2016-06-03T00:00:00"/>
    <n v="10000"/>
    <n v="10000"/>
    <n v="0"/>
    <s v="Direct Credit 421520 LLOYD THOMAS"/>
    <x v="1"/>
    <x v="3"/>
    <x v="2"/>
  </r>
  <r>
    <d v="2016-06-07T00:00:00"/>
    <n v="1500"/>
    <n v="1500"/>
    <n v="0"/>
    <s v="Direct Credit 421520 ANDREW MANOKARAN Andrew Tyquin"/>
    <x v="1"/>
    <x v="5"/>
    <x v="2"/>
  </r>
  <r>
    <d v="2016-06-07T00:00:00"/>
    <n v="1500"/>
    <n v="1500"/>
    <n v="0"/>
    <s v="Transfer from xx4836 CommBank app Tyquin settlement"/>
    <x v="1"/>
    <x v="3"/>
    <x v="2"/>
  </r>
  <r>
    <d v="2016-06-09T00:00:00"/>
    <n v="-279"/>
    <n v="-279"/>
    <n v="0"/>
    <s v="HOBSONS BAY COUNCIL  NetBank BPAY 39032 59020006808 "/>
    <x v="3"/>
    <x v="7"/>
    <x v="0"/>
  </r>
  <r>
    <d v="2016-06-12T00:00:00"/>
    <n v="-550"/>
    <n v="-550"/>
    <n v="0"/>
    <s v="Transfer to xx4836 NetBank 68 Feasibility Rep"/>
    <x v="4"/>
    <x v="8"/>
    <x v="3"/>
  </r>
  <r>
    <d v="2016-06-12T00:00:00"/>
    <n v="-500"/>
    <n v="-500"/>
    <n v="0"/>
    <s v="Transfer to xx4836 NetBank 68 Initial Deposit"/>
    <x v="1"/>
    <x v="9"/>
    <x v="2"/>
  </r>
  <r>
    <d v="2016-06-16T00:00:00"/>
    <n v="400"/>
    <n v="400"/>
    <n v="0"/>
    <s v="Direct Credit 421520 ANDREW MANOKARAN Mano"/>
    <x v="1"/>
    <x v="5"/>
    <x v="2"/>
  </r>
  <r>
    <d v="2016-06-21T00:00:00"/>
    <n v="1139.07"/>
    <n v="1139.07"/>
    <n v="0"/>
    <s v="Direct Credit 302416 Barlow McEwan Tr RENT PAYMNT THOM"/>
    <x v="2"/>
    <x v="4"/>
    <x v="0"/>
  </r>
  <r>
    <d v="2016-06-27T00:00:00"/>
    <n v="-518.23"/>
    <n v="-518.23"/>
    <n v="0"/>
    <s v="Direct Debit 012179 Advantedge PTVL ADV"/>
    <x v="3"/>
    <x v="6"/>
    <x v="0"/>
  </r>
  <r>
    <d v="2016-06-27T00:00:00"/>
    <n v="-502.69"/>
    <n v="-502.69"/>
    <n v="0"/>
    <s v="Direct Debit 012179 Advantedge PTVL ADV"/>
    <x v="3"/>
    <x v="6"/>
    <x v="0"/>
  </r>
  <r>
    <d v="2016-06-29T00:00:00"/>
    <n v="400"/>
    <n v="400"/>
    <n v="0"/>
    <s v="Transfer from xx4836 NetBank tyquin st LT"/>
    <x v="1"/>
    <x v="3"/>
    <x v="2"/>
  </r>
  <r>
    <d v="2016-06-30T00:00:00"/>
    <n v="-1210"/>
    <n v="-1210"/>
    <n v="0"/>
    <s v="Transfer to other Bank NetBank 68 70 Tyquin St"/>
    <x v="4"/>
    <x v="8"/>
    <x v="3"/>
  </r>
  <r>
    <d v="2016-07-04T00:00:00"/>
    <n v="600"/>
    <n v="600"/>
    <n v="0"/>
    <s v="Direct Credit 421520 ANDREW MANOKARAN Andrew Architect"/>
    <x v="1"/>
    <x v="5"/>
    <x v="2"/>
  </r>
  <r>
    <d v="2016-07-08T00:00:00"/>
    <n v="-70"/>
    <n v="-70"/>
    <n v="0"/>
    <s v="Transfer to xx1274 NetBank Jo Flowers Champag"/>
    <x v="5"/>
    <x v="10"/>
    <x v="2"/>
  </r>
  <r>
    <d v="2016-07-08T00:00:00"/>
    <n v="600"/>
    <n v="600"/>
    <n v="0"/>
    <s v="Transfer from xx8740 NetBank TyquinArchitectFes"/>
    <x v="1"/>
    <x v="3"/>
    <x v="2"/>
  </r>
  <r>
    <d v="2016-07-15T00:00:00"/>
    <n v="-62.79"/>
    <n v="-62.79"/>
    <n v="0"/>
    <s v="Direct Debit 452599 AAMI PI HPL071936456"/>
    <x v="3"/>
    <x v="11"/>
    <x v="0"/>
  </r>
  <r>
    <d v="2016-07-18T00:00:00"/>
    <n v="400"/>
    <n v="400"/>
    <n v="0"/>
    <s v="Direct Credit 421520 ANDREW MANOKARAN Mano"/>
    <x v="1"/>
    <x v="5"/>
    <x v="2"/>
  </r>
  <r>
    <d v="2016-07-21T00:00:00"/>
    <n v="1150.07"/>
    <n v="1150.07"/>
    <n v="0"/>
    <s v="Direct Credit 302416 Barlow McEwan Tr RENT PAYMNT THOM"/>
    <x v="2"/>
    <x v="4"/>
    <x v="0"/>
  </r>
  <r>
    <d v="2016-07-26T00:00:00"/>
    <n v="2500"/>
    <n v="2500"/>
    <n v="0"/>
    <s v="Direct Credit 421520 ANDREW MANOKARAN Andrew 70tyquin"/>
    <x v="1"/>
    <x v="5"/>
    <x v="2"/>
  </r>
  <r>
    <d v="2016-07-27T00:00:00"/>
    <n v="-486.49"/>
    <n v="-486.49"/>
    <n v="0"/>
    <s v="Direct Debit 012179 Advantedge PTVL ADV"/>
    <x v="3"/>
    <x v="6"/>
    <x v="0"/>
  </r>
  <r>
    <d v="2016-07-27T00:00:00"/>
    <n v="-473.09"/>
    <n v="-473.09"/>
    <n v="0"/>
    <s v="Direct Debit 012179 Advantedge PTVL ADV"/>
    <x v="3"/>
    <x v="6"/>
    <x v="0"/>
  </r>
  <r>
    <d v="2016-07-28T00:00:00"/>
    <n v="-28000"/>
    <n v="-28000"/>
    <n v="0"/>
    <s v="Transfer to other Bank NetBank Settlement"/>
    <x v="1"/>
    <x v="12"/>
    <x v="2"/>
  </r>
  <r>
    <d v="2016-07-28T00:00:00"/>
    <n v="2500"/>
    <n v="2500"/>
    <n v="0"/>
    <s v="Transfer from xx8740 CommBank app Settlement"/>
    <x v="1"/>
    <x v="3"/>
    <x v="2"/>
  </r>
  <r>
    <d v="2016-08-01T00:00:00"/>
    <n v="-64.69"/>
    <n v="-64.69"/>
    <n v="0"/>
    <s v="Direct Debit 452599 AAMI PI HPL077169729"/>
    <x v="3"/>
    <x v="11"/>
    <x v="1"/>
  </r>
  <r>
    <d v="2016-08-02T00:00:00"/>
    <n v="-601"/>
    <n v="-601"/>
    <n v="0"/>
    <s v="Transfer to other Bank NetBank deposit interest"/>
    <x v="3"/>
    <x v="6"/>
    <x v="1"/>
  </r>
  <r>
    <d v="2016-08-02T00:00:00"/>
    <n v="21"/>
    <n v="21"/>
    <n v="0"/>
    <s v="Transfer from xx4836 NetBank Top Up"/>
    <x v="1"/>
    <x v="3"/>
    <x v="2"/>
  </r>
  <r>
    <d v="2016-08-02T00:00:00"/>
    <n v="400"/>
    <n v="400"/>
    <n v="0"/>
    <s v="Transfer from xx4836 NetBank Tyquin St Project"/>
    <x v="1"/>
    <x v="3"/>
    <x v="2"/>
  </r>
  <r>
    <d v="2016-08-04T00:00:00"/>
    <n v="2500"/>
    <n v="2500"/>
    <n v="0"/>
    <s v="Direct Credit 421520 ANDREW MANOKARAN Andrew 70 Tyquin"/>
    <x v="1"/>
    <x v="5"/>
    <x v="2"/>
  </r>
  <r>
    <d v="2016-08-06T00:00:00"/>
    <n v="-2255"/>
    <n v="-2255"/>
    <n v="0"/>
    <s v="Transfer to other Bank NetBank Tyquin St Lloyd"/>
    <x v="4"/>
    <x v="8"/>
    <x v="4"/>
  </r>
  <r>
    <d v="2016-08-06T00:00:00"/>
    <n v="-216.58"/>
    <n v="-216.58"/>
    <n v="0"/>
    <s v="CITY WEST WATER      NetBank BPAY 8789 121739220138"/>
    <x v="3"/>
    <x v="13"/>
    <x v="0"/>
  </r>
  <r>
    <d v="2016-08-06T00:00:00"/>
    <n v="2500"/>
    <n v="2500"/>
    <n v="0"/>
    <s v="Transfer from xx4836 NetBank 70 Tyquin Reno"/>
    <x v="1"/>
    <x v="3"/>
    <x v="2"/>
  </r>
  <r>
    <d v="2016-08-08T00:00:00"/>
    <n v="82"/>
    <n v="82"/>
    <n v="0"/>
    <s v="Direct Credit 106600 LLOYD THOMAS Left over from Set"/>
    <x v="1"/>
    <x v="14"/>
    <x v="2"/>
  </r>
  <r>
    <d v="2016-08-13T00:00:00"/>
    <n v="-2000"/>
    <n v="-2000"/>
    <n v="0"/>
    <s v="Transfer to CBA A/c NetBank TyquinRenoPayment1"/>
    <x v="3"/>
    <x v="15"/>
    <x v="2"/>
  </r>
  <r>
    <d v="2016-08-16T00:00:00"/>
    <n v="-62.79"/>
    <n v="-62.79"/>
    <n v="0"/>
    <s v="Direct Debit 452599 AAMI PI HPL071936456"/>
    <x v="3"/>
    <x v="11"/>
    <x v="0"/>
  </r>
  <r>
    <d v="2016-08-16T00:00:00"/>
    <n v="400"/>
    <n v="400"/>
    <n v="0"/>
    <s v="Direct Credit 421520 ANDREW MANOKARAN Mano"/>
    <x v="1"/>
    <x v="5"/>
    <x v="2"/>
  </r>
  <r>
    <d v="2016-08-22T00:00:00"/>
    <n v="1150.07"/>
    <n v="1150.07"/>
    <n v="0"/>
    <s v="Direct Credit 302416 Barlow McEwan Tr RENT PAYMNT THOM"/>
    <x v="2"/>
    <x v="4"/>
    <x v="0"/>
  </r>
  <r>
    <d v="2016-08-22T00:00:00"/>
    <n v="1400"/>
    <n v="1400"/>
    <n v="0"/>
    <s v="Direct Credit 421520 ANDREW MANOKARAN"/>
    <x v="1"/>
    <x v="5"/>
    <x v="2"/>
  </r>
  <r>
    <d v="2016-08-23T00:00:00"/>
    <n v="1500"/>
    <n v="1500"/>
    <n v="0"/>
    <s v="Transfer from xx8740 NetBank renovationpayment2"/>
    <x v="1"/>
    <x v="3"/>
    <x v="2"/>
  </r>
  <r>
    <d v="2016-08-26T00:00:00"/>
    <n v="-502.56"/>
    <n v="-502.56"/>
    <n v="0"/>
    <s v="Direct Debit 012179 Advantedge PTVL ADV"/>
    <x v="3"/>
    <x v="6"/>
    <x v="0"/>
  </r>
  <r>
    <d v="2016-08-26T00:00:00"/>
    <n v="-488.72"/>
    <n v="-488.72"/>
    <n v="0"/>
    <s v="Direct Debit 012179 Advantedge PTVL ADV"/>
    <x v="3"/>
    <x v="6"/>
    <x v="0"/>
  </r>
  <r>
    <d v="2016-08-29T00:00:00"/>
    <n v="-1560"/>
    <n v="-1560"/>
    <n v="0"/>
    <s v="Transfer to other Bank NetBank MPL3461 planlevy"/>
    <x v="4"/>
    <x v="8"/>
    <x v="5"/>
  </r>
  <r>
    <d v="2016-08-29T00:00:00"/>
    <n v="-1109.27"/>
    <n v="-1109.27"/>
    <n v="0"/>
    <s v="Direct Debit 000439 BANK-M S311052458400"/>
    <x v="3"/>
    <x v="6"/>
    <x v="1"/>
  </r>
  <r>
    <d v="2016-08-30T00:00:00"/>
    <n v="-64.69"/>
    <n v="-64.69"/>
    <n v="0"/>
    <s v="Direct Debit 452599 AAMI PI HPL077169729"/>
    <x v="3"/>
    <x v="11"/>
    <x v="1"/>
  </r>
  <r>
    <d v="2016-08-31T00:00:00"/>
    <n v="-2000"/>
    <n v="-2000"/>
    <n v="0"/>
    <s v="Transfer to CBA A/c CommBank app Tyquinrenopay2"/>
    <x v="3"/>
    <x v="15"/>
    <x v="2"/>
  </r>
  <r>
    <d v="2016-08-31T00:00:00"/>
    <n v="400"/>
    <n v="400"/>
    <n v="0"/>
    <s v="Transfer from xx4836 CommBank app TyquinMontlyPay"/>
    <x v="1"/>
    <x v="3"/>
    <x v="2"/>
  </r>
  <r>
    <d v="2016-08-31T00:00:00"/>
    <n v="1500"/>
    <n v="1500"/>
    <n v="0"/>
    <s v="Transfer from xx4836 CommBank app Tyquinrenopay3LT"/>
    <x v="1"/>
    <x v="3"/>
    <x v="2"/>
  </r>
  <r>
    <d v="2016-08-31T00:00:00"/>
    <n v="7500"/>
    <n v="7500"/>
    <n v="0"/>
    <s v="Transfer from xx4836 CommBank app TyquinplanpermitLT"/>
    <x v="1"/>
    <x v="3"/>
    <x v="2"/>
  </r>
  <r>
    <d v="2016-08-31T00:00:00"/>
    <n v="9000"/>
    <n v="9000"/>
    <n v="0"/>
    <s v="Direct Credit 421520 ANDREW MANOKARAN Andrew"/>
    <x v="1"/>
    <x v="5"/>
    <x v="2"/>
  </r>
  <r>
    <d v="2016-09-01T00:00:00"/>
    <n v="-843"/>
    <n v="-843"/>
    <n v="0"/>
    <s v="Transfer to other Bank CommBank app deposit loan pay"/>
    <x v="3"/>
    <x v="6"/>
    <x v="1"/>
  </r>
  <r>
    <d v="2016-09-03T00:00:00"/>
    <n v="-15453"/>
    <n v="-15453"/>
    <n v="0"/>
    <s v="Transfer to other Bank NetBank TyquinStProject LT"/>
    <x v="4"/>
    <x v="8"/>
    <x v="3"/>
  </r>
  <r>
    <d v="2016-09-11T00:00:00"/>
    <n v="-1500"/>
    <n v="-1500"/>
    <n v="0"/>
    <s v="Transfer to CBA A/c NetBank Tyquin Reno3"/>
    <x v="3"/>
    <x v="15"/>
    <x v="2"/>
  </r>
  <r>
    <d v="2016-09-11T00:00:00"/>
    <n v="500"/>
    <n v="500"/>
    <n v="0"/>
    <s v="Transfer from xx4836 NetBank TyquinPermit"/>
    <x v="1"/>
    <x v="3"/>
    <x v="2"/>
  </r>
  <r>
    <d v="2016-09-15T00:00:00"/>
    <n v="-62.79"/>
    <n v="-62.79"/>
    <n v="0"/>
    <s v="Direct Debit 452599 AAMI PI HPL071936456"/>
    <x v="3"/>
    <x v="11"/>
    <x v="0"/>
  </r>
  <r>
    <d v="2016-09-16T00:00:00"/>
    <n v="400"/>
    <n v="400"/>
    <n v="0"/>
    <s v="Direct Credit 421520 ANDREW MANOKARAN Mano"/>
    <x v="1"/>
    <x v="5"/>
    <x v="2"/>
  </r>
  <r>
    <d v="2016-09-21T00:00:00"/>
    <n v="1169.9100000000001"/>
    <n v="1169.9100000000001"/>
    <n v="0"/>
    <s v="Direct Credit 302416 Barlow McEwan Tr RENT PAYMNT THOM"/>
    <x v="2"/>
    <x v="4"/>
    <x v="0"/>
  </r>
  <r>
    <d v="2016-09-27T00:00:00"/>
    <n v="-497.61"/>
    <n v="-497.61"/>
    <n v="0"/>
    <s v="Direct Debit 012179 Advantedge PTVL ADV"/>
    <x v="3"/>
    <x v="6"/>
    <x v="0"/>
  </r>
  <r>
    <d v="2016-09-27T00:00:00"/>
    <n v="-483.9"/>
    <n v="-483.9"/>
    <n v="0"/>
    <s v="Direct Debit 012179 Advantedge PTVL ADV"/>
    <x v="3"/>
    <x v="6"/>
    <x v="0"/>
  </r>
  <r>
    <d v="2016-09-27T00:00:00"/>
    <n v="500"/>
    <n v="500"/>
    <n v="0"/>
    <s v="Transfer from xx8740 CommBank app Laptop"/>
    <x v="1"/>
    <x v="5"/>
    <x v="2"/>
  </r>
  <r>
    <d v="2016-09-28T00:00:00"/>
    <n v="-1145.9100000000001"/>
    <n v="-1145.9100000000001"/>
    <n v="0"/>
    <s v="Direct Debit 000439 BANK-M S311052458400"/>
    <x v="3"/>
    <x v="6"/>
    <x v="1"/>
  </r>
  <r>
    <d v="2016-09-29T00:00:00"/>
    <n v="400"/>
    <n v="400"/>
    <n v="0"/>
    <s v="Direct Credit 421520 ANDREW MANOKARAN Tyquin Street"/>
    <x v="1"/>
    <x v="5"/>
    <x v="2"/>
  </r>
  <r>
    <d v="2016-09-30T00:00:00"/>
    <n v="-64.69"/>
    <n v="-64.69"/>
    <n v="0"/>
    <s v="Direct Debit 452599 AAMI PI HPL077169729"/>
    <x v="3"/>
    <x v="11"/>
    <x v="1"/>
  </r>
  <r>
    <d v="2016-09-30T00:00:00"/>
    <n v="-56.93"/>
    <n v="-56.93"/>
    <n v="0"/>
    <s v="Transfer to CBA A/c NetBank Electricity Bill"/>
    <x v="3"/>
    <x v="16"/>
    <x v="2"/>
  </r>
  <r>
    <d v="2016-10-03T00:00:00"/>
    <n v="-275"/>
    <n v="-275"/>
    <n v="0"/>
    <s v="HOBSONS BAY COUNCIL  NetBank BPAY 39032 59020006808"/>
    <x v="3"/>
    <x v="7"/>
    <x v="0"/>
  </r>
  <r>
    <d v="2016-10-09T00:00:00"/>
    <n v="400"/>
    <n v="400"/>
    <n v="0"/>
    <s v="Transfer from xx4836 NetBank SeptPayment"/>
    <x v="1"/>
    <x v="3"/>
    <x v="2"/>
  </r>
  <r>
    <d v="2016-10-17T00:00:00"/>
    <n v="-810"/>
    <n v="-810"/>
    <n v="0"/>
    <s v="Transfer to xx4836 NetBank personalloanpaymen"/>
    <x v="3"/>
    <x v="6"/>
    <x v="1"/>
  </r>
  <r>
    <d v="2016-10-17T00:00:00"/>
    <n v="-62.79"/>
    <n v="-62.79"/>
    <n v="0"/>
    <s v="Direct Debit 452599 AAMI PI HPL071936456"/>
    <x v="3"/>
    <x v="11"/>
    <x v="0"/>
  </r>
  <r>
    <d v="2016-10-17T00:00:00"/>
    <n v="400"/>
    <n v="400"/>
    <n v="0"/>
    <s v="Direct Credit 421520 ANDREW MANOKARAN Mano"/>
    <x v="1"/>
    <x v="5"/>
    <x v="2"/>
  </r>
  <r>
    <d v="2016-10-17T00:00:00"/>
    <n v="400"/>
    <n v="400"/>
    <n v="0"/>
    <s v="Transfer from xx4836 NetBank Payment Extra"/>
    <x v="1"/>
    <x v="3"/>
    <x v="2"/>
  </r>
  <r>
    <d v="2016-10-24T00:00:00"/>
    <n v="1169.9100000000001"/>
    <n v="1169.9100000000001"/>
    <n v="0"/>
    <s v="Direct Credit 302416 Barlow McEwan Tr RENT PAYMNT THOM"/>
    <x v="2"/>
    <x v="4"/>
    <x v="0"/>
  </r>
  <r>
    <d v="2016-10-27T00:00:00"/>
    <n v="-475.01"/>
    <n v="-475.01"/>
    <n v="0"/>
    <s v="Direct Debit 012179 Advantedge PTVL ADV"/>
    <x v="3"/>
    <x v="6"/>
    <x v="0"/>
  </r>
  <r>
    <d v="2016-10-27T00:00:00"/>
    <n v="-461.93"/>
    <n v="-461.93"/>
    <n v="0"/>
    <s v="Direct Debit 012179 Advantedge PTVL ADV"/>
    <x v="3"/>
    <x v="6"/>
    <x v="0"/>
  </r>
  <r>
    <d v="2016-10-28T00:00:00"/>
    <n v="-1109.27"/>
    <n v="-1109.27"/>
    <n v="0"/>
    <s v="Direct Debit 000439 BANK-M S311052458400"/>
    <x v="3"/>
    <x v="6"/>
    <x v="1"/>
  </r>
  <r>
    <d v="2016-10-31T00:00:00"/>
    <n v="-1110"/>
    <n v="-1110"/>
    <n v="0"/>
    <s v="Transfer to other Bank NetBank loanrepaymentLT"/>
    <x v="3"/>
    <x v="6"/>
    <x v="1"/>
  </r>
  <r>
    <d v="2016-10-31T00:00:00"/>
    <n v="-5"/>
    <n v="-5"/>
    <n v="0"/>
    <s v="Unpaid Payment Fee Value Date: 28/10/2016"/>
    <x v="5"/>
    <x v="17"/>
    <x v="2"/>
  </r>
  <r>
    <d v="2016-10-31T00:00:00"/>
    <n v="400"/>
    <n v="400"/>
    <n v="0"/>
    <s v="Transfer from xx4836 NetBank Month Payment LT"/>
    <x v="1"/>
    <x v="3"/>
    <x v="2"/>
  </r>
  <r>
    <d v="2016-10-31T00:00:00"/>
    <n v="1109.27"/>
    <n v="1109.27"/>
    <n v="0"/>
    <s v="Return 28/10/16 Direct Debit 000439 BANK-M S311052458400 Value Date: 28/10/2016"/>
    <x v="3"/>
    <x v="6"/>
    <x v="1"/>
  </r>
  <r>
    <d v="2016-11-01T00:00:00"/>
    <n v="-64.69"/>
    <n v="-64.69"/>
    <n v="0"/>
    <s v="Direct Debit 452599 AAMI PI HPL077169729"/>
    <x v="3"/>
    <x v="11"/>
    <x v="1"/>
  </r>
  <r>
    <d v="2016-11-07T00:00:00"/>
    <n v="400"/>
    <n v="400"/>
    <n v="0"/>
    <s v="Direct Credit 421520 ANDREW MANOKARAN"/>
    <x v="1"/>
    <x v="5"/>
    <x v="2"/>
  </r>
  <r>
    <d v="2016-11-15T00:00:00"/>
    <n v="-62.79"/>
    <n v="-62.79"/>
    <n v="0"/>
    <s v="Direct Debit 452599 AAMI PI HPL071936456"/>
    <x v="3"/>
    <x v="11"/>
    <x v="0"/>
  </r>
  <r>
    <d v="2016-11-16T00:00:00"/>
    <n v="340"/>
    <n v="340"/>
    <n v="0"/>
    <s v="Direct Credit 421520 ANDREW MANOKARAN Advertising"/>
    <x v="1"/>
    <x v="5"/>
    <x v="2"/>
  </r>
  <r>
    <d v="2016-11-16T00:00:00"/>
    <n v="400"/>
    <n v="400"/>
    <n v="0"/>
    <s v="Direct Credit 421520 ANDREW MANOKARAN Mano"/>
    <x v="1"/>
    <x v="5"/>
    <x v="2"/>
  </r>
  <r>
    <d v="2016-11-17T00:00:00"/>
    <n v="-678"/>
    <n v="-678"/>
    <n v="0"/>
    <s v="Transfer to other Bank NetBank advertising"/>
    <x v="4"/>
    <x v="8"/>
    <x v="5"/>
  </r>
  <r>
    <d v="2016-11-17T00:00:00"/>
    <n v="500"/>
    <n v="500"/>
    <n v="0"/>
    <s v="Transfer from xx4836 NetBank First Rent"/>
    <x v="2"/>
    <x v="4"/>
    <x v="1"/>
  </r>
  <r>
    <d v="2016-11-22T00:00:00"/>
    <n v="1169.9100000000001"/>
    <n v="1169.9100000000001"/>
    <n v="0"/>
    <s v="Direct Credit 302416 Barlow McEwan Tr RENT PAYMNT THOM"/>
    <x v="2"/>
    <x v="4"/>
    <x v="0"/>
  </r>
  <r>
    <d v="2016-11-23T00:00:00"/>
    <n v="-500"/>
    <n v="-500"/>
    <n v="0"/>
    <s v="Transfer to xx4836 NetBank personal loan"/>
    <x v="3"/>
    <x v="6"/>
    <x v="1"/>
  </r>
  <r>
    <d v="2016-11-23T00:00:00"/>
    <n v="340"/>
    <n v="340"/>
    <n v="0"/>
    <s v="Transfer from xx4836 NetBank advertising"/>
    <x v="1"/>
    <x v="3"/>
    <x v="2"/>
  </r>
  <r>
    <d v="2016-11-23T00:00:00"/>
    <n v="400"/>
    <n v="400"/>
    <n v="0"/>
    <s v="Transfer from xx4836 NetBank TyquinStProjectLT"/>
    <x v="1"/>
    <x v="3"/>
    <x v="2"/>
  </r>
  <r>
    <d v="2016-11-23T00:00:00"/>
    <n v="500"/>
    <n v="500"/>
    <n v="0"/>
    <s v="Transfer from xx4836 NetBank personalpackback"/>
    <x v="3"/>
    <x v="6"/>
    <x v="1"/>
  </r>
  <r>
    <d v="2016-11-25T00:00:00"/>
    <n v="-490.73"/>
    <n v="-490.73"/>
    <n v="0"/>
    <s v="Direct Debit 012179 Advantedge PTVL ADV"/>
    <x v="3"/>
    <x v="6"/>
    <x v="0"/>
  </r>
  <r>
    <d v="2016-11-25T00:00:00"/>
    <n v="-477.21"/>
    <n v="-477.21"/>
    <n v="0"/>
    <s v="Direct Debit 012179 Advantedge PTVL ADV"/>
    <x v="3"/>
    <x v="6"/>
    <x v="0"/>
  </r>
  <r>
    <d v="2016-11-28T00:00:00"/>
    <n v="-1145.94"/>
    <n v="-1145.94"/>
    <n v="0"/>
    <s v="Direct Debit 000439 BANK-M S311052458400"/>
    <x v="3"/>
    <x v="6"/>
    <x v="1"/>
  </r>
  <r>
    <d v="2016-11-29T00:00:00"/>
    <n v="-500"/>
    <n v="-500"/>
    <n v="0"/>
    <s v="Transfer to xx4836 NetBank personal loan"/>
    <x v="3"/>
    <x v="6"/>
    <x v="1"/>
  </r>
  <r>
    <d v="2016-11-30T00:00:00"/>
    <n v="-64.69"/>
    <n v="-64.69"/>
    <n v="0"/>
    <s v="Direct Debit 452599 AAMI PI HPL077169729"/>
    <x v="3"/>
    <x v="11"/>
    <x v="1"/>
  </r>
  <r>
    <d v="2016-11-30T00:00:00"/>
    <n v="500"/>
    <n v="500"/>
    <n v="0"/>
    <s v="Transfer from xx4836 NetBank extraLTratesdoors"/>
    <x v="1"/>
    <x v="3"/>
    <x v="2"/>
  </r>
  <r>
    <d v="2016-12-01T00:00:00"/>
    <n v="-261.85000000000002"/>
    <n v="-261.85000000000002"/>
    <n v="0"/>
    <s v="HOBSONS BAY COUNCIL  NetBank BPAY 39032 59020006808"/>
    <x v="3"/>
    <x v="7"/>
    <x v="0"/>
  </r>
  <r>
    <d v="2016-12-01T00:00:00"/>
    <n v="1369"/>
    <n v="1369"/>
    <n v="0"/>
    <s v="Transfer from GURPINDER KAUR CommBank app rent70 Tyquin"/>
    <x v="2"/>
    <x v="4"/>
    <x v="1"/>
  </r>
  <r>
    <d v="2016-12-05T00:00:00"/>
    <n v="-500"/>
    <n v="-500"/>
    <n v="0"/>
    <s v="Transfer to CBA A/c NetBank 70Tyquin St Reno"/>
    <x v="3"/>
    <x v="15"/>
    <x v="2"/>
  </r>
  <r>
    <d v="2016-12-05T00:00:00"/>
    <n v="-300"/>
    <n v="-300"/>
    <n v="0"/>
    <s v="Transfer to CBA A/c NetBank 70TyquinDoors"/>
    <x v="3"/>
    <x v="18"/>
    <x v="1"/>
  </r>
  <r>
    <d v="2016-12-13T00:00:00"/>
    <n v="-50"/>
    <n v="-50"/>
    <n v="0"/>
    <s v="Transfer to CBA A/c NetBank 70TyquinPropertMgt"/>
    <x v="3"/>
    <x v="19"/>
    <x v="2"/>
  </r>
  <r>
    <d v="2016-12-15T00:00:00"/>
    <n v="-62.79"/>
    <n v="-62.79"/>
    <n v="0"/>
    <s v="Direct Debit 452599 AAMI PI HPL071936456"/>
    <x v="3"/>
    <x v="11"/>
    <x v="0"/>
  </r>
  <r>
    <d v="2016-12-16T00:00:00"/>
    <n v="400"/>
    <n v="400"/>
    <n v="0"/>
    <s v="Direct Credit 421520 ANDREW MANOKARAN Mano"/>
    <x v="1"/>
    <x v="5"/>
    <x v="2"/>
  </r>
  <r>
    <d v="2016-12-19T00:00:00"/>
    <n v="400"/>
    <n v="400"/>
    <n v="0"/>
    <s v="Transfer from xx4836 NetBank TyquinStProjectLT"/>
    <x v="1"/>
    <x v="3"/>
    <x v="2"/>
  </r>
  <r>
    <d v="2016-12-23T00:00:00"/>
    <n v="-474.88"/>
    <n v="-474.88"/>
    <n v="0"/>
    <s v="Direct Debit 012179 Advantedge PTVL ADV"/>
    <x v="3"/>
    <x v="6"/>
    <x v="0"/>
  </r>
  <r>
    <d v="2016-12-23T00:00:00"/>
    <n v="-461.8"/>
    <n v="-461.8"/>
    <n v="0"/>
    <s v="Direct Debit 012179 Advantedge PTVL ADV"/>
    <x v="3"/>
    <x v="6"/>
    <x v="0"/>
  </r>
  <r>
    <d v="2016-12-23T00:00:00"/>
    <n v="1169.9100000000001"/>
    <n v="1169.9100000000001"/>
    <n v="0"/>
    <s v="Direct Credit 302416 Barlow McEwan Tr RENT PAYMNT THOM"/>
    <x v="2"/>
    <x v="4"/>
    <x v="0"/>
  </r>
  <r>
    <d v="2016-12-28T00:00:00"/>
    <n v="-1109.3"/>
    <n v="-1109.3"/>
    <n v="0"/>
    <s v="Direct Debit 000439 BANK-M S311052458400"/>
    <x v="3"/>
    <x v="6"/>
    <x v="1"/>
  </r>
  <r>
    <d v="2016-12-30T00:00:00"/>
    <n v="-64.69"/>
    <n v="-64.69"/>
    <n v="0"/>
    <s v="Direct Debit 452599 AAMI PI HPL077169729"/>
    <x v="3"/>
    <x v="11"/>
    <x v="1"/>
  </r>
  <r>
    <d v="2017-01-03T00:00:00"/>
    <n v="1369"/>
    <n v="1369"/>
    <n v="0"/>
    <s v="Transfer from GURPINDER KAUR CommBank app rent70 Tyquin"/>
    <x v="2"/>
    <x v="4"/>
    <x v="1"/>
  </r>
  <r>
    <d v="2017-01-09T00:00:00"/>
    <n v="-1000"/>
    <n v="-1000"/>
    <n v="0"/>
    <s v="Transfer to CBA A/c NetBank reno payment"/>
    <x v="3"/>
    <x v="15"/>
    <x v="2"/>
  </r>
  <r>
    <d v="2017-01-09T00:00:00"/>
    <n v="-397"/>
    <n v="-397"/>
    <n v="0"/>
    <s v="Transfer to CBA A/c NetBank maintenance68and70"/>
    <x v="3"/>
    <x v="18"/>
    <x v="0"/>
  </r>
  <r>
    <d v="2017-01-13T00:00:00"/>
    <n v="-50"/>
    <n v="-50"/>
    <n v="0"/>
    <s v="Transfer to CBA A/c NetBank 70TyquinPropertMgt"/>
    <x v="3"/>
    <x v="19"/>
    <x v="2"/>
  </r>
  <r>
    <d v="2017-01-14T00:00:00"/>
    <n v="-550"/>
    <n v="-550"/>
    <n v="0"/>
    <s v="Transfer to CBA A/c NetBank reno final"/>
    <x v="3"/>
    <x v="15"/>
    <x v="2"/>
  </r>
  <r>
    <d v="2017-01-15T00:00:00"/>
    <n v="400"/>
    <n v="400"/>
    <n v="0"/>
    <s v="Transfer from xx4836 NetBank TyquinStProjectLT"/>
    <x v="1"/>
    <x v="3"/>
    <x v="2"/>
  </r>
  <r>
    <d v="2017-01-16T00:00:00"/>
    <n v="400"/>
    <n v="400"/>
    <n v="0"/>
    <s v="Direct Credit 421520 ANDREW MANOKARAN Mano"/>
    <x v="1"/>
    <x v="5"/>
    <x v="2"/>
  </r>
  <r>
    <d v="2017-01-17T00:00:00"/>
    <n v="-73.260000000000005"/>
    <n v="-73.260000000000005"/>
    <n v="0"/>
    <s v="Direct Debit 452599 AAMI PI HPL071936456"/>
    <x v="3"/>
    <x v="11"/>
    <x v="0"/>
  </r>
  <r>
    <d v="2017-01-17T00:00:00"/>
    <n v="700"/>
    <n v="700"/>
    <n v="0"/>
    <s v="Transfer from xx1274 NetBank andrew money"/>
    <x v="1"/>
    <x v="5"/>
    <x v="2"/>
  </r>
  <r>
    <d v="2017-01-23T00:00:00"/>
    <n v="1169.9100000000001"/>
    <n v="1169.9100000000001"/>
    <n v="0"/>
    <s v="Direct Credit 302416 Barlow McEwan Tr RENT PAYMNT THOM"/>
    <x v="2"/>
    <x v="4"/>
    <x v="0"/>
  </r>
  <r>
    <d v="2017-01-27T00:00:00"/>
    <n v="-477"/>
    <n v="-477"/>
    <n v="0"/>
    <s v="Direct Debit 012179 Advantedge PTVL ADV"/>
    <x v="3"/>
    <x v="6"/>
    <x v="0"/>
  </r>
  <r>
    <d v="2017-01-30T00:00:00"/>
    <n v="-1145.94"/>
    <n v="-1145.94"/>
    <n v="0"/>
    <s v="Direct Debit 000439 BANK-M S311052458400"/>
    <x v="3"/>
    <x v="6"/>
    <x v="1"/>
  </r>
  <r>
    <d v="2017-01-31T00:00:00"/>
    <n v="-64.69"/>
    <n v="-64.69"/>
    <n v="0"/>
    <s v="Direct Debit 452599 AAMI PI HPL077169729"/>
    <x v="3"/>
    <x v="11"/>
    <x v="1"/>
  </r>
  <r>
    <d v="2017-02-02T00:00:00"/>
    <n v="-144.44999999999999"/>
    <n v="-144.44999999999999"/>
    <n v="0"/>
    <s v="CITY WEST WATER      NetBank BPAY 8789 121739220138"/>
    <x v="3"/>
    <x v="13"/>
    <x v="0"/>
  </r>
  <r>
    <d v="2017-02-02T00:00:00"/>
    <n v="1369"/>
    <n v="1369"/>
    <n v="0"/>
    <s v="Transfer from GURPINDER KAUR CommBank app Rent 70 Tyquin st"/>
    <x v="2"/>
    <x v="4"/>
    <x v="1"/>
  </r>
  <r>
    <d v="2017-02-13T00:00:00"/>
    <n v="-50"/>
    <n v="-50"/>
    <n v="0"/>
    <s v="Transfer to CBA A/c NetBank 70TyquinPropertMgt"/>
    <x v="3"/>
    <x v="19"/>
    <x v="2"/>
  </r>
  <r>
    <d v="2017-02-15T00:00:00"/>
    <n v="-73.260000000000005"/>
    <n v="-73.260000000000005"/>
    <n v="0"/>
    <s v="Direct Debit 452599 AAMI PI HPL071936456"/>
    <x v="3"/>
    <x v="11"/>
    <x v="0"/>
  </r>
  <r>
    <d v="2017-02-15T00:00:00"/>
    <n v="400"/>
    <n v="400"/>
    <n v="0"/>
    <s v="Transfer from xx4836 NetBank TyquinStProjectLT"/>
    <x v="1"/>
    <x v="3"/>
    <x v="2"/>
  </r>
  <r>
    <d v="2017-02-16T00:00:00"/>
    <n v="400"/>
    <n v="400"/>
    <n v="0"/>
    <s v="Direct Credit 421520 ANDREW MANOKARAN Mano"/>
    <x v="1"/>
    <x v="5"/>
    <x v="2"/>
  </r>
  <r>
    <d v="2017-02-22T00:00:00"/>
    <n v="1169.9100000000001"/>
    <n v="1169.9100000000001"/>
    <n v="0"/>
    <s v="Direct Credit 302416 Barlow McEwan Tr RENT PAYMNT THOM"/>
    <x v="2"/>
    <x v="4"/>
    <x v="0"/>
  </r>
  <r>
    <d v="2017-02-27T00:00:00"/>
    <n v="-758.86"/>
    <n v="-758.86"/>
    <n v="0"/>
    <s v="Direct Debit 012179 Advantedge PTVL ADV"/>
    <x v="3"/>
    <x v="6"/>
    <x v="0"/>
  </r>
  <r>
    <d v="2017-02-28T00:00:00"/>
    <n v="-1145.94"/>
    <n v="-1145.94"/>
    <n v="0"/>
    <s v="Direct Debit 000439 BANK-M S311052458400"/>
    <x v="3"/>
    <x v="6"/>
    <x v="1"/>
  </r>
  <r>
    <d v="2017-02-28T00:00:00"/>
    <n v="-262"/>
    <n v="-262"/>
    <n v="0"/>
    <s v="HOBSONS BAY COUNCIL  NetBank BPAY 39032 59020006808"/>
    <x v="3"/>
    <x v="7"/>
    <x v="0"/>
  </r>
  <r>
    <d v="2017-02-28T00:00:00"/>
    <n v="1369"/>
    <n v="1369"/>
    <n v="0"/>
    <s v="Transfer from GURPINDER KAUR NetBank Rent 70 Tyquin st"/>
    <x v="2"/>
    <x v="4"/>
    <x v="1"/>
  </r>
  <r>
    <d v="2017-03-01T00:00:00"/>
    <n v="-64.69"/>
    <n v="-64.69"/>
    <n v="0"/>
    <s v="Direct Debit 452599 AAMI PI HPL077169729"/>
    <x v="3"/>
    <x v="11"/>
    <x v="1"/>
  </r>
  <r>
    <d v="2017-03-13T00:00:00"/>
    <n v="-50"/>
    <n v="-50"/>
    <n v="0"/>
    <s v="Transfer to CBA A/c NetBank 70TyquinPropertMgt"/>
    <x v="3"/>
    <x v="19"/>
    <x v="2"/>
  </r>
  <r>
    <d v="2017-03-15T00:00:00"/>
    <n v="-73.260000000000005"/>
    <n v="-73.260000000000005"/>
    <n v="0"/>
    <s v="Direct Debit 452599 AAMI PI HPL071936456"/>
    <x v="3"/>
    <x v="11"/>
    <x v="0"/>
  </r>
  <r>
    <d v="2017-03-16T00:00:00"/>
    <n v="200"/>
    <n v="200"/>
    <n v="0"/>
    <s v="Direct Credit 421520 ANDREW MANOKARAN Mano"/>
    <x v="1"/>
    <x v="5"/>
    <x v="2"/>
  </r>
  <r>
    <d v="2017-03-21T00:00:00"/>
    <n v="1169.9100000000001"/>
    <n v="1169.9100000000001"/>
    <n v="0"/>
    <s v="Direct Credit 302416 Barlow McEwan Tr RENT PAYMNT THOM"/>
    <x v="2"/>
    <x v="4"/>
    <x v="0"/>
  </r>
  <r>
    <d v="2017-03-27T00:00:00"/>
    <n v="-999.05"/>
    <n v="-999.05"/>
    <n v="0"/>
    <s v="Direct Debit 012179 Advantedge PTVL ADV"/>
    <x v="3"/>
    <x v="6"/>
    <x v="0"/>
  </r>
  <r>
    <d v="2017-03-28T00:00:00"/>
    <n v="-1036.01"/>
    <n v="-1036.01"/>
    <n v="0"/>
    <s v="Direct Debit 000439 BANK-M S311052458400"/>
    <x v="3"/>
    <x v="6"/>
    <x v="1"/>
  </r>
  <r>
    <d v="2017-03-30T00:00:00"/>
    <n v="-64.69"/>
    <n v="-64.69"/>
    <n v="0"/>
    <s v="Direct Debit 452599 AAMI PI HPL077169729"/>
    <x v="3"/>
    <x v="11"/>
    <x v="1"/>
  </r>
  <r>
    <d v="2017-04-08T00:00:00"/>
    <n v="1369"/>
    <n v="1369"/>
    <n v="0"/>
    <s v="Transfer from GURPINDER KAUR NetBank Rent 70 Tyquin st"/>
    <x v="2"/>
    <x v="4"/>
    <x v="1"/>
  </r>
  <r>
    <d v="2017-04-13T00:00:00"/>
    <n v="-50"/>
    <n v="-50"/>
    <n v="0"/>
    <s v="Transfer to CBA A/c NetBank 70TyquinPropertMgt"/>
    <x v="3"/>
    <x v="19"/>
    <x v="2"/>
  </r>
  <r>
    <d v="2017-04-18T00:00:00"/>
    <n v="200"/>
    <n v="200"/>
    <n v="0"/>
    <s v="Direct Credit 421520 ANDREW MANOKARAN Mano"/>
    <x v="1"/>
    <x v="5"/>
    <x v="2"/>
  </r>
  <r>
    <d v="2017-04-19T00:00:00"/>
    <n v="-73.260000000000005"/>
    <n v="-73.260000000000005"/>
    <n v="0"/>
    <s v="Direct Debit 452599 AAMI PI HPL071936456"/>
    <x v="3"/>
    <x v="11"/>
    <x v="0"/>
  </r>
  <r>
    <d v="2017-04-20T00:00:00"/>
    <n v="200"/>
    <n v="200"/>
    <n v="0"/>
    <s v="Transfer from xx4836 CommBank app Monthly payment"/>
    <x v="1"/>
    <x v="3"/>
    <x v="2"/>
  </r>
  <r>
    <d v="2017-04-23T00:00:00"/>
    <n v="-770"/>
    <n v="-770"/>
    <n v="0"/>
    <s v="Transfer to other Bank NetBank tyquin st Lloyd"/>
    <x v="4"/>
    <x v="8"/>
    <x v="6"/>
  </r>
  <r>
    <d v="2017-04-23T00:00:00"/>
    <n v="770"/>
    <n v="770"/>
    <n v="0"/>
    <s v="Transfer from xx4836 CommBank app Pre heading tyquin"/>
    <x v="1"/>
    <x v="3"/>
    <x v="2"/>
  </r>
  <r>
    <d v="2017-04-24T00:00:00"/>
    <n v="1169.9100000000001"/>
    <n v="1169.9100000000001"/>
    <n v="0"/>
    <s v="Direct Credit 302416 Barlow McEwan Tr RENT PAYMNT THOM"/>
    <x v="2"/>
    <x v="4"/>
    <x v="0"/>
  </r>
  <r>
    <d v="2017-04-27T00:00:00"/>
    <n v="-1167.5999999999999"/>
    <n v="-1167.5999999999999"/>
    <n v="0"/>
    <s v="Direct Debit 012179 Advantedge PTVL ADV"/>
    <x v="3"/>
    <x v="6"/>
    <x v="0"/>
  </r>
  <r>
    <d v="2017-04-28T00:00:00"/>
    <n v="-1145.94"/>
    <n v="-1145.94"/>
    <n v="0"/>
    <s v="Direct Debit 000439 BANK-M S311052458400"/>
    <x v="3"/>
    <x v="6"/>
    <x v="1"/>
  </r>
  <r>
    <d v="2017-05-02T00:00:00"/>
    <n v="-64.69"/>
    <n v="-64.69"/>
    <n v="0"/>
    <s v="Direct Debit 452599 AAMI PI HPL077169729"/>
    <x v="3"/>
    <x v="11"/>
    <x v="1"/>
  </r>
  <r>
    <d v="2017-05-09T00:00:00"/>
    <n v="1369"/>
    <n v="1369"/>
    <n v="0"/>
    <s v="Transfer from GURPINDER KAUR NetBank Rent 70 Tyquin st"/>
    <x v="2"/>
    <x v="4"/>
    <x v="1"/>
  </r>
  <r>
    <d v="2017-05-13T00:00:00"/>
    <n v="-50"/>
    <n v="-50"/>
    <n v="0"/>
    <s v="Transfer to CBA A/c NetBank 70TyquinPropertMgt"/>
    <x v="3"/>
    <x v="19"/>
    <x v="2"/>
  </r>
  <r>
    <d v="2017-05-15T00:00:00"/>
    <n v="-144.44999999999999"/>
    <n v="-144.44999999999999"/>
    <n v="0"/>
    <s v="CITY WEST WATER      NetBank BPAY 8789 121739220138"/>
    <x v="3"/>
    <x v="13"/>
    <x v="0"/>
  </r>
  <r>
    <d v="2017-05-16T00:00:00"/>
    <n v="-73.260000000000005"/>
    <n v="-73.260000000000005"/>
    <n v="0"/>
    <s v="Direct Debit 452599 AAMI PI HPL071936456"/>
    <x v="3"/>
    <x v="11"/>
    <x v="0"/>
  </r>
  <r>
    <d v="2017-05-16T00:00:00"/>
    <n v="200"/>
    <n v="200"/>
    <n v="0"/>
    <s v="Direct Credit 421520 ANDREW MANOKARAN Mano"/>
    <x v="1"/>
    <x v="5"/>
    <x v="2"/>
  </r>
  <r>
    <d v="2017-05-18T00:00:00"/>
    <n v="-2200"/>
    <n v="-2200"/>
    <n v="0"/>
    <s v="Transfer to other Bank NetBank Tyquin St Lloyd"/>
    <x v="4"/>
    <x v="8"/>
    <x v="6"/>
  </r>
  <r>
    <d v="2017-05-18T00:00:00"/>
    <n v="-253"/>
    <n v="-253"/>
    <n v="0"/>
    <s v="Transfer to CBA A/c NetBank 70 Tyquin"/>
    <x v="3"/>
    <x v="18"/>
    <x v="1"/>
  </r>
  <r>
    <d v="2017-05-22T00:00:00"/>
    <n v="1169.9100000000001"/>
    <n v="1169.9100000000001"/>
    <n v="0"/>
    <s v="Direct Credit 302416 Barlow McEwan Tr RENT PAYMNT THOM"/>
    <x v="2"/>
    <x v="4"/>
    <x v="0"/>
  </r>
  <r>
    <d v="2017-05-26T00:00:00"/>
    <n v="-1149.27"/>
    <n v="-1149.27"/>
    <n v="0"/>
    <s v="Direct Debit 012179 Advantedge PTVL ADV"/>
    <x v="3"/>
    <x v="6"/>
    <x v="0"/>
  </r>
  <r>
    <d v="2017-05-26T00:00:00"/>
    <n v="1100"/>
    <n v="1100"/>
    <n v="0"/>
    <s v="Transfer from xx4836 CommBank app Lloyd townplanner"/>
    <x v="1"/>
    <x v="3"/>
    <x v="2"/>
  </r>
  <r>
    <d v="2017-05-26T00:00:00"/>
    <n v="1100"/>
    <n v="1100"/>
    <n v="0"/>
    <s v="Transfer from xx4836 CommBank app Andrew townplanner"/>
    <x v="1"/>
    <x v="5"/>
    <x v="2"/>
  </r>
  <r>
    <d v="2017-05-28T00:00:00"/>
    <n v="200"/>
    <n v="200"/>
    <n v="0"/>
    <s v="Transfer from xx4836 NetBank monthly payment"/>
    <x v="1"/>
    <x v="3"/>
    <x v="2"/>
  </r>
  <r>
    <d v="2017-05-29T00:00:00"/>
    <n v="-1109.3"/>
    <n v="-1109.3"/>
    <n v="0"/>
    <s v="Direct Debit 000439 BANK-M S311052458400"/>
    <x v="3"/>
    <x v="6"/>
    <x v="1"/>
  </r>
  <r>
    <d v="2017-05-30T00:00:00"/>
    <n v="-64.69"/>
    <n v="-64.69"/>
    <n v="0"/>
    <s v="Direct Debit 452599 AAMI PI HPL077169729"/>
    <x v="3"/>
    <x v="11"/>
    <x v="1"/>
  </r>
  <r>
    <d v="2017-05-31T00:00:00"/>
    <n v="-262"/>
    <n v="-262"/>
    <n v="0"/>
    <s v="HOBSONS BAY COUNCIL  NetBank BPAY 39032 59020006808"/>
    <x v="3"/>
    <x v="7"/>
    <x v="0"/>
  </r>
  <r>
    <d v="2017-06-03T00:00:00"/>
    <n v="1369"/>
    <n v="1369"/>
    <n v="0"/>
    <s v="Transfer from GURPINDER KAUR NetBank Rent 70 Tyquin st"/>
    <x v="2"/>
    <x v="4"/>
    <x v="1"/>
  </r>
  <r>
    <d v="2017-06-13T00:00:00"/>
    <n v="-50"/>
    <n v="-50"/>
    <n v="0"/>
    <s v="Transfer to CBA A/c NetBank 70TyquinPropertMgt"/>
    <x v="3"/>
    <x v="19"/>
    <x v="2"/>
  </r>
  <r>
    <d v="2017-06-15T00:00:00"/>
    <n v="-73.260000000000005"/>
    <n v="-73.260000000000005"/>
    <n v="0"/>
    <s v="Direct Debit 452599 AAMI PI HPL071936456"/>
    <x v="3"/>
    <x v="11"/>
    <x v="0"/>
  </r>
  <r>
    <d v="2017-06-16T00:00:00"/>
    <n v="200"/>
    <n v="200"/>
    <n v="0"/>
    <s v="Direct Credit 421520 ANDREW MANOKARAN Mano"/>
    <x v="1"/>
    <x v="5"/>
    <x v="2"/>
  </r>
  <r>
    <d v="2017-06-21T00:00:00"/>
    <n v="1169.9100000000001"/>
    <n v="1169.9100000000001"/>
    <n v="0"/>
    <s v="Direct Credit 302416 Barlow McEwan Tr RENT PAYMNT THOM"/>
    <x v="2"/>
    <x v="4"/>
    <x v="0"/>
  </r>
  <r>
    <d v="2017-06-23T00:00:00"/>
    <n v="200"/>
    <n v="200"/>
    <n v="0"/>
    <s v="Transfer from xx4836 NetBank monthly payment"/>
    <x v="1"/>
    <x v="3"/>
    <x v="2"/>
  </r>
  <r>
    <d v="2017-06-27T00:00:00"/>
    <n v="-1225.94"/>
    <n v="-1225.94"/>
    <n v="0"/>
    <s v="Direct Debit 012179 Advantedge PTVL ADV"/>
    <x v="3"/>
    <x v="6"/>
    <x v="0"/>
  </r>
  <r>
    <d v="2017-06-28T00:00:00"/>
    <n v="-1145.94"/>
    <n v="-1145.94"/>
    <n v="0"/>
    <s v="Direct Debit 000439 BANK-M S311052458400"/>
    <x v="3"/>
    <x v="6"/>
    <x v="1"/>
  </r>
  <r>
    <d v="2017-06-30T00:00:00"/>
    <n v="-64.69"/>
    <n v="-64.69"/>
    <n v="0"/>
    <s v="Direct Debit 452599 AAMI PI HPL077169729"/>
    <x v="3"/>
    <x v="11"/>
    <x v="1"/>
  </r>
  <r>
    <d v="2017-06-30T00:00:00"/>
    <n v="-10"/>
    <n v="-10"/>
    <n v="0"/>
    <s v="HOBSONS BAY COUNCIL  NetBank BPAY 39032 59020007004"/>
    <x v="3"/>
    <x v="7"/>
    <x v="1"/>
  </r>
  <r>
    <d v="2017-07-05T00:00:00"/>
    <n v="1369"/>
    <n v="1369"/>
    <n v="0"/>
    <s v="Transfer from GURPINDER KAUR CB TabletApp rent 70 tyquin"/>
    <x v="2"/>
    <x v="4"/>
    <x v="1"/>
  </r>
  <r>
    <d v="2017-07-13T00:00:00"/>
    <n v="-50"/>
    <n v="-50"/>
    <n v="0"/>
    <s v="Transfer to CBA A/c NetBank 70TyquinPropertMgt"/>
    <x v="3"/>
    <x v="19"/>
    <x v="2"/>
  </r>
  <r>
    <d v="2017-07-17T00:00:00"/>
    <n v="-73.260000000000005"/>
    <n v="-73.260000000000005"/>
    <n v="0"/>
    <s v="Direct Debit 452599 AAMI PI HPL071936456"/>
    <x v="3"/>
    <x v="11"/>
    <x v="0"/>
  </r>
  <r>
    <d v="2017-07-17T00:00:00"/>
    <n v="200"/>
    <n v="200"/>
    <n v="0"/>
    <s v="Direct Credit 421520 ANDREW MANOKARAN Mano"/>
    <x v="1"/>
    <x v="5"/>
    <x v="2"/>
  </r>
  <r>
    <d v="2017-07-19T00:00:00"/>
    <n v="1000"/>
    <n v="1000"/>
    <n v="0"/>
    <s v="Direct Credit 421520 ANDREW MANOKARAN Andrew Mano VCAT"/>
    <x v="1"/>
    <x v="5"/>
    <x v="2"/>
  </r>
  <r>
    <d v="2017-07-20T00:00:00"/>
    <n v="200"/>
    <n v="200"/>
    <n v="0"/>
    <s v="Transfer from xx4836 NetBank monthly payment LT"/>
    <x v="1"/>
    <x v="3"/>
    <x v="2"/>
  </r>
  <r>
    <d v="2017-07-21T00:00:00"/>
    <n v="1000"/>
    <n v="1000"/>
    <n v="0"/>
    <s v="Transfer from xx4836 NetBank traffic engineer"/>
    <x v="1"/>
    <x v="3"/>
    <x v="2"/>
  </r>
  <r>
    <d v="2017-07-24T00:00:00"/>
    <n v="1169.9100000000001"/>
    <n v="1169.9100000000001"/>
    <n v="0"/>
    <s v="Direct Credit 302416 Barlow McEwan Tr RENT PAYMNT THOM"/>
    <x v="2"/>
    <x v="4"/>
    <x v="0"/>
  </r>
  <r>
    <d v="2017-07-27T00:00:00"/>
    <n v="-1186.9100000000001"/>
    <n v="-1186.9100000000001"/>
    <n v="0"/>
    <s v="Direct Debit 012179 Advantedge PTVL ADV"/>
    <x v="3"/>
    <x v="6"/>
    <x v="0"/>
  </r>
  <r>
    <d v="2017-07-28T00:00:00"/>
    <n v="-1109.3"/>
    <n v="-1109.3"/>
    <n v="0"/>
    <s v="Direct Debit 000439 BANK-M S311052458400"/>
    <x v="3"/>
    <x v="6"/>
    <x v="1"/>
  </r>
  <r>
    <d v="2017-08-01T00:00:00"/>
    <n v="-71.47"/>
    <n v="-71.47"/>
    <n v="0"/>
    <s v="Direct Debit 452599 AAMI PI HPL077169729"/>
    <x v="3"/>
    <x v="11"/>
    <x v="1"/>
  </r>
  <r>
    <d v="2017-08-04T00:00:00"/>
    <n v="-222.51"/>
    <n v="-222.51"/>
    <n v="0"/>
    <s v="CITY WEST WATER      NetBank BPAY 8789 121739220138"/>
    <x v="3"/>
    <x v="13"/>
    <x v="0"/>
  </r>
  <r>
    <d v="2017-08-09T00:00:00"/>
    <n v="1369"/>
    <n v="1369"/>
    <n v="0"/>
    <s v="Transfer from GURPINDER KAUR NetBank rent 70 tyquin"/>
    <x v="2"/>
    <x v="4"/>
    <x v="1"/>
  </r>
  <r>
    <d v="2017-08-11T00:00:00"/>
    <n v="-239.08"/>
    <n v="-239.08"/>
    <n v="0"/>
    <s v="CITY WEST WATER      NetBank BPAY 8789 121739219120"/>
    <x v="3"/>
    <x v="13"/>
    <x v="1"/>
  </r>
  <r>
    <d v="2017-08-13T00:00:00"/>
    <n v="-50"/>
    <n v="-50"/>
    <n v="0"/>
    <s v="Transfer to CBA A/c NetBank 70TyquinPropertMgt"/>
    <x v="3"/>
    <x v="19"/>
    <x v="2"/>
  </r>
  <r>
    <d v="2017-08-15T00:00:00"/>
    <n v="-73.260000000000005"/>
    <n v="-73.260000000000005"/>
    <n v="0"/>
    <s v="Direct Debit 452599 AAMI PI HPL071936456"/>
    <x v="3"/>
    <x v="11"/>
    <x v="0"/>
  </r>
  <r>
    <d v="2017-08-16T00:00:00"/>
    <n v="200"/>
    <n v="200"/>
    <n v="0"/>
    <s v="Direct Credit 421520 ANDREW MANOKARAN Mano"/>
    <x v="1"/>
    <x v="5"/>
    <x v="2"/>
  </r>
  <r>
    <d v="2017-08-20T00:00:00"/>
    <n v="200"/>
    <n v="200"/>
    <n v="0"/>
    <s v="Transfer from xx4836 NetBank monthly payment LT"/>
    <x v="1"/>
    <x v="3"/>
    <x v="2"/>
  </r>
  <r>
    <d v="2017-08-22T00:00:00"/>
    <n v="1169.9100000000001"/>
    <n v="1169.9100000000001"/>
    <n v="0"/>
    <s v="Direct Credit 302416 Barlow McEwan Tr RENT PAYMNT THOM"/>
    <x v="2"/>
    <x v="4"/>
    <x v="0"/>
  </r>
  <r>
    <d v="2017-08-25T00:00:00"/>
    <n v="-1226.21"/>
    <n v="-1226.21"/>
    <n v="0"/>
    <s v="Direct Debit 012179 Advantedge PTVL ADV"/>
    <x v="3"/>
    <x v="6"/>
    <x v="0"/>
  </r>
  <r>
    <d v="2017-08-28T00:00:00"/>
    <n v="-1145.94"/>
    <n v="-1145.94"/>
    <n v="0"/>
    <s v="Direct Debit 000439 BANK-M S311052458400"/>
    <x v="3"/>
    <x v="6"/>
    <x v="1"/>
  </r>
  <r>
    <d v="2017-08-29T00:00:00"/>
    <n v="-1211"/>
    <n v="-1211"/>
    <n v="0"/>
    <s v="Transfer to other Bank NetBank tyquin st project"/>
    <x v="4"/>
    <x v="8"/>
    <x v="3"/>
  </r>
  <r>
    <d v="2017-08-30T00:00:00"/>
    <n v="-71.47"/>
    <n v="-71.47"/>
    <n v="0"/>
    <s v="Direct Debit 452599 AAMI PI HPL077169729"/>
    <x v="3"/>
    <x v="11"/>
    <x v="1"/>
  </r>
  <r>
    <d v="2017-09-03T00:00:00"/>
    <n v="-2200"/>
    <n v="-2200"/>
    <n v="0"/>
    <s v="Transfer to other Bank NetBank Townplanning VCAT"/>
    <x v="4"/>
    <x v="8"/>
    <x v="6"/>
  </r>
  <r>
    <d v="2017-09-11T00:00:00"/>
    <n v="1100"/>
    <n v="1100"/>
    <n v="0"/>
    <s v="Transfer from xx4836 NetBank andrew traffic eng"/>
    <x v="1"/>
    <x v="5"/>
    <x v="2"/>
  </r>
  <r>
    <d v="2017-09-11T00:00:00"/>
    <n v="1100"/>
    <n v="1100"/>
    <n v="0"/>
    <s v="Transfer from xx4836 NetBank lloyd traffic eng"/>
    <x v="1"/>
    <x v="3"/>
    <x v="2"/>
  </r>
  <r>
    <d v="2017-09-12T00:00:00"/>
    <n v="1369"/>
    <n v="1369"/>
    <n v="0"/>
    <s v="Transfer from GURPINDER KAUR NetBank rent 70 tyquin"/>
    <x v="2"/>
    <x v="4"/>
    <x v="1"/>
  </r>
  <r>
    <d v="2017-09-13T00:00:00"/>
    <n v="-50"/>
    <n v="-50"/>
    <n v="0"/>
    <s v="Transfer to CBA A/c NetBank 70TyquinPropertMgt"/>
    <x v="3"/>
    <x v="19"/>
    <x v="2"/>
  </r>
  <r>
    <d v="2017-09-15T00:00:00"/>
    <n v="-73.260000000000005"/>
    <n v="-73.260000000000005"/>
    <n v="0"/>
    <s v="Direct Debit 452599 AAMI PI HPL071936456"/>
    <x v="3"/>
    <x v="11"/>
    <x v="0"/>
  </r>
  <r>
    <d v="2017-09-18T00:00:00"/>
    <n v="200"/>
    <n v="200"/>
    <n v="0"/>
    <s v="Direct Credit 421520 ANDREW MANOKARAN Mano"/>
    <x v="1"/>
    <x v="5"/>
    <x v="2"/>
  </r>
  <r>
    <d v="2017-09-20T00:00:00"/>
    <n v="200"/>
    <n v="200"/>
    <n v="0"/>
    <s v="Transfer from xx4836 NetBank monthly payment LT"/>
    <x v="1"/>
    <x v="3"/>
    <x v="2"/>
  </r>
  <r>
    <d v="2017-09-22T00:00:00"/>
    <n v="1169.9100000000001"/>
    <n v="1169.9100000000001"/>
    <n v="0"/>
    <s v="Direct Credit 302416 Barlow McEwan Tr RENT PAYMNT THOM"/>
    <x v="2"/>
    <x v="4"/>
    <x v="0"/>
  </r>
  <r>
    <d v="2017-09-27T00:00:00"/>
    <n v="-1297.45"/>
    <n v="-1297.45"/>
    <n v="0"/>
    <s v="Direct Debit 012179 Advantedge PTVL ADV"/>
    <x v="3"/>
    <x v="6"/>
    <x v="0"/>
  </r>
  <r>
    <d v="2017-09-28T00:00:00"/>
    <n v="-1145.94"/>
    <n v="-1145.94"/>
    <n v="0"/>
    <s v="Direct Debit 000439 BANK-M S311052458400"/>
    <x v="3"/>
    <x v="6"/>
    <x v="1"/>
  </r>
  <r>
    <d v="2017-09-29T00:00:00"/>
    <n v="-4169"/>
    <n v="-4169"/>
    <n v="0"/>
    <s v="Transfer to other Bank NetBank Traffic Engineer"/>
    <x v="4"/>
    <x v="8"/>
    <x v="7"/>
  </r>
  <r>
    <d v="2017-09-30T00:00:00"/>
    <n v="-268.60000000000002"/>
    <n v="-268.60000000000002"/>
    <n v="0"/>
    <s v="HOBSONS BAY COUNCIL  NetBank BPAY 39032 59020006808"/>
    <x v="3"/>
    <x v="7"/>
    <x v="0"/>
  </r>
  <r>
    <d v="2017-10-02T00:00:00"/>
    <n v="-71.47"/>
    <n v="-71.47"/>
    <n v="0"/>
    <s v="Direct Debit 452599 AAMI PI HPL077169729"/>
    <x v="3"/>
    <x v="11"/>
    <x v="1"/>
  </r>
  <r>
    <d v="2017-10-03T00:00:00"/>
    <n v="1369"/>
    <n v="1369"/>
    <n v="0"/>
    <s v="Transfer from GURPINDER KAUR NetBank rent 70 tyquin"/>
    <x v="2"/>
    <x v="4"/>
    <x v="1"/>
  </r>
  <r>
    <d v="2017-10-13T00:00:00"/>
    <n v="-50"/>
    <n v="-50"/>
    <n v="0"/>
    <s v="Transfer to CBA A/c NetBank 70TyquinPropertMgt"/>
    <x v="3"/>
    <x v="19"/>
    <x v="2"/>
  </r>
  <r>
    <d v="2017-10-13T00:00:00"/>
    <n v="1100"/>
    <n v="1100"/>
    <n v="0"/>
    <s v="Direct Credit 421520 ANDREW MANOKARAN Andrew Manokaran"/>
    <x v="1"/>
    <x v="5"/>
    <x v="2"/>
  </r>
  <r>
    <d v="2017-10-16T00:00:00"/>
    <n v="200"/>
    <n v="200"/>
    <n v="0"/>
    <s v="Direct Credit 421520 ANDREW MANOKARAN Mano"/>
    <x v="1"/>
    <x v="5"/>
    <x v="2"/>
  </r>
  <r>
    <d v="2017-10-17T00:00:00"/>
    <n v="-73.260000000000005"/>
    <n v="-73.260000000000005"/>
    <n v="0"/>
    <s v="Direct Debit 452599 AAMI PI HPL071936456"/>
    <x v="3"/>
    <x v="11"/>
    <x v="0"/>
  </r>
  <r>
    <d v="2017-10-18T00:00:00"/>
    <n v="-258.60000000000002"/>
    <n v="-258.60000000000002"/>
    <n v="0"/>
    <s v="HOBSONS BAY COUNCIL  NetBank BPAY 39032 59020007004"/>
    <x v="3"/>
    <x v="7"/>
    <x v="1"/>
  </r>
  <r>
    <d v="2017-10-20T00:00:00"/>
    <n v="200"/>
    <n v="200"/>
    <n v="0"/>
    <s v="Transfer from xx4836 NetBank monthly payment LT"/>
    <x v="1"/>
    <x v="3"/>
    <x v="2"/>
  </r>
  <r>
    <d v="2017-10-23T00:00:00"/>
    <n v="1169.9100000000001"/>
    <n v="1169.9100000000001"/>
    <n v="0"/>
    <s v="Direct Credit 302416 Barlow McEwan Tr RENT PAYMNT THOM"/>
    <x v="2"/>
    <x v="4"/>
    <x v="0"/>
  </r>
  <r>
    <d v="2017-10-27T00:00:00"/>
    <n v="-1276.5"/>
    <n v="-1276.5"/>
    <n v="0"/>
    <s v="Direct Debit 012179 Advantedge PTVL ADV"/>
    <x v="3"/>
    <x v="6"/>
    <x v="0"/>
  </r>
  <r>
    <d v="2017-10-30T00:00:00"/>
    <n v="-1109.3"/>
    <n v="-1109.3"/>
    <n v="0"/>
    <s v="Direct Debit 000439 BANK-M S311052458400"/>
    <x v="3"/>
    <x v="6"/>
    <x v="1"/>
  </r>
  <r>
    <d v="2017-10-30T00:00:00"/>
    <n v="-146.66"/>
    <n v="-146.66"/>
    <n v="0"/>
    <s v="CITY WEST WATER      NetBank BPAY 8789 121739220138"/>
    <x v="3"/>
    <x v="13"/>
    <x v="0"/>
  </r>
  <r>
    <d v="2017-10-30T00:00:00"/>
    <n v="-146.66"/>
    <n v="-146.66"/>
    <n v="0"/>
    <s v="CITY WEST WATER      NetBank BPAY 8789 121739219120"/>
    <x v="3"/>
    <x v="13"/>
    <x v="1"/>
  </r>
  <r>
    <d v="2017-10-31T00:00:00"/>
    <n v="-71.47"/>
    <n v="-71.47"/>
    <n v="0"/>
    <s v="Direct Debit 452599 AAMI PI HPL077169729"/>
    <x v="3"/>
    <x v="11"/>
    <x v="1"/>
  </r>
  <r>
    <d v="2017-11-13T00:00:00"/>
    <n v="-50"/>
    <n v="-50"/>
    <n v="0"/>
    <s v="Transfer to CBA A/c NetBank 70TyquinPropertMgt"/>
    <x v="3"/>
    <x v="19"/>
    <x v="2"/>
  </r>
  <r>
    <d v="2017-11-15T00:00:00"/>
    <n v="-73.260000000000005"/>
    <n v="-73.260000000000005"/>
    <n v="0"/>
    <s v="Direct Debit 452599 AAMI PI HPL071936456"/>
    <x v="3"/>
    <x v="11"/>
    <x v="0"/>
  </r>
  <r>
    <d v="2017-11-16T00:00:00"/>
    <n v="200"/>
    <n v="200"/>
    <n v="0"/>
    <s v="Direct Credit 421520 ANDREW MANOKARAN Mano"/>
    <x v="1"/>
    <x v="5"/>
    <x v="2"/>
  </r>
  <r>
    <d v="2017-11-20T00:00:00"/>
    <n v="200"/>
    <n v="200"/>
    <n v="0"/>
    <s v="Transfer from xx4836 NetBank monthly payment LT"/>
    <x v="1"/>
    <x v="3"/>
    <x v="2"/>
  </r>
  <r>
    <d v="2017-11-21T00:00:00"/>
    <n v="1369"/>
    <n v="1369"/>
    <n v="0"/>
    <s v="Transfer from GURPINDER KAUR NetBank rent 70 tyquin"/>
    <x v="2"/>
    <x v="4"/>
    <x v="1"/>
  </r>
  <r>
    <d v="2017-11-22T00:00:00"/>
    <n v="1169.9100000000001"/>
    <n v="1169.9100000000001"/>
    <n v="0"/>
    <s v="Direct Credit 302416 Barlow McEwan Tr RENT PAYMNT THOM"/>
    <x v="2"/>
    <x v="4"/>
    <x v="0"/>
  </r>
  <r>
    <d v="2017-11-27T00:00:00"/>
    <n v="-1318.82"/>
    <n v="-1318.82"/>
    <n v="0"/>
    <s v="Direct Debit 012179 Advantedge PTVL ADV"/>
    <x v="3"/>
    <x v="6"/>
    <x v="0"/>
  </r>
  <r>
    <d v="2017-11-28T00:00:00"/>
    <n v="-1145.94"/>
    <n v="-1145.94"/>
    <n v="0"/>
    <s v="Direct Debit 000439 BANK-M S311052458400"/>
    <x v="3"/>
    <x v="6"/>
    <x v="1"/>
  </r>
  <r>
    <d v="2017-11-30T00:00:00"/>
    <n v="-267"/>
    <n v="-267"/>
    <n v="0"/>
    <s v="HOBSONS BAY COUNCIL  NetBank BPAY 39032 59020007004"/>
    <x v="3"/>
    <x v="7"/>
    <x v="1"/>
  </r>
  <r>
    <d v="2017-11-30T00:00:00"/>
    <n v="-267"/>
    <n v="-267"/>
    <n v="0"/>
    <s v="HOBSONS BAY COUNCIL  NetBank BPAY 39032 59020006808"/>
    <x v="3"/>
    <x v="7"/>
    <x v="0"/>
  </r>
  <r>
    <d v="2017-11-30T00:00:00"/>
    <n v="-71.47"/>
    <n v="-71.47"/>
    <n v="0"/>
    <s v="Direct Debit 452599 AAMI PI HPL077169729"/>
    <x v="3"/>
    <x v="11"/>
    <x v="1"/>
  </r>
  <r>
    <d v="2017-12-05T00:00:00"/>
    <n v="1100"/>
    <n v="1100"/>
    <n v="0"/>
    <s v="Transfer from xx4836 NetBank TyquinBuildPer LT"/>
    <x v="1"/>
    <x v="3"/>
    <x v="2"/>
  </r>
  <r>
    <d v="2017-12-13T00:00:00"/>
    <n v="-50"/>
    <n v="-50"/>
    <n v="0"/>
    <s v="Transfer to CBA A/c NetBank 70TyquinPropertMgt"/>
    <x v="3"/>
    <x v="19"/>
    <x v="2"/>
  </r>
  <r>
    <d v="2017-12-15T00:00:00"/>
    <n v="-73.260000000000005"/>
    <n v="-73.260000000000005"/>
    <n v="0"/>
    <s v="Direct Debit 452599 AAMI PI HPL071936456"/>
    <x v="3"/>
    <x v="11"/>
    <x v="0"/>
  </r>
  <r>
    <d v="2017-12-18T00:00:00"/>
    <n v="200"/>
    <n v="200"/>
    <n v="0"/>
    <s v="Direct Credit 421520 ANDREW MANOKARAN Mano"/>
    <x v="1"/>
    <x v="5"/>
    <x v="2"/>
  </r>
  <r>
    <d v="2017-12-19T00:00:00"/>
    <n v="1369"/>
    <n v="1369"/>
    <n v="0"/>
    <s v="Transfer from GURPINDER KAUR NetBank Rent 70 Tyquin st"/>
    <x v="2"/>
    <x v="4"/>
    <x v="1"/>
  </r>
  <r>
    <d v="2017-12-20T00:00:00"/>
    <n v="200"/>
    <n v="200"/>
    <n v="0"/>
    <s v="Transfer from xx4836 NetBank monthly payment LT"/>
    <x v="1"/>
    <x v="3"/>
    <x v="2"/>
  </r>
  <r>
    <d v="2017-12-21T00:00:00"/>
    <n v="-1320"/>
    <n v="-1320"/>
    <n v="0"/>
    <s v="Transfer to other Bank NetBank Endorsed Drawings"/>
    <x v="4"/>
    <x v="8"/>
    <x v="3"/>
  </r>
  <r>
    <d v="2017-12-21T00:00:00"/>
    <n v="1238"/>
    <n v="1238"/>
    <n v="0"/>
    <s v="Transfer from UTTAMJEET SINGH NetBank RENT 68 T LAVERTON"/>
    <x v="2"/>
    <x v="4"/>
    <x v="0"/>
  </r>
  <r>
    <d v="2017-12-27T00:00:00"/>
    <n v="-1276.58"/>
    <n v="-1276.58"/>
    <n v="0"/>
    <s v="Direct Debit 012179 Advantedge PTVL ADV"/>
    <x v="3"/>
    <x v="6"/>
    <x v="0"/>
  </r>
  <r>
    <d v="2017-12-28T00:00:00"/>
    <n v="-1109.3"/>
    <n v="-1109.3"/>
    <n v="0"/>
    <s v="Direct Debit 000439 BANK-M S311052458400"/>
    <x v="3"/>
    <x v="6"/>
    <x v="1"/>
  </r>
  <r>
    <d v="2017-12-29T00:00:00"/>
    <n v="-5"/>
    <n v="-5"/>
    <n v="0"/>
    <s v="Unpaid Payment Fee Value Date: 28/12/2017"/>
    <x v="5"/>
    <x v="17"/>
    <x v="2"/>
  </r>
  <r>
    <d v="2017-12-29T00:00:00"/>
    <n v="1109.3"/>
    <n v="1109.3"/>
    <n v="0"/>
    <s v="Return 28/12/17 Direct Debit 000439 BANK-M S311052458400 Value Date: 28/12/2017"/>
    <x v="3"/>
    <x v="6"/>
    <x v="1"/>
  </r>
  <r>
    <d v="2018-01-02T00:00:00"/>
    <n v="-71.47"/>
    <n v="-71.47"/>
    <n v="0"/>
    <s v="Direct Debit 452599 AAMI PI HPL077169729"/>
    <x v="3"/>
    <x v="11"/>
    <x v="1"/>
  </r>
  <r>
    <d v="2018-01-11T00:00:00"/>
    <n v="250"/>
    <n v="250"/>
    <n v="0"/>
    <s v="Direct Credit 421520 ANDREW MANOKARAN"/>
    <x v="1"/>
    <x v="5"/>
    <x v="2"/>
  </r>
  <r>
    <d v="2018-01-13T00:00:00"/>
    <n v="-55"/>
    <n v="-55"/>
    <n v="0"/>
    <s v="Transfer to CBA A/c NetBank 68 Tyquin St TPM"/>
    <x v="3"/>
    <x v="19"/>
    <x v="2"/>
  </r>
  <r>
    <d v="2018-01-13T00:00:00"/>
    <n v="-55"/>
    <n v="-55"/>
    <n v="0"/>
    <s v="Transfer to CBA A/c NetBank 70TyquinPropertMgt"/>
    <x v="3"/>
    <x v="19"/>
    <x v="2"/>
  </r>
  <r>
    <d v="2018-01-14T00:00:00"/>
    <n v="250"/>
    <n v="250"/>
    <n v="0"/>
    <s v="Transfer from xx4836 NetBank extra payment"/>
    <x v="1"/>
    <x v="3"/>
    <x v="2"/>
  </r>
  <r>
    <d v="2018-01-15T00:00:00"/>
    <n v="-1109"/>
    <n v="-1109"/>
    <n v="0"/>
    <s v="BOM Loans            NetBank BPAY 22871 193911052458400"/>
    <x v="3"/>
    <x v="6"/>
    <x v="1"/>
  </r>
  <r>
    <d v="2018-01-15T00:00:00"/>
    <n v="100"/>
    <n v="100"/>
    <n v="0"/>
    <s v="Transfer from xx4836 NetBank extra payment"/>
    <x v="1"/>
    <x v="3"/>
    <x v="2"/>
  </r>
  <r>
    <d v="2018-01-16T00:00:00"/>
    <n v="-87.97"/>
    <n v="-87.97"/>
    <n v="0"/>
    <s v="Direct Debit 452599 AAMI PI HPL071936456"/>
    <x v="3"/>
    <x v="11"/>
    <x v="0"/>
  </r>
  <r>
    <d v="2018-01-16T00:00:00"/>
    <n v="200"/>
    <n v="200"/>
    <n v="0"/>
    <s v="Direct Credit 421520 ANDREW MANOKARAN Mano"/>
    <x v="1"/>
    <x v="5"/>
    <x v="2"/>
  </r>
  <r>
    <d v="2018-01-20T00:00:00"/>
    <n v="200"/>
    <n v="200"/>
    <n v="0"/>
    <s v="Transfer from xx4836 NetBank monthly payment LT"/>
    <x v="1"/>
    <x v="3"/>
    <x v="2"/>
  </r>
  <r>
    <d v="2018-01-21T00:00:00"/>
    <n v="1238"/>
    <n v="1238"/>
    <n v="0"/>
    <s v="Transfer from UTTAMJEET SINGH NetBank RENT 68 T LAVERTON"/>
    <x v="2"/>
    <x v="4"/>
    <x v="0"/>
  </r>
  <r>
    <d v="2018-01-23T00:00:00"/>
    <n v="1369"/>
    <n v="1369"/>
    <n v="0"/>
    <s v="Transfer from GURPINDER KAUR NetBank rent 70 tyquin Value Date: 24/01/2018"/>
    <x v="2"/>
    <x v="4"/>
    <x v="1"/>
  </r>
  <r>
    <d v="2018-01-25T00:00:00"/>
    <n v="-1318.82"/>
    <n v="-1318.82"/>
    <n v="0"/>
    <s v="Direct Debit 012179 Advantedge PTVL ADV"/>
    <x v="3"/>
    <x v="6"/>
    <x v="0"/>
  </r>
  <r>
    <d v="2018-01-29T00:00:00"/>
    <n v="-1148.03"/>
    <n v="-1148.03"/>
    <n v="0"/>
    <s v="Direct Debit 000439 BANK-M S311052458400"/>
    <x v="3"/>
    <x v="6"/>
    <x v="1"/>
  </r>
  <r>
    <d v="2018-01-30T00:00:00"/>
    <n v="-71.47"/>
    <n v="-71.47"/>
    <n v="0"/>
    <s v="Direct Debit 452599 AAMI PI HPL077169729"/>
    <x v="3"/>
    <x v="11"/>
    <x v="1"/>
  </r>
  <r>
    <d v="2018-01-31T00:00:00"/>
    <n v="-146.66"/>
    <n v="-146.66"/>
    <n v="0"/>
    <s v="CITY WEST WATER      NetBank BPAY 8789 121739219120"/>
    <x v="3"/>
    <x v="13"/>
    <x v="1"/>
  </r>
  <r>
    <d v="2018-01-31T00:00:00"/>
    <n v="-146.66"/>
    <n v="-146.66"/>
    <n v="0"/>
    <s v="CITY WEST WATER      NetBank BPAY 8789 121739220138"/>
    <x v="3"/>
    <x v="13"/>
    <x v="0"/>
  </r>
  <r>
    <d v="2018-02-13T00:00:00"/>
    <n v="-55"/>
    <n v="-55"/>
    <n v="0"/>
    <s v="Transfer to CBA A/c NetBank 68 Tyquin St TPM"/>
    <x v="3"/>
    <x v="19"/>
    <x v="2"/>
  </r>
  <r>
    <d v="2018-02-13T00:00:00"/>
    <n v="-55"/>
    <n v="-55"/>
    <n v="0"/>
    <s v="Transfer to CBA A/c NetBank 70TyquinPropertMgt"/>
    <x v="3"/>
    <x v="19"/>
    <x v="2"/>
  </r>
  <r>
    <d v="2018-02-15T00:00:00"/>
    <n v="-87.97"/>
    <n v="-87.97"/>
    <n v="0"/>
    <s v="Direct Debit 452599 AAMI PI HPL071936456"/>
    <x v="3"/>
    <x v="11"/>
    <x v="0"/>
  </r>
  <r>
    <d v="2018-02-16T00:00:00"/>
    <n v="-10"/>
    <n v="-10"/>
    <n v="0"/>
    <s v="Overdrawing Approval Fee For overdrawing that occurred 15/02/18"/>
    <x v="5"/>
    <x v="17"/>
    <x v="2"/>
  </r>
  <r>
    <d v="2018-02-16T00:00:00"/>
    <n v="200"/>
    <n v="200"/>
    <n v="0"/>
    <s v="Direct Credit 421520 ANDREW MANOKARAN Mano"/>
    <x v="1"/>
    <x v="5"/>
    <x v="2"/>
  </r>
  <r>
    <d v="2018-02-20T00:00:00"/>
    <n v="200"/>
    <n v="200"/>
    <n v="0"/>
    <s v="Transfer from xx4836 NetBank monthly payment LT"/>
    <x v="1"/>
    <x v="3"/>
    <x v="2"/>
  </r>
  <r>
    <d v="2018-02-21T00:00:00"/>
    <n v="1238"/>
    <n v="1238"/>
    <n v="0"/>
    <s v="Transfer from UTTAMJEET SINGH CommBank app rent 68 tyquin st"/>
    <x v="2"/>
    <x v="4"/>
    <x v="0"/>
  </r>
  <r>
    <d v="2018-02-27T00:00:00"/>
    <n v="-1318.87"/>
    <n v="-1318.87"/>
    <n v="0"/>
    <s v="Direct Debit 012179 Advantedge PTVL ADV"/>
    <x v="3"/>
    <x v="6"/>
    <x v="0"/>
  </r>
  <r>
    <d v="2018-02-28T00:00:00"/>
    <n v="-1145.97"/>
    <n v="-1145.97"/>
    <n v="0"/>
    <s v="Direct Debit 000439 BANK-M S311052458400"/>
    <x v="3"/>
    <x v="6"/>
    <x v="1"/>
  </r>
  <r>
    <d v="2018-03-01T00:00:00"/>
    <n v="-71.47"/>
    <n v="-71.47"/>
    <n v="0"/>
    <s v="Direct Debit 452599 AAMI PI HPL077169729"/>
    <x v="3"/>
    <x v="11"/>
    <x v="1"/>
  </r>
  <r>
    <d v="2018-03-01T00:00:00"/>
    <n v="-5"/>
    <n v="-5"/>
    <n v="0"/>
    <s v="Unpaid Payment Fee Value Date: 28/02/2018"/>
    <x v="5"/>
    <x v="17"/>
    <x v="2"/>
  </r>
  <r>
    <d v="2018-03-01T00:00:00"/>
    <n v="-0.48"/>
    <n v="-0.48"/>
    <n v="0"/>
    <s v="Debit Excess Interest"/>
    <x v="5"/>
    <x v="17"/>
    <x v="2"/>
  </r>
  <r>
    <d v="2018-03-01T00:00:00"/>
    <n v="1145.97"/>
    <n v="1145.97"/>
    <n v="0"/>
    <s v="Return 28/02/18 Direct Debit 000439 BANK-M S311052458400 Value Date: 28/02/2018"/>
    <x v="3"/>
    <x v="6"/>
    <x v="1"/>
  </r>
  <r>
    <d v="2018-03-01T00:00:00"/>
    <n v="1369"/>
    <n v="1369"/>
    <n v="0"/>
    <s v="Transfer from GURPINDER KAUR NetBank Rent 70 Tyquin st"/>
    <x v="2"/>
    <x v="4"/>
    <x v="1"/>
  </r>
  <r>
    <d v="2018-03-05T00:00:00"/>
    <n v="-1145.97"/>
    <n v="-1145.97"/>
    <n v="0"/>
    <s v="BOM Loans            NetBank BPAY 22871 193911052458400"/>
    <x v="3"/>
    <x v="6"/>
    <x v="1"/>
  </r>
  <r>
    <d v="2018-03-13T00:00:00"/>
    <n v="-55"/>
    <n v="-55"/>
    <n v="0"/>
    <s v="Transfer to CBA A/c NetBank 68 Tyquin St TPM"/>
    <x v="3"/>
    <x v="19"/>
    <x v="2"/>
  </r>
  <r>
    <d v="2018-03-13T00:00:00"/>
    <n v="-55"/>
    <n v="-55"/>
    <n v="0"/>
    <s v="Transfer to CBA A/c NetBank 70TyquinPropertMgt"/>
    <x v="3"/>
    <x v="19"/>
    <x v="2"/>
  </r>
  <r>
    <d v="2018-03-13T00:00:00"/>
    <n v="1369"/>
    <n v="1369"/>
    <n v="0"/>
    <s v="Transfer from GURPINDER KAUR NetBank Rent 70 Tyquin st"/>
    <x v="2"/>
    <x v="4"/>
    <x v="1"/>
  </r>
  <r>
    <d v="2018-03-15T00:00:00"/>
    <n v="-87.97"/>
    <n v="-87.97"/>
    <n v="0"/>
    <s v="Direct Debit 452599 AAMI PI HPL071936456"/>
    <x v="3"/>
    <x v="11"/>
    <x v="0"/>
  </r>
  <r>
    <d v="2018-03-16T00:00:00"/>
    <n v="200"/>
    <n v="200"/>
    <n v="0"/>
    <s v="Direct Credit 421520 ANDREW MANOKARAN Mano"/>
    <x v="1"/>
    <x v="5"/>
    <x v="2"/>
  </r>
  <r>
    <d v="2018-03-20T00:00:00"/>
    <n v="200"/>
    <n v="200"/>
    <n v="0"/>
    <s v="Transfer from xx4836 NetBank monthly payment LT"/>
    <x v="1"/>
    <x v="3"/>
    <x v="2"/>
  </r>
  <r>
    <d v="2018-03-22T00:00:00"/>
    <n v="1238"/>
    <n v="1238"/>
    <n v="0"/>
    <s v="Transfer from UTTAMJEET SINGH CommBank app rent 68 tyquin st"/>
    <x v="2"/>
    <x v="4"/>
    <x v="0"/>
  </r>
  <r>
    <d v="2018-03-27T00:00:00"/>
    <n v="-1192.24"/>
    <n v="-1192.24"/>
    <n v="0"/>
    <s v="Direct Debit 012179 Advantedge PTVL ADV"/>
    <x v="3"/>
    <x v="6"/>
    <x v="0"/>
  </r>
  <r>
    <d v="2018-03-28T00:00:00"/>
    <n v="-1036.57"/>
    <n v="-1036.57"/>
    <n v="0"/>
    <s v="Direct Debit 000439 BANK-M S311052458400"/>
    <x v="3"/>
    <x v="6"/>
    <x v="1"/>
  </r>
  <r>
    <d v="2018-04-01T00:00:00"/>
    <n v="0.45"/>
    <n v="0.45"/>
    <n v="0"/>
    <s v="Debit Excess Int Adjusted Value Date: 01/03/2018"/>
    <x v="5"/>
    <x v="17"/>
    <x v="2"/>
  </r>
  <r>
    <d v="2018-04-03T00:00:00"/>
    <n v="-71.47"/>
    <n v="-71.47"/>
    <n v="0"/>
    <s v="Direct Debit 452599 AAMI PI HPL077169729"/>
    <x v="3"/>
    <x v="11"/>
    <x v="1"/>
  </r>
  <r>
    <d v="2018-04-10T00:00:00"/>
    <n v="-168.5"/>
    <n v="-168.5"/>
    <n v="0"/>
    <s v="Transfer to other Bank NetBank upwork"/>
    <x v="4"/>
    <x v="8"/>
    <x v="8"/>
  </r>
  <r>
    <d v="2018-04-10T00:00:00"/>
    <n v="-167.92"/>
    <n v="-167.92"/>
    <n v="0"/>
    <s v="Transfer to other Bank NetBank upwork"/>
    <x v="4"/>
    <x v="8"/>
    <x v="8"/>
  </r>
  <r>
    <d v="2018-04-10T00:00:00"/>
    <n v="1369"/>
    <n v="1369"/>
    <n v="0"/>
    <s v="Transfer from GURPINDER KAUR NetBank Rent 70 Tyquin st"/>
    <x v="2"/>
    <x v="4"/>
    <x v="1"/>
  </r>
  <r>
    <d v="2018-04-13T00:00:00"/>
    <n v="-55"/>
    <n v="-55"/>
    <n v="0"/>
    <s v="Transfer to CBA A/c NetBank 68 Tyquin St TPM"/>
    <x v="3"/>
    <x v="19"/>
    <x v="2"/>
  </r>
  <r>
    <d v="2018-04-13T00:00:00"/>
    <n v="-55"/>
    <n v="-55"/>
    <n v="0"/>
    <s v="Transfer to CBA A/c NetBank 70TyquinPropertMgt"/>
    <x v="3"/>
    <x v="19"/>
    <x v="2"/>
  </r>
  <r>
    <d v="2018-04-16T00:00:00"/>
    <n v="200"/>
    <n v="200"/>
    <n v="0"/>
    <s v="Direct Credit 421520 ANDREW MANOKARAN Mano"/>
    <x v="1"/>
    <x v="5"/>
    <x v="2"/>
  </r>
  <r>
    <d v="2018-04-17T00:00:00"/>
    <n v="-87.97"/>
    <n v="-87.97"/>
    <n v="0"/>
    <s v="Direct Debit 452599 AAMI PI HPL071936456"/>
    <x v="3"/>
    <x v="11"/>
    <x v="0"/>
  </r>
  <r>
    <d v="2018-04-20T00:00:00"/>
    <n v="200"/>
    <n v="200"/>
    <n v="0"/>
    <s v="Transfer from xx4836 NetBank monthly payment LT"/>
    <x v="1"/>
    <x v="3"/>
    <x v="2"/>
  </r>
  <r>
    <d v="2018-04-22T00:00:00"/>
    <n v="1238"/>
    <n v="1238"/>
    <n v="0"/>
    <s v="Transfer from UTTAMJEET SINGH CommBank app rent 68 tyquin st"/>
    <x v="2"/>
    <x v="4"/>
    <x v="0"/>
  </r>
  <r>
    <d v="2018-04-27T00:00:00"/>
    <n v="-1319.03"/>
    <n v="-1319.03"/>
    <n v="0"/>
    <s v="Direct Debit 012179 Advantedge PTVL ADV"/>
    <x v="3"/>
    <x v="6"/>
    <x v="0"/>
  </r>
  <r>
    <d v="2018-04-30T00:00:00"/>
    <n v="-1146"/>
    <n v="-1146"/>
    <n v="0"/>
    <s v="Direct Debit 000439 BANK-M S311052458400"/>
    <x v="3"/>
    <x v="6"/>
    <x v="1"/>
  </r>
  <r>
    <d v="2018-05-01T00:00:00"/>
    <n v="-71.47"/>
    <n v="-71.47"/>
    <n v="0"/>
    <s v="Direct Debit 452599 AAMI PI HPL077169729"/>
    <x v="3"/>
    <x v="11"/>
    <x v="1"/>
  </r>
  <r>
    <d v="2018-05-03T00:00:00"/>
    <n v="1473"/>
    <n v="1473"/>
    <n v="0"/>
    <s v="Transfer from GURPINDER KAUR NetBank Rent 70 Tyquin st"/>
    <x v="2"/>
    <x v="4"/>
    <x v="1"/>
  </r>
  <r>
    <d v="2018-05-06T00:00:00"/>
    <n v="-267"/>
    <n v="-267"/>
    <n v="0"/>
    <s v="HOBSONS BAY COUNCIL  NetBank BPAY 39032 59020007004"/>
    <x v="3"/>
    <x v="7"/>
    <x v="1"/>
  </r>
  <r>
    <d v="2018-05-06T00:00:00"/>
    <n v="-267"/>
    <n v="-267"/>
    <n v="0"/>
    <s v="HOBSONS BAY COUNCIL  NetBank BPAY 39032 59020006808"/>
    <x v="3"/>
    <x v="7"/>
    <x v="0"/>
  </r>
  <r>
    <d v="2018-05-06T00:00:00"/>
    <n v="-170"/>
    <n v="-170"/>
    <n v="0"/>
    <s v="Transfer to other Bank NetBank renders upwork"/>
    <x v="4"/>
    <x v="8"/>
    <x v="8"/>
  </r>
  <r>
    <d v="2018-05-06T00:00:00"/>
    <n v="-146.66"/>
    <n v="-146.66"/>
    <n v="0"/>
    <s v="CITY WEST WATER      NetBank BPAY 8789 121739219120"/>
    <x v="3"/>
    <x v="13"/>
    <x v="1"/>
  </r>
  <r>
    <d v="2018-05-06T00:00:00"/>
    <n v="-146.66"/>
    <n v="-146.66"/>
    <n v="0"/>
    <s v="CITY WEST WATER      NetBank BPAY 8789 121739220138"/>
    <x v="3"/>
    <x v="13"/>
    <x v="0"/>
  </r>
  <r>
    <d v="2018-05-13T00:00:00"/>
    <n v="-55"/>
    <n v="-55"/>
    <n v="0"/>
    <s v="Transfer to CBA A/c NetBank 68 Tyquin St TPM"/>
    <x v="3"/>
    <x v="19"/>
    <x v="2"/>
  </r>
  <r>
    <d v="2018-05-13T00:00:00"/>
    <n v="-55"/>
    <n v="-55"/>
    <n v="0"/>
    <s v="Transfer to CBA A/c NetBank 70TyquinPropertMgt"/>
    <x v="3"/>
    <x v="19"/>
    <x v="2"/>
  </r>
  <r>
    <d v="2018-05-15T00:00:00"/>
    <n v="-87.97"/>
    <n v="-87.97"/>
    <n v="0"/>
    <s v="Direct Debit 452599 AAMI PI HPL071936456"/>
    <x v="3"/>
    <x v="11"/>
    <x v="0"/>
  </r>
  <r>
    <d v="2018-05-16T00:00:00"/>
    <n v="200"/>
    <n v="200"/>
    <n v="0"/>
    <s v="Direct Credit 421520 ANDREW MANOKARAN Mano"/>
    <x v="1"/>
    <x v="5"/>
    <x v="2"/>
  </r>
  <r>
    <d v="2018-05-20T00:00:00"/>
    <n v="200"/>
    <n v="200"/>
    <n v="0"/>
    <s v="Transfer from xx4836 NetBank monthly payment LT"/>
    <x v="1"/>
    <x v="3"/>
    <x v="2"/>
  </r>
  <r>
    <d v="2018-05-21T00:00:00"/>
    <n v="1290"/>
    <n v="1290"/>
    <n v="0"/>
    <s v="Transfer from UTTAMJEET SINGH CommBank app rent 68 tyquin st"/>
    <x v="2"/>
    <x v="4"/>
    <x v="0"/>
  </r>
  <r>
    <d v="2018-05-24T00:00:00"/>
    <n v="1700"/>
    <n v="1700"/>
    <n v="0"/>
    <s v="Direct Credit 106600 ANDREW MANOKARAN Tyquin Street"/>
    <x v="1"/>
    <x v="5"/>
    <x v="2"/>
  </r>
  <r>
    <d v="2018-05-25T00:00:00"/>
    <n v="-1277.07"/>
    <n v="-1277.07"/>
    <n v="0"/>
    <s v="Direct Debit 012179 Advantedge PTVL ADV"/>
    <x v="3"/>
    <x v="6"/>
    <x v="0"/>
  </r>
  <r>
    <d v="2018-05-28T00:00:00"/>
    <n v="-1109.3599999999999"/>
    <n v="-1109.3599999999999"/>
    <n v="0"/>
    <s v="Direct Debit 000439 BANK-M S311052458400"/>
    <x v="3"/>
    <x v="6"/>
    <x v="1"/>
  </r>
  <r>
    <d v="2018-05-30T00:00:00"/>
    <n v="-71.47"/>
    <n v="-71.47"/>
    <n v="0"/>
    <s v="Direct Debit 452599 AAMI PI HPL077169729"/>
    <x v="3"/>
    <x v="11"/>
    <x v="1"/>
  </r>
  <r>
    <d v="2018-06-06T00:00:00"/>
    <n v="1474"/>
    <n v="1474"/>
    <n v="0"/>
    <s v="Transfer from GURPINDER KAUR CB TabletApp 70 tyquin st"/>
    <x v="2"/>
    <x v="4"/>
    <x v="1"/>
  </r>
  <r>
    <d v="2018-06-12T00:00:00"/>
    <n v="-538.4"/>
    <n v="-538.4"/>
    <n v="0"/>
    <s v="HOBSONS BAY COUNCIL  NetBank BPAY 39032 59020006808"/>
    <x v="3"/>
    <x v="7"/>
    <x v="0"/>
  </r>
  <r>
    <d v="2018-06-12T00:00:00"/>
    <n v="-538.4"/>
    <n v="-538.4"/>
    <n v="0"/>
    <s v="HOBSONS BAY COUNCIL  NetBank BPAY 39032 59020007004"/>
    <x v="3"/>
    <x v="7"/>
    <x v="1"/>
  </r>
  <r>
    <d v="2018-06-13T00:00:00"/>
    <n v="-55"/>
    <n v="-55"/>
    <n v="0"/>
    <s v="Transfer to CBA A/c NetBank 68 Tyquin St TPM"/>
    <x v="3"/>
    <x v="19"/>
    <x v="2"/>
  </r>
  <r>
    <d v="2018-06-13T00:00:00"/>
    <n v="-55"/>
    <n v="-55"/>
    <n v="0"/>
    <s v="Transfer to CBA A/c NetBank 70TyquinPropertMgt"/>
    <x v="3"/>
    <x v="19"/>
    <x v="2"/>
  </r>
  <r>
    <d v="2018-06-15T00:00:00"/>
    <n v="-87.97"/>
    <n v="-87.97"/>
    <n v="0"/>
    <s v="Direct Debit 452599 AAMI PI HPL071936456"/>
    <x v="3"/>
    <x v="11"/>
    <x v="0"/>
  </r>
  <r>
    <d v="2018-06-18T00:00:00"/>
    <n v="200"/>
    <n v="200"/>
    <n v="0"/>
    <s v="Direct Credit 421520 ANDREW MANOKARAN Mano"/>
    <x v="1"/>
    <x v="5"/>
    <x v="2"/>
  </r>
  <r>
    <d v="2018-06-20T00:00:00"/>
    <n v="200"/>
    <n v="200"/>
    <n v="0"/>
    <s v="Transfer from xx4836 NetBank monthly payment LT"/>
    <x v="1"/>
    <x v="3"/>
    <x v="2"/>
  </r>
  <r>
    <d v="2018-06-20T00:00:00"/>
    <n v="1290"/>
    <n v="1290"/>
    <n v="0"/>
    <s v="Transfer from UTTAMJEET SINGH CommBank app rent 68 tyquin st"/>
    <x v="2"/>
    <x v="4"/>
    <x v="0"/>
  </r>
  <r>
    <d v="2018-06-27T00:00:00"/>
    <n v="-1318.98"/>
    <n v="-1318.98"/>
    <n v="0"/>
    <s v="Direct Debit 012179 Advantedge PTVL ADV"/>
    <x v="3"/>
    <x v="6"/>
    <x v="0"/>
  </r>
  <r>
    <d v="2018-06-28T00:00:00"/>
    <n v="-1146"/>
    <n v="-1146"/>
    <n v="0"/>
    <s v="Direct Debit 000439 BANK-M S311052458400"/>
    <x v="3"/>
    <x v="6"/>
    <x v="1"/>
  </r>
  <r>
    <d v="2018-07-02T00:00:00"/>
    <n v="-71.47"/>
    <n v="-71.47"/>
    <n v="0"/>
    <s v="Direct Debit 452599 AAMI PI HPL077169729"/>
    <x v="3"/>
    <x v="11"/>
    <x v="1"/>
  </r>
  <r>
    <d v="2018-07-13T00:00:00"/>
    <n v="-55"/>
    <n v="-55"/>
    <n v="0"/>
    <s v="Transfer to CBA A/c NetBank 68 Tyquin St TPM"/>
    <x v="3"/>
    <x v="19"/>
    <x v="2"/>
  </r>
  <r>
    <d v="2018-07-13T00:00:00"/>
    <n v="-55"/>
    <n v="-55"/>
    <n v="0"/>
    <s v="Transfer to CBA A/c NetBank 70TyquinPropertMgt"/>
    <x v="3"/>
    <x v="19"/>
    <x v="2"/>
  </r>
  <r>
    <d v="2018-07-16T00:00:00"/>
    <n v="200"/>
    <n v="200"/>
    <n v="0"/>
    <s v="Direct Credit 421520 ANDREW MANOKARAN Mano"/>
    <x v="1"/>
    <x v="5"/>
    <x v="2"/>
  </r>
  <r>
    <d v="2018-07-17T00:00:00"/>
    <n v="-87.97"/>
    <n v="-87.97"/>
    <n v="0"/>
    <s v="Direct Debit 452599 AAMI PI HPL071936456"/>
    <x v="3"/>
    <x v="11"/>
    <x v="0"/>
  </r>
  <r>
    <d v="2018-07-17T00:00:00"/>
    <n v="1473"/>
    <n v="1473"/>
    <n v="0"/>
    <s v="Transfer from GURPINDER KAUR NetBank 70 tyquin st"/>
    <x v="2"/>
    <x v="4"/>
    <x v="1"/>
  </r>
  <r>
    <d v="2018-07-20T00:00:00"/>
    <n v="200"/>
    <n v="200"/>
    <n v="0"/>
    <s v="Transfer from xx4836 NetBank monthly payment LT"/>
    <x v="1"/>
    <x v="3"/>
    <x v="2"/>
  </r>
  <r>
    <d v="2018-07-22T00:00:00"/>
    <n v="1290"/>
    <n v="1290"/>
    <n v="0"/>
    <s v="Transfer from UTTAMJEET SINGH NetBank rent 68 tyquin st"/>
    <x v="2"/>
    <x v="4"/>
    <x v="0"/>
  </r>
  <r>
    <d v="2018-07-27T00:00:00"/>
    <n v="-1277.07"/>
    <n v="-1277.07"/>
    <n v="0"/>
    <s v="Direct Debit 012179 Advantedge PTVL ADV"/>
    <x v="3"/>
    <x v="6"/>
    <x v="0"/>
  </r>
  <r>
    <d v="2018-07-30T00:00:00"/>
    <n v="-1109.3599999999999"/>
    <n v="-1109.3599999999999"/>
    <n v="0"/>
    <s v="Direct Debit 000439 BANK-M S311052458400"/>
    <x v="3"/>
    <x v="6"/>
    <x v="1"/>
  </r>
  <r>
    <d v="2018-07-31T00:00:00"/>
    <n v="-224.2"/>
    <n v="-224.2"/>
    <n v="0"/>
    <s v="CITY WEST WATER      NetBank BPAY 8789 121739220138"/>
    <x v="3"/>
    <x v="13"/>
    <x v="0"/>
  </r>
  <r>
    <d v="2018-07-31T00:00:00"/>
    <n v="-224.2"/>
    <n v="-224.2"/>
    <n v="0"/>
    <s v="CITY WEST WATER      NetBank BPAY 8789 121739219120"/>
    <x v="3"/>
    <x v="13"/>
    <x v="1"/>
  </r>
  <r>
    <d v="2018-07-31T00:00:00"/>
    <n v="-85.7"/>
    <n v="-85.7"/>
    <n v="0"/>
    <s v="Direct Debit 452599 AAMI PI HPL077169729"/>
    <x v="3"/>
    <x v="11"/>
    <x v="1"/>
  </r>
  <r>
    <d v="2018-08-13T00:00:00"/>
    <n v="-55"/>
    <n v="-55"/>
    <n v="0"/>
    <s v="Transfer to CBA A/c NetBank 68 Tyquin St TPM"/>
    <x v="3"/>
    <x v="19"/>
    <x v="2"/>
  </r>
  <r>
    <d v="2018-08-13T00:00:00"/>
    <n v="-55"/>
    <n v="-55"/>
    <n v="0"/>
    <s v="Transfer to CBA A/c NetBank 70TyquinPropertMgt"/>
    <x v="3"/>
    <x v="19"/>
    <x v="2"/>
  </r>
  <r>
    <d v="2018-08-15T00:00:00"/>
    <n v="-87.97"/>
    <n v="-87.97"/>
    <n v="0"/>
    <s v="Direct Debit 452599 AAMI PI HPL071936456"/>
    <x v="3"/>
    <x v="11"/>
    <x v="0"/>
  </r>
  <r>
    <d v="2018-08-16T00:00:00"/>
    <n v="200"/>
    <n v="200"/>
    <n v="0"/>
    <s v="Direct Credit 421520 ANDREW MANOKARAN Mano"/>
    <x v="1"/>
    <x v="5"/>
    <x v="2"/>
  </r>
  <r>
    <d v="2018-08-16T00:00:00"/>
    <n v="1469"/>
    <n v="1469"/>
    <n v="0"/>
    <s v="Transfer from GURPINDER KAUR NetBank 70 tyquin st"/>
    <x v="2"/>
    <x v="4"/>
    <x v="1"/>
  </r>
  <r>
    <d v="2018-08-20T00:00:00"/>
    <n v="200"/>
    <n v="200"/>
    <n v="0"/>
    <s v="Transfer from xx4836 NetBank monthly payment LT"/>
    <x v="1"/>
    <x v="3"/>
    <x v="2"/>
  </r>
  <r>
    <d v="2018-08-21T00:00:00"/>
    <n v="1290"/>
    <n v="1290"/>
    <n v="0"/>
    <s v="Transfer from UTTAMJEET SINGH CommBank app rent 68 tyquin st"/>
    <x v="2"/>
    <x v="4"/>
    <x v="0"/>
  </r>
  <r>
    <d v="2018-08-27T00:00:00"/>
    <n v="-1319.33"/>
    <n v="-1319.33"/>
    <n v="0"/>
    <s v="Direct Debit 012179 Advantedge PTVL ADV"/>
    <x v="3"/>
    <x v="6"/>
    <x v="0"/>
  </r>
  <r>
    <d v="2018-08-28T00:00:00"/>
    <n v="-1580.15"/>
    <n v="-1580.15"/>
    <n v="0"/>
    <s v="Direct Debit 000439 BANK-M S311052458400"/>
    <x v="3"/>
    <x v="6"/>
    <x v="1"/>
  </r>
  <r>
    <d v="2018-08-28T00:00:00"/>
    <n v="-198"/>
    <n v="-198"/>
    <n v="0"/>
    <s v="Transfer to CBA A/c NetBank WindowShutterRepai"/>
    <x v="3"/>
    <x v="18"/>
    <x v="0"/>
  </r>
  <r>
    <d v="2018-08-30T00:00:00"/>
    <n v="-85.7"/>
    <n v="-85.7"/>
    <n v="0"/>
    <s v="Direct Debit 452599 AAMI PI HPL077169729"/>
    <x v="3"/>
    <x v="11"/>
    <x v="1"/>
  </r>
  <r>
    <d v="2018-09-11T00:00:00"/>
    <n v="1473"/>
    <n v="1473"/>
    <n v="0"/>
    <s v="Transfer from GURPINDER KAUR NetBank 70 tyquin st"/>
    <x v="2"/>
    <x v="4"/>
    <x v="1"/>
  </r>
  <r>
    <d v="2018-09-13T00:00:00"/>
    <n v="-55"/>
    <n v="-55"/>
    <n v="0"/>
    <s v="Transfer to CBA A/c NetBank 68 Tyquin St TPM"/>
    <x v="3"/>
    <x v="19"/>
    <x v="2"/>
  </r>
  <r>
    <d v="2018-09-13T00:00:00"/>
    <n v="-55"/>
    <n v="-55"/>
    <n v="0"/>
    <s v="Transfer to CBA A/c NetBank 70TyquinPropertMgt"/>
    <x v="3"/>
    <x v="19"/>
    <x v="2"/>
  </r>
  <r>
    <d v="2018-09-17T00:00:00"/>
    <n v="-87.97"/>
    <n v="-87.97"/>
    <n v="0"/>
    <s v="Direct Debit 452599 AAMI PI HPL071936456"/>
    <x v="3"/>
    <x v="11"/>
    <x v="0"/>
  </r>
  <r>
    <d v="2018-09-17T00:00:00"/>
    <n v="200"/>
    <n v="200"/>
    <n v="0"/>
    <s v="Direct Credit 421520 ANDREW MANOKARAN Mano"/>
    <x v="1"/>
    <x v="5"/>
    <x v="2"/>
  </r>
  <r>
    <d v="2018-09-20T00:00:00"/>
    <n v="200"/>
    <n v="200"/>
    <n v="0"/>
    <s v="Transfer from xx4836 NetBank monthly payment LT"/>
    <x v="1"/>
    <x v="3"/>
    <x v="2"/>
  </r>
  <r>
    <d v="2018-09-22T00:00:00"/>
    <n v="1290"/>
    <n v="1290"/>
    <n v="0"/>
    <s v="Transfer from UTTAMJEET SINGH CommBank app rent 68 tyquin st"/>
    <x v="2"/>
    <x v="4"/>
    <x v="0"/>
  </r>
  <r>
    <d v="2018-09-27T00:00:00"/>
    <n v="-1319.48"/>
    <n v="-1319.48"/>
    <n v="0"/>
    <s v="Direct Debit 012179 Advantedge PTVL ADV"/>
    <x v="3"/>
    <x v="6"/>
    <x v="0"/>
  </r>
  <r>
    <d v="2018-09-28T00:00:00"/>
    <n v="-1621.66"/>
    <n v="-1621.66"/>
    <n v="0"/>
    <s v="Direct Debit 000439 BANK-M S311052458400"/>
    <x v="3"/>
    <x v="6"/>
    <x v="1"/>
  </r>
  <r>
    <d v="2018-09-28T00:00:00"/>
    <n v="-1000"/>
    <n v="-1000"/>
    <n v="0"/>
    <s v="Transfer to CBA A/c CommBank app"/>
    <x v="1"/>
    <x v="3"/>
    <x v="2"/>
  </r>
  <r>
    <d v="2018-09-28T00:00:00"/>
    <n v="1000"/>
    <n v="1000"/>
    <n v="0"/>
    <s v="Transfer from xx4836 NetBank payback"/>
    <x v="1"/>
    <x v="3"/>
    <x v="2"/>
  </r>
  <r>
    <d v="2018-09-30T00:00:00"/>
    <n v="-67.849999999999994"/>
    <n v="-67.849999999999994"/>
    <n v="0"/>
    <s v="HOBSONS BAY COUNCIL  NetBank BPAY 39032 59020007004"/>
    <x v="3"/>
    <x v="7"/>
    <x v="1"/>
  </r>
  <r>
    <d v="2018-09-30T00:00:00"/>
    <n v="-54.5"/>
    <n v="-54.5"/>
    <n v="0"/>
    <s v="HOBSONS BAY COUNCIL  NetBank BPAY 39032 59020006808"/>
    <x v="3"/>
    <x v="7"/>
    <x v="0"/>
  </r>
  <r>
    <d v="2018-10-02T00:00:00"/>
    <n v="-85.7"/>
    <n v="-85.7"/>
    <n v="0"/>
    <s v="Direct Debit 452599 AAMI PI HPL077169729"/>
    <x v="3"/>
    <x v="11"/>
    <x v="1"/>
  </r>
  <r>
    <d v="2018-10-13T00:00:00"/>
    <n v="-55"/>
    <n v="-55"/>
    <n v="0"/>
    <s v="Transfer to CBA A/c NetBank 68 Tyquin St TPM"/>
    <x v="3"/>
    <x v="19"/>
    <x v="2"/>
  </r>
  <r>
    <d v="2018-10-13T00:00:00"/>
    <n v="-55"/>
    <n v="-55"/>
    <n v="0"/>
    <s v="Transfer to CBA A/c NetBank 70TyquinPropertMgt"/>
    <x v="3"/>
    <x v="19"/>
    <x v="2"/>
  </r>
  <r>
    <d v="2018-10-16T00:00:00"/>
    <n v="-87.97"/>
    <n v="-87.97"/>
    <n v="0"/>
    <s v="Direct Debit 452599 AAMI PI HPL071936456"/>
    <x v="3"/>
    <x v="11"/>
    <x v="0"/>
  </r>
  <r>
    <d v="2018-10-16T00:00:00"/>
    <n v="200"/>
    <n v="200"/>
    <n v="0"/>
    <s v="Direct Credit 421520 ANDREW MANOKARAN Mano"/>
    <x v="1"/>
    <x v="5"/>
    <x v="2"/>
  </r>
  <r>
    <d v="2018-10-17T00:00:00"/>
    <n v="1473"/>
    <n v="1473"/>
    <n v="0"/>
    <s v="Transfer from GURPINDER KAUR NetBank 70 tyquin st"/>
    <x v="2"/>
    <x v="4"/>
    <x v="1"/>
  </r>
  <r>
    <d v="2018-10-20T00:00:00"/>
    <n v="200"/>
    <n v="200"/>
    <n v="0"/>
    <s v="Transfer from xx4836 NetBank monthly payment LT"/>
    <x v="1"/>
    <x v="3"/>
    <x v="2"/>
  </r>
  <r>
    <d v="2018-10-22T00:00:00"/>
    <n v="1290"/>
    <n v="1290"/>
    <n v="0"/>
    <s v="Transfer from UTTAMJEET SINGH CommBank app rent 68 tyquin st"/>
    <x v="2"/>
    <x v="4"/>
    <x v="0"/>
  </r>
  <r>
    <d v="2018-10-23T00:00:00"/>
    <n v="-253"/>
    <n v="-253"/>
    <n v="0"/>
    <s v="Transfer to CBA A/c NetBank TyquinStBrokenPipe"/>
    <x v="3"/>
    <x v="18"/>
    <x v="0"/>
  </r>
  <r>
    <d v="2018-10-26T00:00:00"/>
    <n v="-1277.07"/>
    <n v="-1277.07"/>
    <n v="0"/>
    <s v="Direct Debit 012179 Advantedge PTVL ADV"/>
    <x v="3"/>
    <x v="6"/>
    <x v="0"/>
  </r>
  <r>
    <d v="2018-10-29T00:00:00"/>
    <n v="-1597.05"/>
    <n v="-1597.05"/>
    <n v="0"/>
    <s v="Direct Debit 000439 BANK-M S311052458400"/>
    <x v="3"/>
    <x v="6"/>
    <x v="1"/>
  </r>
  <r>
    <d v="2018-10-30T00:00:00"/>
    <n v="-85.7"/>
    <n v="-85.7"/>
    <n v="0"/>
    <s v="Direct Debit 452599 AAMI PI HPL077169729"/>
    <x v="3"/>
    <x v="11"/>
    <x v="1"/>
  </r>
  <r>
    <d v="2018-11-06T00:00:00"/>
    <n v="-700"/>
    <n v="-700"/>
    <n v="0"/>
    <s v="Transfer to xx1274 CommBank app"/>
    <x v="1"/>
    <x v="3"/>
    <x v="2"/>
  </r>
  <r>
    <d v="2018-11-07T00:00:00"/>
    <n v="-147.1"/>
    <n v="-147.1"/>
    <n v="0"/>
    <s v="CITY WEST WATER      NetBank BPAY 8789 121739219120"/>
    <x v="3"/>
    <x v="13"/>
    <x v="1"/>
  </r>
  <r>
    <d v="2018-11-07T00:00:00"/>
    <n v="-147.1"/>
    <n v="-147.1"/>
    <n v="0"/>
    <s v="CITY WEST WATER      NetBank BPAY 8789 121739220138"/>
    <x v="3"/>
    <x v="13"/>
    <x v="0"/>
  </r>
  <r>
    <d v="2018-11-07T00:00:00"/>
    <n v="700"/>
    <n v="700"/>
    <n v="0"/>
    <s v="Transfer from xx4836 NetBank payback"/>
    <x v="1"/>
    <x v="3"/>
    <x v="2"/>
  </r>
  <r>
    <d v="2018-11-08T00:00:00"/>
    <n v="1473"/>
    <n v="1473"/>
    <n v="0"/>
    <s v="Transfer from GURPINDER KAUR NetBank 70 tyquin st"/>
    <x v="2"/>
    <x v="4"/>
    <x v="1"/>
  </r>
  <r>
    <d v="2018-11-13T00:00:00"/>
    <n v="-55"/>
    <n v="-55"/>
    <n v="0"/>
    <s v="Transfer to CBA A/c NetBank 68 Tyquin St TPM"/>
    <x v="3"/>
    <x v="19"/>
    <x v="2"/>
  </r>
  <r>
    <d v="2018-11-13T00:00:00"/>
    <n v="-55"/>
    <n v="-55"/>
    <n v="0"/>
    <s v="Transfer to CBA A/c NetBank 70TyquinPropertMgt"/>
    <x v="3"/>
    <x v="19"/>
    <x v="2"/>
  </r>
  <r>
    <d v="2018-11-15T00:00:00"/>
    <n v="-87.97"/>
    <n v="-87.97"/>
    <n v="0"/>
    <s v="Direct Debit 452599 AAMI PI HPL071936456"/>
    <x v="3"/>
    <x v="11"/>
    <x v="0"/>
  </r>
  <r>
    <d v="2018-11-16T00:00:00"/>
    <n v="200"/>
    <n v="200"/>
    <n v="0"/>
    <s v="Direct Credit 421520 ANDREW MANOKARAN Mano"/>
    <x v="1"/>
    <x v="5"/>
    <x v="2"/>
  </r>
  <r>
    <d v="2018-11-20T00:00:00"/>
    <n v="200"/>
    <n v="200"/>
    <n v="0"/>
    <s v="Transfer from xx4836 NetBank monthly payment LT"/>
    <x v="1"/>
    <x v="3"/>
    <x v="2"/>
  </r>
  <r>
    <d v="2018-11-22T00:00:00"/>
    <n v="1290"/>
    <n v="1290"/>
    <n v="0"/>
    <s v="Transfer from UTTAMJEET SINGH CommBank app rent 68 tyquin st"/>
    <x v="2"/>
    <x v="4"/>
    <x v="0"/>
  </r>
  <r>
    <d v="2018-11-27T00:00:00"/>
    <n v="-1319.16"/>
    <n v="-1319.16"/>
    <n v="0"/>
    <s v="Direct Debit 012179 Advantedge PTVL ADV"/>
    <x v="3"/>
    <x v="6"/>
    <x v="0"/>
  </r>
  <r>
    <d v="2018-11-28T00:00:00"/>
    <n v="-1649.95"/>
    <n v="-1649.95"/>
    <n v="0"/>
    <s v="Direct Debit 000439 BANK-M S311052458400"/>
    <x v="3"/>
    <x v="6"/>
    <x v="1"/>
  </r>
  <r>
    <d v="2018-11-30T00:00:00"/>
    <n v="-85.7"/>
    <n v="-85.7"/>
    <n v="0"/>
    <s v="Direct Debit 452599 AAMI PI HPL077169729"/>
    <x v="3"/>
    <x v="11"/>
    <x v="1"/>
  </r>
  <r>
    <d v="2018-12-01T00:00:00"/>
    <n v="-331"/>
    <n v="-331"/>
    <n v="0"/>
    <s v="HOBSONS BAY COUNCIL  NetBank BPAY 39032 59020007004"/>
    <x v="3"/>
    <x v="7"/>
    <x v="1"/>
  </r>
  <r>
    <d v="2018-12-03T00:00:00"/>
    <n v="1700"/>
    <n v="1700"/>
    <n v="0"/>
    <s v="Transfer from xx4836 NetBank building permit"/>
    <x v="1"/>
    <x v="3"/>
    <x v="2"/>
  </r>
  <r>
    <d v="2018-12-04T00:00:00"/>
    <n v="-2420"/>
    <n v="-2420"/>
    <n v="0"/>
    <s v="Transfer to other Bank NetBank Lloyd Tyquin St"/>
    <x v="4"/>
    <x v="20"/>
    <x v="3"/>
  </r>
  <r>
    <d v="2018-12-04T00:00:00"/>
    <n v="1000"/>
    <n v="1000"/>
    <n v="0"/>
    <s v="Transfer from xx4836 CommBank app Lloyd payment"/>
    <x v="1"/>
    <x v="3"/>
    <x v="2"/>
  </r>
  <r>
    <d v="2018-12-04T00:00:00"/>
    <n v="1000"/>
    <n v="1000"/>
    <n v="0"/>
    <s v="Transfer from xx4836 CommBank app Andrew payment"/>
    <x v="1"/>
    <x v="5"/>
    <x v="2"/>
  </r>
  <r>
    <d v="2018-12-13T00:00:00"/>
    <n v="-55"/>
    <n v="-55"/>
    <n v="0"/>
    <s v="Transfer to CBA A/c NetBank 68 Tyquin St TPM"/>
    <x v="3"/>
    <x v="19"/>
    <x v="2"/>
  </r>
  <r>
    <d v="2018-12-13T00:00:00"/>
    <n v="-55"/>
    <n v="-55"/>
    <n v="0"/>
    <s v="Transfer to CBA A/c NetBank 70TyquinPropertMgt"/>
    <x v="3"/>
    <x v="19"/>
    <x v="2"/>
  </r>
  <r>
    <d v="2018-12-17T00:00:00"/>
    <n v="-87.97"/>
    <n v="-87.97"/>
    <n v="0"/>
    <s v="Direct Debit 452599 AAMI PI HPL071936456"/>
    <x v="3"/>
    <x v="11"/>
    <x v="0"/>
  </r>
  <r>
    <d v="2018-12-17T00:00:00"/>
    <n v="200"/>
    <n v="200"/>
    <n v="0"/>
    <s v="Direct Credit 421520 ANDREW MANOKARAN Mano"/>
    <x v="1"/>
    <x v="5"/>
    <x v="2"/>
  </r>
  <r>
    <d v="2018-12-20T00:00:00"/>
    <n v="200"/>
    <n v="200"/>
    <n v="0"/>
    <s v="Transfer from xx4836 NetBank monthly payment LT"/>
    <x v="1"/>
    <x v="3"/>
    <x v="2"/>
  </r>
  <r>
    <d v="2018-12-21T00:00:00"/>
    <n v="1290"/>
    <n v="1290"/>
    <n v="0"/>
    <s v="Transfer from UTTAMJEET SINGH CommBank app rent 68 tyquin st"/>
    <x v="2"/>
    <x v="4"/>
    <x v="0"/>
  </r>
  <r>
    <d v="2018-12-25T00:00:00"/>
    <n v="1473"/>
    <n v="1473"/>
    <n v="0"/>
    <s v="Transfer from GURPINDER KAUR NetBank 70 tyquin st"/>
    <x v="2"/>
    <x v="4"/>
    <x v="1"/>
  </r>
  <r>
    <d v="2018-12-27T00:00:00"/>
    <n v="-1277.07"/>
    <n v="-1277.07"/>
    <n v="0"/>
    <s v="Direct Debit 012179 Advantedge PTVL ADV"/>
    <x v="3"/>
    <x v="6"/>
    <x v="0"/>
  </r>
  <r>
    <d v="2018-12-28T00:00:00"/>
    <n v="-1574.19"/>
    <n v="-1574.19"/>
    <n v="0"/>
    <s v="Direct Debit 000439 BANK-M S311052458400"/>
    <x v="3"/>
    <x v="6"/>
    <x v="1"/>
  </r>
  <r>
    <d v="2019-01-02T00:00:00"/>
    <n v="-320"/>
    <n v="-320"/>
    <n v="0"/>
    <s v="HOBSONS BAY COUNCIL  NetBank BPAY 39032 59020006808"/>
    <x v="3"/>
    <x v="7"/>
    <x v="0"/>
  </r>
  <r>
    <d v="2019-01-02T00:00:00"/>
    <n v="-85.7"/>
    <n v="-85.7"/>
    <n v="0"/>
    <s v="Direct Debit 452599 AAMI PI HPL077169729"/>
    <x v="3"/>
    <x v="11"/>
    <x v="1"/>
  </r>
  <r>
    <d v="2019-01-13T00:00:00"/>
    <n v="-55"/>
    <n v="-55"/>
    <n v="0"/>
    <s v="Transfer to CBA A/c NetBank 68 Tyquin St TPM"/>
    <x v="3"/>
    <x v="19"/>
    <x v="2"/>
  </r>
  <r>
    <d v="2019-01-13T00:00:00"/>
    <n v="-55"/>
    <n v="-55"/>
    <n v="0"/>
    <s v="Transfer to CBA A/c NetBank 70TyquinPropertMgt"/>
    <x v="3"/>
    <x v="19"/>
    <x v="2"/>
  </r>
  <r>
    <d v="2019-01-15T00:00:00"/>
    <n v="-102.71"/>
    <n v="-102.71"/>
    <n v="0"/>
    <s v="Direct Debit 452599 AAMI PI HPL071936456"/>
    <x v="3"/>
    <x v="11"/>
    <x v="0"/>
  </r>
  <r>
    <d v="2019-01-16T00:00:00"/>
    <n v="200"/>
    <n v="200"/>
    <n v="0"/>
    <s v="Direct Credit 421520 ANDREW MANOKARAN Mano"/>
    <x v="1"/>
    <x v="5"/>
    <x v="2"/>
  </r>
  <r>
    <d v="2019-01-20T00:00:00"/>
    <n v="200"/>
    <n v="200"/>
    <n v="0"/>
    <s v="Transfer from xx4836 NetBank monthly payment LT"/>
    <x v="1"/>
    <x v="3"/>
    <x v="2"/>
  </r>
  <r>
    <d v="2019-01-21T00:00:00"/>
    <n v="1290"/>
    <n v="1290"/>
    <n v="0"/>
    <s v="Transfer from UTTAMJEET SINGH CommBank app rent 68 tyquin st"/>
    <x v="2"/>
    <x v="4"/>
    <x v="0"/>
  </r>
  <r>
    <d v="2019-01-21T00:00:00"/>
    <n v="5000"/>
    <n v="5000"/>
    <n v="0"/>
    <s v="Direct Credit 106600 ANDREW MANOKARAN Tyquin Project"/>
    <x v="1"/>
    <x v="5"/>
    <x v="2"/>
  </r>
  <r>
    <d v="2019-01-23T00:00:00"/>
    <n v="1473"/>
    <n v="1473"/>
    <n v="0"/>
    <s v="Transfer from GURPINDER KAUR NetBank 70 tyquin st"/>
    <x v="2"/>
    <x v="4"/>
    <x v="1"/>
  </r>
  <r>
    <d v="2019-01-25T00:00:00"/>
    <n v="-1319.33"/>
    <n v="-1319.33"/>
    <n v="0"/>
    <s v="Direct Debit 012179 Advantedge PTVL ADV"/>
    <x v="3"/>
    <x v="6"/>
    <x v="0"/>
  </r>
  <r>
    <d v="2019-01-25T00:00:00"/>
    <n v="5000"/>
    <n v="5000"/>
    <n v="0"/>
    <s v="Direct Credit 106600 ANDREW MANOKARAN Tyquin Street Proj"/>
    <x v="1"/>
    <x v="5"/>
    <x v="2"/>
  </r>
  <r>
    <d v="2019-01-29T00:00:00"/>
    <n v="-1396.75"/>
    <n v="-1396.75"/>
    <n v="0"/>
    <s v="Direct Debit 000439 BANK-M S311052458400"/>
    <x v="3"/>
    <x v="6"/>
    <x v="1"/>
  </r>
  <r>
    <d v="2019-01-30T00:00:00"/>
    <n v="-85.7"/>
    <n v="-85.7"/>
    <n v="0"/>
    <s v="Direct Debit 452599 AAMI PI HPL077169729"/>
    <x v="3"/>
    <x v="11"/>
    <x v="1"/>
  </r>
  <r>
    <d v="2019-01-31T00:00:00"/>
    <n v="5000"/>
    <n v="5000"/>
    <n v="0"/>
    <s v="Transfer from xx4836 CommBank app BuildPermitLT"/>
    <x v="1"/>
    <x v="3"/>
    <x v="2"/>
  </r>
  <r>
    <d v="2019-02-01T00:00:00"/>
    <n v="-225"/>
    <n v="-225"/>
    <n v="0"/>
    <s v="Transfer to other Bank NetBank 68Tyq GlassReplace"/>
    <x v="3"/>
    <x v="18"/>
    <x v="0"/>
  </r>
  <r>
    <d v="2019-02-01T00:00:00"/>
    <n v="-147.1"/>
    <n v="-147.1"/>
    <n v="0"/>
    <s v="CITY WEST WATER      NetBank BPAY 8789 121739219120"/>
    <x v="3"/>
    <x v="13"/>
    <x v="1"/>
  </r>
  <r>
    <d v="2019-02-01T00:00:00"/>
    <n v="-147.1"/>
    <n v="-147.1"/>
    <n v="0"/>
    <s v="CITY WEST WATER      NetBank BPAY 8789 121739220138"/>
    <x v="3"/>
    <x v="13"/>
    <x v="0"/>
  </r>
  <r>
    <d v="2019-02-13T00:00:00"/>
    <n v="-55"/>
    <n v="-55"/>
    <n v="0"/>
    <s v="Transfer to CBA A/c NetBank 68 Tyquin St TPM"/>
    <x v="3"/>
    <x v="19"/>
    <x v="2"/>
  </r>
  <r>
    <d v="2019-02-13T00:00:00"/>
    <n v="-55"/>
    <n v="-55"/>
    <n v="0"/>
    <s v="Transfer to CBA A/c NetBank 70TyquinPropertMgt"/>
    <x v="3"/>
    <x v="19"/>
    <x v="2"/>
  </r>
  <r>
    <d v="2019-02-14T00:00:00"/>
    <n v="5000"/>
    <n v="5000"/>
    <n v="0"/>
    <s v="Transfer from xx4836 NetBank BuildPermitLT"/>
    <x v="1"/>
    <x v="3"/>
    <x v="2"/>
  </r>
  <r>
    <d v="2019-02-15T00:00:00"/>
    <n v="-102.71"/>
    <n v="-102.71"/>
    <n v="0"/>
    <s v="Direct Debit 452599 AAMI PI HPL071936456"/>
    <x v="3"/>
    <x v="11"/>
    <x v="0"/>
  </r>
  <r>
    <d v="2019-02-18T00:00:00"/>
    <n v="200"/>
    <n v="200"/>
    <n v="0"/>
    <s v="Direct Credit 421520 ANDREW MANOKARAN Mano"/>
    <x v="1"/>
    <x v="5"/>
    <x v="2"/>
  </r>
  <r>
    <d v="2019-02-20T00:00:00"/>
    <n v="200"/>
    <n v="200"/>
    <n v="0"/>
    <s v="Transfer from xx4836 NetBank monthly payment LT"/>
    <x v="1"/>
    <x v="3"/>
    <x v="2"/>
  </r>
  <r>
    <d v="2019-02-21T00:00:00"/>
    <n v="-440"/>
    <n v="-440"/>
    <n v="0"/>
    <s v="Transfer to other Bank NetBank Q003027 Accounting Advise BCG"/>
    <x v="4"/>
    <x v="20"/>
    <x v="9"/>
  </r>
  <r>
    <d v="2019-02-21T00:00:00"/>
    <n v="1290"/>
    <n v="1290"/>
    <n v="0"/>
    <s v="Transfer from UTTAMJEET SINGH CommBank app rent 68 tyquin st"/>
    <x v="2"/>
    <x v="4"/>
    <x v="0"/>
  </r>
  <r>
    <d v="2019-02-25T00:00:00"/>
    <n v="-1295"/>
    <n v="-1295"/>
    <n v="0"/>
    <s v="Transfer to CBA A/c NetBank Energy Report"/>
    <x v="4"/>
    <x v="20"/>
    <x v="10"/>
  </r>
  <r>
    <d v="2019-02-25T00:00:00"/>
    <n v="-1000"/>
    <n v="-1000"/>
    <n v="0"/>
    <s v="Transfer to xx4836 NetBank"/>
    <x v="1"/>
    <x v="3"/>
    <x v="2"/>
  </r>
  <r>
    <d v="2019-02-27T00:00:00"/>
    <n v="-1319.38"/>
    <n v="-1319.38"/>
    <n v="0"/>
    <s v="Direct Debit 012179 Advantedge PTVL ADV"/>
    <x v="3"/>
    <x v="6"/>
    <x v="1"/>
  </r>
  <r>
    <d v="2019-02-27T00:00:00"/>
    <n v="1473"/>
    <n v="1473"/>
    <n v="0"/>
    <s v="Transfer from GURPINDER KAUR NetBank 70 tyquin st"/>
    <x v="2"/>
    <x v="4"/>
    <x v="1"/>
  </r>
  <r>
    <d v="2019-02-28T00:00:00"/>
    <n v="-9955"/>
    <n v="-9955"/>
    <n v="0"/>
    <s v="Transfer to other Bank NetBank DSP Arch Build Per"/>
    <x v="4"/>
    <x v="20"/>
    <x v="3"/>
  </r>
  <r>
    <d v="2019-02-28T00:00:00"/>
    <n v="-1360.93"/>
    <n v="-1360.93"/>
    <n v="0"/>
    <s v="Direct Debit 000439 BANK-M S311052458400"/>
    <x v="3"/>
    <x v="6"/>
    <x v="1"/>
  </r>
  <r>
    <d v="2019-03-01T00:00:00"/>
    <n v="-85.7"/>
    <n v="-85.7"/>
    <n v="0"/>
    <s v="Direct Debit 452599 AAMI PI HPL077169729"/>
    <x v="3"/>
    <x v="11"/>
    <x v="1"/>
  </r>
  <r>
    <d v="2019-03-05T00:00:00"/>
    <n v="-331"/>
    <n v="-331"/>
    <n v="0"/>
    <s v="HOBSONS BAY COUNCIL  NetBank BPAY 39032 59020007004"/>
    <x v="3"/>
    <x v="7"/>
    <x v="1"/>
  </r>
  <r>
    <d v="2019-03-05T00:00:00"/>
    <n v="-322.7"/>
    <n v="-322.7"/>
    <n v="0"/>
    <s v="HOBSONS BAY COUNCIL  NetBank BPAY 39032 59020006808"/>
    <x v="3"/>
    <x v="7"/>
    <x v="0"/>
  </r>
  <r>
    <d v="2019-03-13T00:00:00"/>
    <n v="-55"/>
    <n v="-55"/>
    <n v="0"/>
    <s v="Transfer to CBA A/c NetBank 68 Tyquin St TPM"/>
    <x v="3"/>
    <x v="19"/>
    <x v="2"/>
  </r>
  <r>
    <d v="2019-03-13T00:00:00"/>
    <n v="-55"/>
    <n v="-55"/>
    <n v="0"/>
    <s v="Transfer to CBA A/c NetBank 70TyquinPropertMgt"/>
    <x v="3"/>
    <x v="19"/>
    <x v="2"/>
  </r>
  <r>
    <d v="2019-03-14T00:00:00"/>
    <n v="1000"/>
    <n v="1000"/>
    <n v="0"/>
    <s v="Transfer from xx8759 CommBank app Payback"/>
    <x v="1"/>
    <x v="3"/>
    <x v="2"/>
  </r>
  <r>
    <d v="2019-03-15T00:00:00"/>
    <n v="-102.71"/>
    <n v="-102.71"/>
    <n v="0"/>
    <s v="Direct Debit 452599 AAMI PI HPL071936456"/>
    <x v="3"/>
    <x v="11"/>
    <x v="0"/>
  </r>
  <r>
    <d v="2019-03-18T00:00:00"/>
    <n v="200"/>
    <n v="200"/>
    <n v="0"/>
    <s v="Direct Credit 421520 ANDREW MANOKARAN Mano"/>
    <x v="1"/>
    <x v="5"/>
    <x v="2"/>
  </r>
  <r>
    <d v="2019-03-20T00:00:00"/>
    <n v="-500"/>
    <n v="-500"/>
    <n v="0"/>
    <s v="Transfer to xx8759 NetBank Payment LT"/>
    <x v="1"/>
    <x v="3"/>
    <x v="2"/>
  </r>
  <r>
    <d v="2019-03-20T00:00:00"/>
    <n v="200"/>
    <n v="200"/>
    <n v="0"/>
    <s v="Transfer from xx4836 NetBank monthly payment LT"/>
    <x v="1"/>
    <x v="3"/>
    <x v="2"/>
  </r>
  <r>
    <d v="2019-03-20T00:00:00"/>
    <n v="1473"/>
    <n v="1473"/>
    <n v="0"/>
    <s v="Transfer From MANJIT SINGH CREDIT TO ACCOUNT"/>
    <x v="2"/>
    <x v="4"/>
    <x v="1"/>
  </r>
  <r>
    <d v="2019-03-22T00:00:00"/>
    <n v="1290"/>
    <n v="1290"/>
    <n v="0"/>
    <s v="Transfer from UTTAMJEET SINGH CommBank app rent 68 tyquin st"/>
    <x v="2"/>
    <x v="4"/>
    <x v="0"/>
  </r>
  <r>
    <d v="2019-03-26T00:00:00"/>
    <n v="-250"/>
    <n v="-250"/>
    <n v="0"/>
    <s v="Transfer to xx1274 NetBank"/>
    <x v="1"/>
    <x v="3"/>
    <x v="2"/>
  </r>
  <r>
    <d v="2019-03-27T00:00:00"/>
    <n v="-1192.71"/>
    <n v="-1192.71"/>
    <n v="0"/>
    <s v="Direct Debit 012179 Advantedge PTVL ADV"/>
    <x v="3"/>
    <x v="6"/>
    <x v="0"/>
  </r>
  <r>
    <d v="2019-03-27T00:00:00"/>
    <n v="-250"/>
    <n v="-250"/>
    <n v="0"/>
    <s v="Transfer to xx1274 NetBank"/>
    <x v="1"/>
    <x v="3"/>
    <x v="2"/>
  </r>
  <r>
    <d v="2019-03-28T00:00:00"/>
    <n v="-1229.23"/>
    <n v="-1229.23"/>
    <n v="0"/>
    <s v="Direct Debit 000439 BANK-M S311052458400"/>
    <x v="3"/>
    <x v="6"/>
    <x v="1"/>
  </r>
  <r>
    <d v="2019-04-01T00:00:00"/>
    <n v="-85.7"/>
    <n v="-85.7"/>
    <n v="0"/>
    <s v="Direct Debit 452599 AAMI PI HPL077169729"/>
    <x v="3"/>
    <x v="11"/>
    <x v="1"/>
  </r>
  <r>
    <d v="2019-04-03T00:00:00"/>
    <n v="500"/>
    <n v="500"/>
    <n v="0"/>
    <s v="Transfer from xx1274 NetBank Payback"/>
    <x v="1"/>
    <x v="3"/>
    <x v="2"/>
  </r>
  <r>
    <d v="2019-04-05T00:00:00"/>
    <n v="5000"/>
    <n v="5000"/>
    <n v="0"/>
    <s v="Direct Credit 106600 ANDREW MANOKARAN Lloyd Thomas CBA"/>
    <x v="1"/>
    <x v="5"/>
    <x v="2"/>
  </r>
  <r>
    <d v="2019-04-08T00:00:00"/>
    <n v="-4000"/>
    <n v="-4000"/>
    <n v="0"/>
    <s v="Transfer to CBA A/c NetBank Thomic"/>
    <x v="6"/>
    <x v="21"/>
    <x v="2"/>
  </r>
  <r>
    <d v="2019-04-09T00:00:00"/>
    <n v="-2000"/>
    <n v="-2000"/>
    <n v="0"/>
    <s v="Transfer to other Bank NetBank Payback LT"/>
    <x v="1"/>
    <x v="3"/>
    <x v="2"/>
  </r>
  <r>
    <d v="2019-04-09T00:00:00"/>
    <n v="10000"/>
    <n v="10000"/>
    <n v="0"/>
    <s v="Transfer from xx4836 NetBank Payment LT"/>
    <x v="1"/>
    <x v="3"/>
    <x v="2"/>
  </r>
  <r>
    <d v="2019-04-10T00:00:00"/>
    <n v="5000"/>
    <n v="5000"/>
    <n v="0"/>
    <s v="Direct Credit 106600 ANDREW MANOKARAN Lloyd Thomas CBA"/>
    <x v="1"/>
    <x v="5"/>
    <x v="2"/>
  </r>
  <r>
    <d v="2019-04-13T00:00:00"/>
    <n v="-55"/>
    <n v="-55"/>
    <n v="0"/>
    <s v="Transfer to CBA A/c NetBank 68 Tyquin St TPM"/>
    <x v="3"/>
    <x v="19"/>
    <x v="2"/>
  </r>
  <r>
    <d v="2019-04-13T00:00:00"/>
    <n v="-55"/>
    <n v="-55"/>
    <n v="0"/>
    <s v="Transfer to CBA A/c NetBank 70TyquinPropertMgt"/>
    <x v="3"/>
    <x v="19"/>
    <x v="2"/>
  </r>
  <r>
    <d v="2019-04-14T00:00:00"/>
    <n v="-3107.5"/>
    <n v="-3107.5"/>
    <n v="0"/>
    <s v="Transfer to other Bank NetBank Legal Advise"/>
    <x v="7"/>
    <x v="22"/>
    <x v="2"/>
  </r>
  <r>
    <d v="2019-04-16T00:00:00"/>
    <n v="-102.71"/>
    <n v="-102.71"/>
    <n v="0"/>
    <s v="Direct Debit 452599 AAMI PI HPL071936456"/>
    <x v="3"/>
    <x v="11"/>
    <x v="0"/>
  </r>
  <r>
    <d v="2019-04-16T00:00:00"/>
    <n v="200"/>
    <n v="200"/>
    <n v="0"/>
    <s v="Direct Credit 421520 ANDREW MANOKARAN Mano"/>
    <x v="1"/>
    <x v="5"/>
    <x v="2"/>
  </r>
  <r>
    <d v="2019-04-17T00:00:00"/>
    <n v="1473"/>
    <n v="1473"/>
    <n v="0"/>
    <s v="Transfer from GURPINDER KAUR NetBank 70 tyquin st"/>
    <x v="2"/>
    <x v="4"/>
    <x v="1"/>
  </r>
  <r>
    <d v="2019-04-20T00:00:00"/>
    <n v="200"/>
    <n v="200"/>
    <n v="0"/>
    <s v="Transfer from xx4836 NetBank monthly payment LT"/>
    <x v="1"/>
    <x v="3"/>
    <x v="2"/>
  </r>
  <r>
    <d v="2019-04-20T00:00:00"/>
    <n v="250"/>
    <n v="250"/>
    <n v="0"/>
    <s v="Transfer from xx4836 NetBank Lloyd"/>
    <x v="1"/>
    <x v="3"/>
    <x v="2"/>
  </r>
  <r>
    <d v="2019-04-23T00:00:00"/>
    <n v="1290"/>
    <n v="1290"/>
    <n v="0"/>
    <s v="Transfer from UTTAMJEET SINGH CommBank app rent 68 tyquin st"/>
    <x v="2"/>
    <x v="4"/>
    <x v="0"/>
  </r>
  <r>
    <d v="2019-04-26T00:00:00"/>
    <n v="-1319.54"/>
    <n v="-1319.54"/>
    <n v="0"/>
    <s v="Direct Debit 012179 Advantedge PTVL ADV"/>
    <x v="3"/>
    <x v="6"/>
    <x v="0"/>
  </r>
  <r>
    <d v="2019-04-29T00:00:00"/>
    <n v="-1360.93"/>
    <n v="-1360.93"/>
    <n v="0"/>
    <s v="Direct Debit 000439 BANK-M S311052458400"/>
    <x v="3"/>
    <x v="6"/>
    <x v="1"/>
  </r>
  <r>
    <d v="2019-04-30T00:00:00"/>
    <n v="-85.7"/>
    <n v="-85.7"/>
    <n v="0"/>
    <s v="Direct Debit 452599 AAMI PI HPL077169729"/>
    <x v="3"/>
    <x v="11"/>
    <x v="1"/>
  </r>
  <r>
    <d v="2019-05-01T00:00:00"/>
    <n v="-147.1"/>
    <n v="-147.1"/>
    <n v="0"/>
    <s v="CITY WEST WATER      NetBank BPAY 8789 121739220138"/>
    <x v="3"/>
    <x v="13"/>
    <x v="0"/>
  </r>
  <r>
    <d v="2019-05-01T00:00:00"/>
    <n v="-147.1"/>
    <n v="-147.1"/>
    <n v="0"/>
    <s v="CITY WEST WATER      NetBank BPAY 8789 121739219120"/>
    <x v="3"/>
    <x v="13"/>
    <x v="1"/>
  </r>
  <r>
    <d v="2019-05-01T00:00:00"/>
    <n v="500"/>
    <n v="500"/>
    <n v="0"/>
    <s v="Transfer from xx1274 NetBank Lloyd Payment"/>
    <x v="1"/>
    <x v="3"/>
    <x v="2"/>
  </r>
  <r>
    <d v="2019-05-02T00:00:00"/>
    <n v="-1500"/>
    <n v="-1500"/>
    <n v="0"/>
    <s v="Transfer to xx4353 CommBank app"/>
    <x v="1"/>
    <x v="3"/>
    <x v="2"/>
  </r>
  <r>
    <d v="2019-05-06T00:00:00"/>
    <n v="-2032"/>
    <n v="-2032"/>
    <n v="0"/>
    <s v="Transfer to other Bank NetBank subdivision"/>
    <x v="8"/>
    <x v="21"/>
    <x v="2"/>
  </r>
  <r>
    <d v="2019-05-07T00:00:00"/>
    <n v="2032"/>
    <n v="2032"/>
    <n v="0"/>
    <s v="Direct Credit 068523 TRANS RECALLED subdivision"/>
    <x v="1"/>
    <x v="3"/>
    <x v="2"/>
  </r>
  <r>
    <d v="2019-05-08T00:00:00"/>
    <n v="-2032"/>
    <n v="-2032"/>
    <n v="0"/>
    <s v="Transfer to other Bank NetBank subdivision"/>
    <x v="1"/>
    <x v="3"/>
    <x v="2"/>
  </r>
  <r>
    <d v="2019-05-13T00:00:00"/>
    <n v="-1600"/>
    <n v="-1600"/>
    <n v="0"/>
    <s v="Transfer to other Bank NetBank Project Management"/>
    <x v="6"/>
    <x v="21"/>
    <x v="2"/>
  </r>
  <r>
    <d v="2019-05-13T00:00:00"/>
    <n v="-55"/>
    <n v="-55"/>
    <n v="0"/>
    <s v="Transfer to CBA A/c NetBank 68 Tyquin St TPM"/>
    <x v="3"/>
    <x v="19"/>
    <x v="2"/>
  </r>
  <r>
    <d v="2019-05-13T00:00:00"/>
    <n v="-55"/>
    <n v="-55"/>
    <n v="0"/>
    <s v="Transfer to CBA A/c NetBank 70TyquinPropertMgt"/>
    <x v="3"/>
    <x v="19"/>
    <x v="2"/>
  </r>
  <r>
    <d v="2019-05-15T00:00:00"/>
    <n v="-102.71"/>
    <n v="-102.71"/>
    <n v="0"/>
    <s v="Direct Debit 452599 AAMI PI HPL071936456"/>
    <x v="3"/>
    <x v="11"/>
    <x v="0"/>
  </r>
  <r>
    <d v="2019-05-15T00:00:00"/>
    <n v="2000"/>
    <n v="2000"/>
    <n v="0"/>
    <s v="Transfer from xx1274 NetBank Lloyd"/>
    <x v="1"/>
    <x v="3"/>
    <x v="2"/>
  </r>
  <r>
    <d v="2019-05-16T00:00:00"/>
    <n v="-3740"/>
    <n v="-3740"/>
    <n v="0"/>
    <s v="Transfer to CBA A/c NetBank 6981Depo"/>
    <x v="4"/>
    <x v="20"/>
    <x v="11"/>
  </r>
  <r>
    <d v="2019-05-16T00:00:00"/>
    <n v="200"/>
    <n v="200"/>
    <n v="0"/>
    <s v="Direct Credit 421520 ANDREW MANOKARAN Mano"/>
    <x v="1"/>
    <x v="5"/>
    <x v="2"/>
  </r>
  <r>
    <d v="2019-05-20T00:00:00"/>
    <n v="200"/>
    <n v="200"/>
    <n v="0"/>
    <s v="Transfer from xx1274 NetBank monthly payment LT"/>
    <x v="1"/>
    <x v="3"/>
    <x v="2"/>
  </r>
  <r>
    <d v="2019-05-21T00:00:00"/>
    <n v="-108.4"/>
    <n v="-108.4"/>
    <n v="0"/>
    <s v="Transfer to xx1274 CommBank app Council ammendment"/>
    <x v="8"/>
    <x v="21"/>
    <x v="2"/>
  </r>
  <r>
    <d v="2019-05-21T00:00:00"/>
    <n v="1290"/>
    <n v="1290"/>
    <n v="0"/>
    <s v="Transfer from UTTAMJEET SINGH CommBank app rent 68 tyquin st"/>
    <x v="2"/>
    <x v="4"/>
    <x v="0"/>
  </r>
  <r>
    <d v="2019-05-21T00:00:00"/>
    <n v="1473"/>
    <n v="1473"/>
    <n v="0"/>
    <s v="Transfer from GURPINDER KAUR NetBank 70 tyquin st"/>
    <x v="2"/>
    <x v="4"/>
    <x v="1"/>
  </r>
  <r>
    <d v="2019-05-26T00:00:00"/>
    <n v="-1425"/>
    <n v="-1425"/>
    <n v="0"/>
    <s v="Transfer to other Bank NetBank 1212 BPA Lloyd"/>
    <x v="4"/>
    <x v="20"/>
    <x v="2"/>
  </r>
  <r>
    <d v="2019-05-26T00:00:00"/>
    <n v="-553"/>
    <n v="-553"/>
    <n v="0"/>
    <s v="Transfer to other Bank NetBank MCS Connect"/>
    <x v="8"/>
    <x v="21"/>
    <x v="2"/>
  </r>
  <r>
    <d v="2019-05-27T00:00:00"/>
    <n v="-1297.81"/>
    <n v="-1297.81"/>
    <n v="0"/>
    <s v="Direct Debit 012179 Advantedge PTVL ADV"/>
    <x v="3"/>
    <x v="6"/>
    <x v="0"/>
  </r>
  <r>
    <d v="2019-05-27T00:00:00"/>
    <n v="-500"/>
    <n v="-500"/>
    <n v="0"/>
    <s v="Transfer to xx4836 NetBank"/>
    <x v="1"/>
    <x v="3"/>
    <x v="2"/>
  </r>
  <r>
    <d v="2019-05-27T00:00:00"/>
    <n v="-500"/>
    <n v="-500"/>
    <n v="0"/>
    <s v="Transfer to xx4549 NetBank"/>
    <x v="1"/>
    <x v="3"/>
    <x v="2"/>
  </r>
  <r>
    <d v="2019-05-27T00:00:00"/>
    <n v="2000"/>
    <n v="2000"/>
    <n v="0"/>
    <s v="Direct Credit 106600 LLOYD THOMAS Lloyd Thomas"/>
    <x v="1"/>
    <x v="3"/>
    <x v="2"/>
  </r>
  <r>
    <d v="2019-05-28T00:00:00"/>
    <n v="-1317.03"/>
    <n v="-1317.03"/>
    <n v="0"/>
    <s v="Direct Debit 000439 BANK-M S311052458400"/>
    <x v="3"/>
    <x v="6"/>
    <x v="1"/>
  </r>
  <r>
    <d v="2019-05-30T00:00:00"/>
    <n v="-85.7"/>
    <n v="-85.7"/>
    <n v="0"/>
    <s v="Direct Debit 452599 AAMI PI HPL077169729"/>
    <x v="3"/>
    <x v="11"/>
    <x v="1"/>
  </r>
  <r>
    <d v="2019-05-31T00:00:00"/>
    <n v="500"/>
    <n v="500"/>
    <n v="0"/>
    <s v="Transfer from xx4549 NetBank"/>
    <x v="1"/>
    <x v="3"/>
    <x v="2"/>
  </r>
  <r>
    <d v="2019-05-31T00:00:00"/>
    <n v="500"/>
    <n v="500"/>
    <n v="0"/>
    <s v="Transfer from xx4836 NetBank"/>
    <x v="1"/>
    <x v="3"/>
    <x v="2"/>
  </r>
  <r>
    <d v="2019-06-03T00:00:00"/>
    <n v="-6600"/>
    <n v="-6600"/>
    <n v="0"/>
    <s v="Transfer to other Bank NetBank Bank Eval"/>
    <x v="9"/>
    <x v="23"/>
    <x v="12"/>
  </r>
  <r>
    <d v="2019-06-03T00:00:00"/>
    <n v="500"/>
    <n v="500"/>
    <n v="0"/>
    <s v="Direct Credit 106600 LLOYD THOMAS Lloyd"/>
    <x v="1"/>
    <x v="3"/>
    <x v="2"/>
  </r>
  <r>
    <d v="2019-06-04T00:00:00"/>
    <n v="1473"/>
    <n v="1473"/>
    <n v="0"/>
    <s v="Transfer from GURPINDER KAUR NetBank 70 tyquin st"/>
    <x v="2"/>
    <x v="4"/>
    <x v="1"/>
  </r>
  <r>
    <d v="2019-06-05T00:00:00"/>
    <n v="-99"/>
    <n v="-99"/>
    <n v="0"/>
    <s v="Transfer to other Bank CommBank app repairTap 68Tyquin"/>
    <x v="3"/>
    <x v="18"/>
    <x v="0"/>
  </r>
  <r>
    <d v="2019-06-13T00:00:00"/>
    <n v="-55"/>
    <n v="-55"/>
    <n v="0"/>
    <s v="Transfer to CBA A/c NetBank 68 Tyquin St TPM"/>
    <x v="3"/>
    <x v="19"/>
    <x v="2"/>
  </r>
  <r>
    <d v="2019-06-13T00:00:00"/>
    <n v="-55"/>
    <n v="-55"/>
    <n v="0"/>
    <s v="Transfer to CBA A/c NetBank 70TyquinPropertMgt"/>
    <x v="3"/>
    <x v="19"/>
    <x v="2"/>
  </r>
  <r>
    <d v="2019-06-15T00:00:00"/>
    <n v="-331"/>
    <n v="-331"/>
    <n v="0"/>
    <s v="HOBSONS BAY COUNCIL  NetBank BPAY 39032 59020007004"/>
    <x v="3"/>
    <x v="7"/>
    <x v="1"/>
  </r>
  <r>
    <d v="2019-06-15T00:00:00"/>
    <n v="-320"/>
    <n v="-320"/>
    <n v="0"/>
    <s v="HOBSONS BAY COUNCIL  NetBank BPAY 39032 59020006808"/>
    <x v="3"/>
    <x v="7"/>
    <x v="0"/>
  </r>
  <r>
    <d v="2019-06-17T00:00:00"/>
    <n v="-102.71"/>
    <n v="-102.71"/>
    <n v="0"/>
    <s v="Direct Debit 452599 AAMI PI HPL071936456"/>
    <x v="3"/>
    <x v="11"/>
    <x v="0"/>
  </r>
  <r>
    <d v="2019-06-17T00:00:00"/>
    <n v="200"/>
    <n v="200"/>
    <n v="0"/>
    <s v="Direct Credit 421520 ANDREW MANOKARAN Mano"/>
    <x v="1"/>
    <x v="5"/>
    <x v="2"/>
  </r>
  <r>
    <d v="2019-06-20T00:00:00"/>
    <n v="200"/>
    <n v="200"/>
    <n v="0"/>
    <s v="Transfer from xx1274 NetBank monthly payment LT"/>
    <x v="1"/>
    <x v="3"/>
    <x v="2"/>
  </r>
  <r>
    <d v="2019-06-21T00:00:00"/>
    <n v="1290"/>
    <n v="1290"/>
    <n v="0"/>
    <s v="Transfer from UTTAMJEET SINGH CommBank app rent 68 tyquin st"/>
    <x v="2"/>
    <x v="4"/>
    <x v="0"/>
  </r>
  <r>
    <d v="2019-06-23T00:00:00"/>
    <n v="-500"/>
    <n v="-500"/>
    <n v="0"/>
    <s v="Transfer to CBA A/c NetBank Estate Masters"/>
    <x v="5"/>
    <x v="24"/>
    <x v="2"/>
  </r>
  <r>
    <d v="2019-06-23T00:00:00"/>
    <n v="-350"/>
    <n v="-350"/>
    <n v="0"/>
    <s v="Transfer to other Bank NetBank Hot water unit"/>
    <x v="3"/>
    <x v="18"/>
    <x v="1"/>
  </r>
  <r>
    <d v="2019-06-24T00:00:00"/>
    <n v="2000"/>
    <n v="2000"/>
    <n v="0"/>
    <s v="Direct Credit 106600 LLOYD THOMAS Lloyd Thomas"/>
    <x v="1"/>
    <x v="3"/>
    <x v="2"/>
  </r>
  <r>
    <d v="2019-06-27T00:00:00"/>
    <n v="-1359.51"/>
    <n v="-1359.51"/>
    <n v="0"/>
    <s v="Direct Debit 012179 Advantedge PTVL ADV"/>
    <x v="3"/>
    <x v="6"/>
    <x v="0"/>
  </r>
  <r>
    <d v="2019-06-28T00:00:00"/>
    <n v="-1328.78"/>
    <n v="-1328.78"/>
    <n v="0"/>
    <s v="Direct Debit 000439 BANK-M S311052458400"/>
    <x v="3"/>
    <x v="6"/>
    <x v="1"/>
  </r>
  <r>
    <d v="2019-06-30T00:00:00"/>
    <n v="-650"/>
    <n v="-650"/>
    <n v="0"/>
    <s v="Transfer to xx4549 NetBank"/>
    <x v="1"/>
    <x v="3"/>
    <x v="2"/>
  </r>
  <r>
    <d v="2019-07-01T00:00:00"/>
    <n v="-770"/>
    <n v="-770"/>
    <n v="0"/>
    <s v="Transfer to CBA A/c NetBank EngineerAmmendBuil"/>
    <x v="4"/>
    <x v="20"/>
    <x v="13"/>
  </r>
  <r>
    <d v="2019-07-01T00:00:00"/>
    <n v="650"/>
    <n v="650"/>
    <n v="0"/>
    <s v="Transfer from xx4836 NetBank lloyd payback"/>
    <x v="1"/>
    <x v="3"/>
    <x v="2"/>
  </r>
  <r>
    <d v="2019-07-02T00:00:00"/>
    <n v="-85.7"/>
    <n v="-85.7"/>
    <n v="0"/>
    <s v="Direct Debit 452599 AAMI PI HPL077169729"/>
    <x v="3"/>
    <x v="11"/>
    <x v="1"/>
  </r>
  <r>
    <d v="2019-07-11T00:00:00"/>
    <n v="1473"/>
    <n v="1473"/>
    <n v="0"/>
    <s v="Transfer from GURPINDER KAUR NetBank 70 tyquin st"/>
    <x v="2"/>
    <x v="4"/>
    <x v="1"/>
  </r>
  <r>
    <d v="2019-07-13T00:00:00"/>
    <n v="-55"/>
    <n v="-55"/>
    <n v="0"/>
    <s v="Transfer to CBA A/c NetBank 68 Tyquin St TPM"/>
    <x v="3"/>
    <x v="19"/>
    <x v="2"/>
  </r>
  <r>
    <d v="2019-07-13T00:00:00"/>
    <n v="-55"/>
    <n v="-55"/>
    <n v="0"/>
    <s v="Transfer to CBA A/c NetBank 70TyquinPropertMgt"/>
    <x v="3"/>
    <x v="19"/>
    <x v="2"/>
  </r>
  <r>
    <d v="2019-07-15T00:00:00"/>
    <n v="-2100"/>
    <n v="-2100"/>
    <n v="0"/>
    <s v="Transfer to other Bank CommBank app section 173"/>
    <x v="8"/>
    <x v="21"/>
    <x v="2"/>
  </r>
  <r>
    <d v="2019-07-15T00:00:00"/>
    <n v="100"/>
    <n v="100"/>
    <n v="0"/>
    <s v="Transfer from xx2863 CommBank app Lloyd"/>
    <x v="1"/>
    <x v="3"/>
    <x v="2"/>
  </r>
  <r>
    <d v="2019-07-15T00:00:00"/>
    <n v="550"/>
    <n v="550"/>
    <n v="0"/>
    <s v="Transfer from xx2863 CommBank app Loan"/>
    <x v="1"/>
    <x v="3"/>
    <x v="2"/>
  </r>
  <r>
    <d v="2019-07-15T00:00:00"/>
    <n v="5000"/>
    <n v="5000"/>
    <n v="0"/>
    <s v="Direct Credit 106600 LLOYD THOMAS Lloyd Thomas"/>
    <x v="1"/>
    <x v="3"/>
    <x v="2"/>
  </r>
  <r>
    <d v="2019-07-16T00:00:00"/>
    <n v="-102.71"/>
    <n v="-102.71"/>
    <n v="0"/>
    <s v="Direct Debit 452599 AAMI PI HPL071936456"/>
    <x v="3"/>
    <x v="11"/>
    <x v="0"/>
  </r>
  <r>
    <d v="2019-07-16T00:00:00"/>
    <n v="200"/>
    <n v="200"/>
    <n v="0"/>
    <s v="Direct Credit 421520 ANDREW MANOKARAN Mano"/>
    <x v="1"/>
    <x v="5"/>
    <x v="2"/>
  </r>
  <r>
    <d v="2019-07-16T00:00:00"/>
    <n v="5000"/>
    <n v="5000"/>
    <n v="0"/>
    <s v="Direct Credit 106600 ANDREW MANOKARAN Tyquin Street"/>
    <x v="1"/>
    <x v="5"/>
    <x v="2"/>
  </r>
  <r>
    <d v="2019-07-17T00:00:00"/>
    <n v="-5365.2"/>
    <n v="-5365.2"/>
    <n v="0"/>
    <s v="Transfer to other Bank NetBank City West Water"/>
    <x v="8"/>
    <x v="21"/>
    <x v="2"/>
  </r>
  <r>
    <d v="2019-07-17T00:00:00"/>
    <n v="-438.8"/>
    <n v="-438.8"/>
    <n v="0"/>
    <s v="Transfer to other Bank NetBank 70 Tyquin St Rudy"/>
    <x v="3"/>
    <x v="18"/>
    <x v="1"/>
  </r>
  <r>
    <d v="2019-07-18T00:00:00"/>
    <n v="5000"/>
    <n v="5000"/>
    <n v="0"/>
    <s v="Direct Credit 106600 ANDREW MANOKARAN Tyquin Street"/>
    <x v="1"/>
    <x v="5"/>
    <x v="2"/>
  </r>
  <r>
    <d v="2019-07-20T00:00:00"/>
    <n v="200"/>
    <n v="200"/>
    <n v="0"/>
    <s v="Transfer from xx1274 NetBank monthly payment LT"/>
    <x v="1"/>
    <x v="3"/>
    <x v="2"/>
  </r>
  <r>
    <d v="2019-07-23T00:00:00"/>
    <n v="-3600"/>
    <n v="-3600"/>
    <n v="0"/>
    <s v="Transfer to other Bank NetBank NBN"/>
    <x v="8"/>
    <x v="21"/>
    <x v="2"/>
  </r>
  <r>
    <d v="2019-07-23T00:00:00"/>
    <n v="1290"/>
    <n v="1290"/>
    <n v="0"/>
    <s v="Transfer from UTTAMJEET SINGH CommBank app rent 68 tyquin st"/>
    <x v="2"/>
    <x v="4"/>
    <x v="0"/>
  </r>
  <r>
    <d v="2019-07-26T00:00:00"/>
    <n v="-1309.67"/>
    <n v="-1309.67"/>
    <n v="0"/>
    <s v="Direct Debit 012179 Advantedge PTVL ADV"/>
    <x v="3"/>
    <x v="6"/>
    <x v="0"/>
  </r>
  <r>
    <d v="2019-07-29T00:00:00"/>
    <n v="-9000"/>
    <n v="-9000"/>
    <n v="0"/>
    <s v="Transfer to other Bank NetBank PowerCorp01"/>
    <x v="8"/>
    <x v="21"/>
    <x v="2"/>
  </r>
  <r>
    <d v="2019-07-29T00:00:00"/>
    <n v="-1187.53"/>
    <n v="-1187.53"/>
    <n v="0"/>
    <s v="Direct Debit 000439 BANK-M S311052458400"/>
    <x v="3"/>
    <x v="6"/>
    <x v="1"/>
  </r>
  <r>
    <d v="2019-07-29T00:00:00"/>
    <n v="5000"/>
    <n v="5000"/>
    <n v="0"/>
    <s v="Direct Credit 106600 LLOYD THOMAS Lloyd Thomas"/>
    <x v="1"/>
    <x v="3"/>
    <x v="2"/>
  </r>
  <r>
    <d v="2019-07-30T00:00:00"/>
    <n v="-225.98"/>
    <n v="-225.98"/>
    <n v="0"/>
    <s v="CITY WEST WATER      NetBank BPAY 8789 121739220138"/>
    <x v="3"/>
    <x v="13"/>
    <x v="0"/>
  </r>
  <r>
    <d v="2019-07-30T00:00:00"/>
    <n v="-225.98"/>
    <n v="-225.98"/>
    <n v="0"/>
    <s v="CITY WEST WATER      NetBank BPAY 8789 121739219120"/>
    <x v="3"/>
    <x v="13"/>
    <x v="1"/>
  </r>
  <r>
    <d v="2019-07-30T00:00:00"/>
    <n v="-92.13"/>
    <n v="-92.13"/>
    <n v="0"/>
    <s v="Direct Debit 452599 AAMI PI HPL077169729"/>
    <x v="3"/>
    <x v="11"/>
    <x v="1"/>
  </r>
  <r>
    <d v="2019-07-31T00:00:00"/>
    <n v="-1000"/>
    <n v="-1000"/>
    <n v="0"/>
    <s v="Transfer to other Bank NetBank PowerCorp02"/>
    <x v="8"/>
    <x v="21"/>
    <x v="2"/>
  </r>
  <r>
    <d v="2019-07-31T00:00:00"/>
    <n v="1000"/>
    <n v="1000"/>
    <n v="0"/>
    <s v="Direct Credit 106600 LLOYD THOMAS Lloyd Thomas"/>
    <x v="1"/>
    <x v="3"/>
    <x v="2"/>
  </r>
  <r>
    <d v="2019-08-05T00:00:00"/>
    <n v="2000"/>
    <n v="2000"/>
    <n v="0"/>
    <s v="Direct Credit 106600 ANDREW MANOKARAN Andrew Tyquin"/>
    <x v="1"/>
    <x v="5"/>
    <x v="2"/>
  </r>
  <r>
    <d v="2019-08-06T00:00:00"/>
    <n v="-1000"/>
    <n v="-1000"/>
    <n v="0"/>
    <s v="Transfer to xx1274 CommBank app"/>
    <x v="1"/>
    <x v="3"/>
    <x v="2"/>
  </r>
  <r>
    <d v="2019-08-06T00:00:00"/>
    <n v="-635"/>
    <n v="-635"/>
    <n v="0"/>
    <s v="Transfer to other Bank CommBank app city west water"/>
    <x v="8"/>
    <x v="21"/>
    <x v="2"/>
  </r>
  <r>
    <d v="2019-08-08T00:00:00"/>
    <n v="-525"/>
    <n v="-525"/>
    <n v="0"/>
    <s v="SROVIC LAND TAX      NetBank BPAY 5249 26934936"/>
    <x v="3"/>
    <x v="25"/>
    <x v="2"/>
  </r>
  <r>
    <d v="2019-08-15T00:00:00"/>
    <n v="-102.71"/>
    <n v="-102.71"/>
    <n v="0"/>
    <s v="Direct Debit 452599 AAMI PI HPL071936456"/>
    <x v="3"/>
    <x v="11"/>
    <x v="0"/>
  </r>
  <r>
    <d v="2019-08-16T00:00:00"/>
    <n v="-5"/>
    <n v="-5"/>
    <n v="0"/>
    <s v="Unpaid Payment Fee Value Date: 15/08/2019"/>
    <x v="5"/>
    <x v="17"/>
    <x v="2"/>
  </r>
  <r>
    <d v="2019-08-16T00:00:00"/>
    <n v="102.71"/>
    <n v="102.71"/>
    <n v="0"/>
    <s v="Return 15/08/19 Direct Debit 452599 AAMI PI HPL071936456 Value Date: 15/08/2019"/>
    <x v="3"/>
    <x v="11"/>
    <x v="0"/>
  </r>
  <r>
    <d v="2019-08-16T00:00:00"/>
    <n v="200"/>
    <n v="200"/>
    <n v="0"/>
    <s v="Direct Credit 421520 ANDREW MANOKARAN Mano"/>
    <x v="1"/>
    <x v="3"/>
    <x v="2"/>
  </r>
  <r>
    <d v="2019-08-16T00:00:00"/>
    <n v="2000"/>
    <n v="2000"/>
    <n v="0"/>
    <s v="Direct Credit 106600 ANDREW MANOKARAN Tyquin Street"/>
    <x v="1"/>
    <x v="5"/>
    <x v="2"/>
  </r>
  <r>
    <d v="2019-08-17T00:00:00"/>
    <n v="-525"/>
    <n v="-525"/>
    <n v="0"/>
    <s v="SROVIC LAND TAX      NetBank BPAY 5249 28871922 Land Tax 68 Tyquin"/>
    <x v="3"/>
    <x v="25"/>
    <x v="2"/>
  </r>
  <r>
    <d v="2019-08-18T00:00:00"/>
    <n v="-55"/>
    <n v="-55"/>
    <n v="0"/>
    <s v="Transfer to CBA A/c NetBank 68 Tyquin St TPM"/>
    <x v="3"/>
    <x v="19"/>
    <x v="2"/>
  </r>
  <r>
    <d v="2019-08-18T00:00:00"/>
    <n v="-55"/>
    <n v="-55"/>
    <n v="0"/>
    <s v="Transfer to CBA A/c NetBank 70TyquinPropertMgt"/>
    <x v="3"/>
    <x v="19"/>
    <x v="2"/>
  </r>
  <r>
    <d v="2019-08-20T00:00:00"/>
    <n v="1473"/>
    <n v="1473"/>
    <n v="0"/>
    <s v="Transfer from GURPINDER KAUR NetBank 70 tyquin st"/>
    <x v="2"/>
    <x v="4"/>
    <x v="1"/>
  </r>
  <r>
    <d v="2019-08-21T00:00:00"/>
    <n v="1290"/>
    <n v="1290"/>
    <n v="0"/>
    <s v="Transfer from UTTAMJEET SINGH CommBank app rent 68 tyquin st"/>
    <x v="2"/>
    <x v="4"/>
    <x v="0"/>
  </r>
  <r>
    <d v="2019-08-27T00:00:00"/>
    <n v="-1293.3800000000001"/>
    <n v="-1293.3800000000001"/>
    <n v="0"/>
    <s v="Direct Debit 012179 Advantedge PTVL ADV"/>
    <x v="3"/>
    <x v="6"/>
    <x v="0"/>
  </r>
  <r>
    <d v="2019-08-28T00:00:00"/>
    <n v="-1175.8599999999999"/>
    <n v="-1175.8599999999999"/>
    <n v="0"/>
    <s v="Direct Debit 000439 BANK-M S311052458400"/>
    <x v="3"/>
    <x v="6"/>
    <x v="1"/>
  </r>
  <r>
    <d v="2019-08-29T00:00:00"/>
    <n v="-102.71"/>
    <n v="-102.71"/>
    <n v="0"/>
    <s v="Direct Debit 452599 AAMI PI HPL071936456"/>
    <x v="3"/>
    <x v="11"/>
    <x v="0"/>
  </r>
  <r>
    <d v="2019-08-30T00:00:00"/>
    <n v="-92.13"/>
    <n v="-92.13"/>
    <n v="0"/>
    <s v="Direct Debit 452599 AAMI PI HPL077169729"/>
    <x v="3"/>
    <x v="11"/>
    <x v="1"/>
  </r>
  <r>
    <d v="2019-09-12T00:00:00"/>
    <n v="-190"/>
    <n v="-190"/>
    <n v="0"/>
    <s v="Transfer to other Bank NetBank PLAN section173"/>
    <x v="8"/>
    <x v="21"/>
    <x v="2"/>
  </r>
  <r>
    <d v="2019-09-12T00:00:00"/>
    <n v="1000"/>
    <n v="1000"/>
    <n v="0"/>
    <s v="Transfer from xx1274 NetBank Tyquin St Project"/>
    <x v="1"/>
    <x v="3"/>
    <x v="2"/>
  </r>
  <r>
    <d v="2019-09-13T00:00:00"/>
    <n v="-55"/>
    <n v="-55"/>
    <n v="0"/>
    <s v="Transfer to CBA A/c NetBank 68 Tyquin St TPM"/>
    <x v="3"/>
    <x v="19"/>
    <x v="2"/>
  </r>
  <r>
    <d v="2019-09-13T00:00:00"/>
    <n v="-55"/>
    <n v="-55"/>
    <n v="0"/>
    <s v="Transfer to CBA A/c NetBank 70TyquinPropertMgt"/>
    <x v="3"/>
    <x v="19"/>
    <x v="2"/>
  </r>
  <r>
    <d v="2019-09-16T00:00:00"/>
    <n v="200"/>
    <n v="200"/>
    <n v="0"/>
    <s v="Direct Credit 421520 ANDREW MANOKARAN Mano"/>
    <x v="1"/>
    <x v="5"/>
    <x v="2"/>
  </r>
  <r>
    <d v="2019-09-17T00:00:00"/>
    <n v="-102.71"/>
    <n v="-102.71"/>
    <n v="0"/>
    <s v="Direct Debit 452599 AAMI PI HPL071936456"/>
    <x v="3"/>
    <x v="11"/>
    <x v="0"/>
  </r>
  <r>
    <d v="2019-09-23T00:00:00"/>
    <n v="1473"/>
    <n v="1473"/>
    <n v="0"/>
    <s v="Transfer from GURPINDER KAUR NetBank 70 tyquin st"/>
    <x v="2"/>
    <x v="4"/>
    <x v="1"/>
  </r>
  <r>
    <d v="2019-09-24T00:00:00"/>
    <n v="-926.5"/>
    <n v="-926.5"/>
    <n v="0"/>
    <s v="Transfer to other Bank NetBank Section 173 Legal"/>
    <x v="7"/>
    <x v="22"/>
    <x v="2"/>
  </r>
  <r>
    <d v="2019-09-26T00:00:00"/>
    <n v="-1244.97"/>
    <n v="-1244.97"/>
    <n v="0"/>
    <s v="Direct Debit 012179 Advantedge PTVL ADV"/>
    <x v="3"/>
    <x v="6"/>
    <x v="0"/>
  </r>
  <r>
    <d v="2019-09-26T00:00:00"/>
    <n v="200"/>
    <n v="200"/>
    <n v="0"/>
    <s v="Transfer from xx1274 NetBank monthly payment LT"/>
    <x v="1"/>
    <x v="3"/>
    <x v="2"/>
  </r>
  <r>
    <d v="2019-09-30T00:00:00"/>
    <n v="-1175.8599999999999"/>
    <n v="-1175.8599999999999"/>
    <n v="0"/>
    <s v="Direct Debit 000439 BANK-M S311052458400"/>
    <x v="3"/>
    <x v="6"/>
    <x v="1"/>
  </r>
  <r>
    <d v="2019-10-01T00:00:00"/>
    <n v="-92.13"/>
    <n v="-92.13"/>
    <n v="0"/>
    <s v="Direct Debit 452599 AAMI PI HPL077169729"/>
    <x v="3"/>
    <x v="11"/>
    <x v="1"/>
  </r>
  <r>
    <d v="2019-10-02T00:00:00"/>
    <n v="848"/>
    <n v="848"/>
    <n v="0"/>
    <s v="Transfer from UTTAMJEET SINGH CommBank app rent 68 tyquin st"/>
    <x v="2"/>
    <x v="4"/>
    <x v="0"/>
  </r>
  <r>
    <d v="2019-10-05T00:00:00"/>
    <n v="-2062.5"/>
    <n v="-1875"/>
    <n v="-187.5"/>
    <s v="Transfer to other Bank NetBank Demolition"/>
    <x v="10"/>
    <x v="26"/>
    <x v="14"/>
  </r>
  <r>
    <d v="2019-10-05T00:00:00"/>
    <n v="50"/>
    <n v="50"/>
    <n v="0"/>
    <s v="Transfer from xx4353 NetBank lloyd deposit"/>
    <x v="1"/>
    <x v="3"/>
    <x v="2"/>
  </r>
  <r>
    <d v="2019-10-05T00:00:00"/>
    <n v="500"/>
    <n v="500"/>
    <n v="0"/>
    <s v="Transfer from xx4353 NetBank lloyd deposit"/>
    <x v="1"/>
    <x v="3"/>
    <x v="2"/>
  </r>
  <r>
    <d v="2019-10-07T00:00:00"/>
    <n v="581"/>
    <n v="581"/>
    <n v="0"/>
    <s v="Transfer from GURPINDER KAUR NetBank 70 tyquin st"/>
    <x v="2"/>
    <x v="4"/>
    <x v="1"/>
  </r>
  <r>
    <d v="2019-10-08T00:00:00"/>
    <n v="15000"/>
    <n v="15000"/>
    <n v="0"/>
    <s v="Direct Credit 106600 ANDREW MANOKARAN Tyquin Street Demo"/>
    <x v="1"/>
    <x v="5"/>
    <x v="2"/>
  </r>
  <r>
    <d v="2019-10-11T00:00:00"/>
    <n v="-500"/>
    <n v="-454.54545454545456"/>
    <n v="-45.454545454545453"/>
    <s v="Transfer to xx1274 CommBank app Remove Aircon"/>
    <x v="10"/>
    <x v="26"/>
    <x v="14"/>
  </r>
  <r>
    <d v="2019-10-13T00:00:00"/>
    <n v="-55"/>
    <n v="-55"/>
    <n v="0"/>
    <s v="Transfer to CBA A/c NetBank 68 Tyquin St TPM"/>
    <x v="3"/>
    <x v="19"/>
    <x v="2"/>
  </r>
  <r>
    <d v="2019-10-13T00:00:00"/>
    <n v="-55"/>
    <n v="-55"/>
    <n v="0"/>
    <s v="Transfer to CBA A/c NetBank 70TyquinPropertMgt"/>
    <x v="3"/>
    <x v="19"/>
    <x v="2"/>
  </r>
  <r>
    <d v="2019-10-15T00:00:00"/>
    <n v="-102.71"/>
    <n v="-102.71"/>
    <n v="0"/>
    <s v="Direct Debit 452599 AAMI PI HPL071936456"/>
    <x v="3"/>
    <x v="11"/>
    <x v="0"/>
  </r>
  <r>
    <d v="2019-10-16T00:00:00"/>
    <n v="200"/>
    <n v="200"/>
    <n v="0"/>
    <s v="Direct Credit 421520 ANDREW MANOKARAN Mano"/>
    <x v="1"/>
    <x v="5"/>
    <x v="2"/>
  </r>
  <r>
    <d v="2019-10-20T00:00:00"/>
    <n v="200"/>
    <n v="200"/>
    <n v="0"/>
    <s v="Transfer from xx1274 NetBank monthly payment LT"/>
    <x v="1"/>
    <x v="3"/>
    <x v="2"/>
  </r>
  <r>
    <d v="2019-10-21T00:00:00"/>
    <n v="1300"/>
    <n v="1300"/>
    <n v="0"/>
    <s v="Direct Credit 106600 ANDREW MANOKARAN Tyquin Street"/>
    <x v="1"/>
    <x v="5"/>
    <x v="2"/>
  </r>
  <r>
    <d v="2019-10-25T00:00:00"/>
    <n v="-1203.06"/>
    <n v="-1203.06"/>
    <n v="0"/>
    <s v="Direct Debit 012179 Advantedge PTVL ADV"/>
    <x v="3"/>
    <x v="6"/>
    <x v="0"/>
  </r>
  <r>
    <d v="2019-10-26T00:00:00"/>
    <n v="-2750"/>
    <n v="-2500"/>
    <n v="-250"/>
    <s v="Transfer to other Bank NetBank subdivision anthon"/>
    <x v="8"/>
    <x v="21"/>
    <x v="2"/>
  </r>
  <r>
    <d v="2019-10-26T00:00:00"/>
    <n v="-1200"/>
    <n v="-1200"/>
    <n v="0"/>
    <s v="Transfer to xx4549 NetBank Lloyd"/>
    <x v="1"/>
    <x v="3"/>
    <x v="2"/>
  </r>
  <r>
    <d v="2019-10-26T00:00:00"/>
    <n v="-1000"/>
    <n v="-1000"/>
    <n v="0"/>
    <s v="Transfer to CBA A/c NetBank Thomic"/>
    <x v="1"/>
    <x v="3"/>
    <x v="2"/>
  </r>
  <r>
    <d v="2019-10-26T00:00:00"/>
    <n v="-340.1"/>
    <n v="-340.1"/>
    <n v="0"/>
    <s v="HOBSONS BAY COUNCIL  NetBank BPAY 39032 59020006808"/>
    <x v="3"/>
    <x v="7"/>
    <x v="0"/>
  </r>
  <r>
    <d v="2019-10-27T00:00:00"/>
    <n v="1000"/>
    <n v="1000"/>
    <n v="0"/>
    <s v="Transfer from xx4836 NetBank lloyd"/>
    <x v="1"/>
    <x v="3"/>
    <x v="2"/>
  </r>
  <r>
    <d v="2019-10-27T00:00:00"/>
    <n v="1300"/>
    <n v="1300"/>
    <n v="0"/>
    <s v="Transfer from xx4836 NetBank lloyd monthly"/>
    <x v="1"/>
    <x v="3"/>
    <x v="2"/>
  </r>
  <r>
    <d v="2019-10-28T00:00:00"/>
    <n v="-1121.4000000000001"/>
    <n v="-1121.4000000000001"/>
    <n v="0"/>
    <s v="Direct Debit 000439 BANK-M S311052458400"/>
    <x v="3"/>
    <x v="6"/>
    <x v="1"/>
  </r>
  <r>
    <d v="2019-10-29T00:00:00"/>
    <n v="-146.96"/>
    <n v="-146.96"/>
    <n v="0"/>
    <s v="CITY WEST WATER      CommBank app BPAY 8789 121739219120"/>
    <x v="3"/>
    <x v="13"/>
    <x v="1"/>
  </r>
  <r>
    <d v="2019-10-29T00:00:00"/>
    <n v="-146"/>
    <n v="-146"/>
    <n v="0"/>
    <s v="CITY WEST WATER      CommBank app BPAY 8789 121739220138"/>
    <x v="3"/>
    <x v="13"/>
    <x v="0"/>
  </r>
  <r>
    <d v="2019-10-29T00:00:00"/>
    <n v="1200"/>
    <n v="1200"/>
    <n v="0"/>
    <s v="Transfer from xx4549 CommBank app Lloyd"/>
    <x v="1"/>
    <x v="3"/>
    <x v="2"/>
  </r>
  <r>
    <d v="2019-10-30T00:00:00"/>
    <n v="-92.13"/>
    <n v="-92.13"/>
    <n v="0"/>
    <s v="Direct Debit 452599 AAMI PI HPL077169729"/>
    <x v="3"/>
    <x v="11"/>
    <x v="1"/>
  </r>
  <r>
    <d v="2019-11-02T00:00:00"/>
    <n v="-353.75"/>
    <n v="-353.75"/>
    <n v="0"/>
    <s v="HOBSONS BAY COUNCIL  NetBank BPAY 39032 59020007004"/>
    <x v="3"/>
    <x v="7"/>
    <x v="1"/>
  </r>
  <r>
    <d v="2019-11-03T00:00:00"/>
    <n v="-850"/>
    <n v="-850"/>
    <n v="0"/>
    <s v="Transfer to xx1274 CommBank app"/>
    <x v="1"/>
    <x v="3"/>
    <x v="2"/>
  </r>
  <r>
    <d v="2019-11-13T00:00:00"/>
    <n v="-55"/>
    <n v="-55"/>
    <n v="0"/>
    <s v="Transfer to CBA A/c NetBank 68 Tyquin St TPM"/>
    <x v="3"/>
    <x v="19"/>
    <x v="2"/>
  </r>
  <r>
    <d v="2019-11-13T00:00:00"/>
    <n v="-55"/>
    <n v="-55"/>
    <n v="0"/>
    <s v="Transfer to CBA A/c NetBank 70TyquinPropertMgt"/>
    <x v="3"/>
    <x v="19"/>
    <x v="2"/>
  </r>
  <r>
    <d v="2019-11-15T00:00:00"/>
    <n v="-102.71"/>
    <n v="-102.71"/>
    <n v="0"/>
    <s v="Direct Debit 452599 AAMI PI HPL071936456"/>
    <x v="3"/>
    <x v="11"/>
    <x v="0"/>
  </r>
  <r>
    <d v="2019-11-16T00:00:00"/>
    <n v="-10312.5"/>
    <n v="-9375"/>
    <n v="-937.5"/>
    <s v="Transfer to other Bank NetBank demolition"/>
    <x v="10"/>
    <x v="26"/>
    <x v="14"/>
  </r>
  <r>
    <d v="2019-11-18T00:00:00"/>
    <n v="200"/>
    <n v="200"/>
    <n v="0"/>
    <s v="Direct Credit 421520 ANDREW MANOKARAN Mano"/>
    <x v="1"/>
    <x v="5"/>
    <x v="2"/>
  </r>
  <r>
    <d v="2019-11-21T00:00:00"/>
    <n v="200"/>
    <n v="200"/>
    <n v="0"/>
    <s v="Transfer from xx1274 NetBank monthly payment LT"/>
    <x v="1"/>
    <x v="3"/>
    <x v="2"/>
  </r>
  <r>
    <d v="2019-11-22T00:00:00"/>
    <n v="1300"/>
    <n v="1300"/>
    <n v="0"/>
    <s v="Transfer from xx4836 NetBank"/>
    <x v="1"/>
    <x v="3"/>
    <x v="2"/>
  </r>
  <r>
    <d v="2019-11-25T00:00:00"/>
    <n v="1300"/>
    <n v="1300"/>
    <n v="0"/>
    <s v="Direct Credit 106600 ANDREW MANOKARAN Tyquin St Project"/>
    <x v="1"/>
    <x v="5"/>
    <x v="2"/>
  </r>
  <r>
    <d v="2019-11-27T00:00:00"/>
    <n v="-1238.9100000000001"/>
    <n v="-1238.9100000000001"/>
    <n v="0"/>
    <s v="Direct Debit 012179 Advantedge PTVL ADV"/>
    <x v="3"/>
    <x v="6"/>
    <x v="0"/>
  </r>
  <r>
    <d v="2019-11-28T00:00:00"/>
    <n v="-1133.1600000000001"/>
    <n v="-1133.1600000000001"/>
    <n v="0"/>
    <s v="Direct Debit 000439 BANK-M S311052458400"/>
    <x v="3"/>
    <x v="6"/>
    <x v="1"/>
  </r>
  <r>
    <d v="2019-12-01T00:00:00"/>
    <n v="-340"/>
    <n v="-340"/>
    <n v="0"/>
    <s v="HOBSONS BAY COUNCIL  NetBank BPAY 39032 59020006808"/>
    <x v="3"/>
    <x v="7"/>
    <x v="0"/>
  </r>
  <r>
    <d v="2019-12-02T00:00:00"/>
    <n v="-92.13"/>
    <n v="-92.13"/>
    <n v="0"/>
    <s v="Direct Debit 452599 AAMI PI HPL077169729"/>
    <x v="3"/>
    <x v="11"/>
    <x v="1"/>
  </r>
  <r>
    <d v="2019-12-03T00:00:00"/>
    <n v="-2750"/>
    <n v="-2500"/>
    <n v="-250"/>
    <s v="Transfer to CBA A/c NetBank Tyquin St Deposit1"/>
    <x v="10"/>
    <x v="27"/>
    <x v="15"/>
  </r>
  <r>
    <d v="2019-12-03T00:00:00"/>
    <n v="-706.75"/>
    <n v="-706.75"/>
    <n v="0"/>
    <s v="HOBSONS BAY COUNCIL  NetBank BPAY 39032 59020007004"/>
    <x v="3"/>
    <x v="7"/>
    <x v="1"/>
  </r>
  <r>
    <d v="2019-12-03T00:00:00"/>
    <n v="8500"/>
    <n v="8500"/>
    <n v="0"/>
    <s v="Transfer from xx4836 NetBank lloyd"/>
    <x v="1"/>
    <x v="3"/>
    <x v="2"/>
  </r>
  <r>
    <d v="2019-12-03T00:00:00"/>
    <n v="9300"/>
    <n v="9300"/>
    <n v="0"/>
    <s v="Direct Credit 106600 ANDREW MANOKARAN Tyquin Street - Bu"/>
    <x v="1"/>
    <x v="5"/>
    <x v="2"/>
  </r>
  <r>
    <d v="2019-12-04T00:00:00"/>
    <n v="-350"/>
    <n v="-318.18181818181819"/>
    <n v="-31.818181818181817"/>
    <s v="Transfer to other Bank NetBank Anthony Ford"/>
    <x v="8"/>
    <x v="21"/>
    <x v="2"/>
  </r>
  <r>
    <d v="2019-12-05T00:00:00"/>
    <n v="-8600"/>
    <n v="-7818.181818181818"/>
    <n v="-781.81818181818187"/>
    <s v="Transfer to other Bank NetBank IV00000001008 Rudy"/>
    <x v="10"/>
    <x v="26"/>
    <x v="14"/>
  </r>
  <r>
    <d v="2019-12-05T00:00:00"/>
    <n v="-3056.9"/>
    <n v="-2779"/>
    <n v="-277.90000000000003"/>
    <s v="Transfer to other Bank NetBank INV0278 Lloyd Thom"/>
    <x v="7"/>
    <x v="22"/>
    <x v="2"/>
  </r>
  <r>
    <d v="2019-12-11T00:00:00"/>
    <n v="-10000"/>
    <n v="-9090.9090909090901"/>
    <n v="-909.09090909090912"/>
    <s v="Transfer to CBA A/c NetBank Deposit"/>
    <x v="10"/>
    <x v="27"/>
    <x v="15"/>
  </r>
  <r>
    <d v="2019-12-11T00:00:00"/>
    <n v="8000"/>
    <n v="8000"/>
    <n v="0"/>
    <s v="Transfer from xx4836 NetBank Lloyd"/>
    <x v="1"/>
    <x v="3"/>
    <x v="2"/>
  </r>
  <r>
    <d v="2019-12-15T00:00:00"/>
    <n v="-110"/>
    <n v="-110"/>
    <n v="0"/>
    <s v="Transfer to CBA A/c NetBank Tyquin St Maintena"/>
    <x v="3"/>
    <x v="19"/>
    <x v="2"/>
  </r>
  <r>
    <d v="2019-12-16T00:00:00"/>
    <n v="200"/>
    <n v="200"/>
    <n v="0"/>
    <s v="Direct Credit 421520 ANDREW MANOKARAN Mano"/>
    <x v="1"/>
    <x v="5"/>
    <x v="2"/>
  </r>
  <r>
    <d v="2019-12-17T00:00:00"/>
    <n v="-102.71"/>
    <n v="-102.71"/>
    <n v="0"/>
    <s v="Direct Debit 452599 AAMI PI HPL071936456"/>
    <x v="3"/>
    <x v="11"/>
    <x v="0"/>
  </r>
  <r>
    <d v="2019-12-18T00:00:00"/>
    <n v="2850"/>
    <n v="2850"/>
    <n v="0"/>
    <s v="Direct Credit 106600 ANDREW MANOKARAN Tyquin Street - Le"/>
    <x v="1"/>
    <x v="5"/>
    <x v="2"/>
  </r>
  <r>
    <d v="2019-12-20T00:00:00"/>
    <n v="200"/>
    <n v="200"/>
    <n v="0"/>
    <s v="Transfer from xx1274 NetBank monthly payment LT"/>
    <x v="1"/>
    <x v="3"/>
    <x v="2"/>
  </r>
  <r>
    <d v="2019-12-27T00:00:00"/>
    <n v="-1164.8800000000001"/>
    <n v="-1164.8800000000001"/>
    <n v="0"/>
    <s v="Direct Debit 012179 Advantedge PTVL ADV"/>
    <x v="3"/>
    <x v="6"/>
    <x v="0"/>
  </r>
  <r>
    <d v="2019-12-30T00:00:00"/>
    <n v="-1096.5999999999999"/>
    <n v="-1096.5999999999999"/>
    <n v="0"/>
    <s v="Direct Debit 000439 BANK-M S311052458400"/>
    <x v="3"/>
    <x v="6"/>
    <x v="1"/>
  </r>
  <r>
    <d v="2019-12-31T00:00:00"/>
    <n v="-92.13"/>
    <n v="-92.13"/>
    <n v="0"/>
    <s v="Direct Debit 452599 AAMI PI HPL077169729"/>
    <x v="3"/>
    <x v="11"/>
    <x v="1"/>
  </r>
  <r>
    <d v="2020-01-13T00:00:00"/>
    <n v="-220"/>
    <n v="-200"/>
    <n v="-20"/>
    <s v="Transfer to other Bank NetBank Subdivision PLAN"/>
    <x v="8"/>
    <x v="21"/>
    <x v="2"/>
  </r>
  <r>
    <d v="2020-01-15T00:00:00"/>
    <n v="-122.07"/>
    <n v="-122.07"/>
    <n v="0"/>
    <s v="Direct Debit 452599 AAMI PI HPL071936456"/>
    <x v="3"/>
    <x v="11"/>
    <x v="0"/>
  </r>
  <r>
    <d v="2020-01-15T00:00:00"/>
    <n v="-110"/>
    <n v="-110"/>
    <n v="0"/>
    <s v="Transfer to CBA A/c NetBank Tyquin St Maintena"/>
    <x v="3"/>
    <x v="19"/>
    <x v="2"/>
  </r>
  <r>
    <d v="2020-01-16T00:00:00"/>
    <n v="200"/>
    <n v="200"/>
    <n v="0"/>
    <s v="Direct Credit 421520 ANDREW MANOKARAN Mano"/>
    <x v="1"/>
    <x v="5"/>
    <x v="2"/>
  </r>
  <r>
    <d v="2020-01-20T00:00:00"/>
    <n v="200"/>
    <n v="200"/>
    <n v="0"/>
    <s v="Transfer from xx1274 NetBank monthly payment LT"/>
    <x v="1"/>
    <x v="3"/>
    <x v="2"/>
  </r>
  <r>
    <d v="2020-01-21T00:00:00"/>
    <n v="-7000"/>
    <n v="-7000"/>
    <n v="0"/>
    <s v="Transfer to xx1274 NetBank project management"/>
    <x v="6"/>
    <x v="21"/>
    <x v="2"/>
  </r>
  <r>
    <d v="2020-01-21T00:00:00"/>
    <n v="10000"/>
    <n v="10000"/>
    <n v="0"/>
    <s v="Transfer from xx1274 NetBank Lloyd"/>
    <x v="1"/>
    <x v="3"/>
    <x v="2"/>
  </r>
  <r>
    <d v="2020-01-23T00:00:00"/>
    <n v="1300"/>
    <n v="1300"/>
    <n v="0"/>
    <s v="Transfer From ANDREW MANOKARAN CREDIT TO ACCOUNT"/>
    <x v="1"/>
    <x v="5"/>
    <x v="2"/>
  </r>
  <r>
    <d v="2020-01-24T00:00:00"/>
    <n v="-1204.43"/>
    <n v="-1204.43"/>
    <n v="0"/>
    <s v="Direct Debit 012179 Advantedge PTVL ADV"/>
    <x v="3"/>
    <x v="6"/>
    <x v="0"/>
  </r>
  <r>
    <d v="2020-01-28T00:00:00"/>
    <n v="-1133.1600000000001"/>
    <n v="-1133.1600000000001"/>
    <n v="0"/>
    <s v="Direct Debit 000439 BANK-M S311052458400"/>
    <x v="3"/>
    <x v="6"/>
    <x v="1"/>
  </r>
  <r>
    <d v="2020-01-30T00:00:00"/>
    <n v="-92.13"/>
    <n v="-92.13"/>
    <n v="0"/>
    <s v="Direct Debit 452599 AAMI PI HPL077169729"/>
    <x v="3"/>
    <x v="11"/>
    <x v="1"/>
  </r>
  <r>
    <d v="2020-02-07T00:00:00"/>
    <n v="-200"/>
    <n v="-200"/>
    <n v="0"/>
    <s v="Transfer To Lloyd Thomas - NAB CommBank App Lloyd"/>
    <x v="1"/>
    <x v="3"/>
    <x v="2"/>
  </r>
  <r>
    <d v="2020-02-08T00:00:00"/>
    <n v="-200"/>
    <n v="-200"/>
    <n v="0"/>
    <s v="Transfer to xx1274 CommBank app"/>
    <x v="1"/>
    <x v="3"/>
    <x v="2"/>
  </r>
  <r>
    <d v="2020-02-09T00:00:00"/>
    <n v="-100"/>
    <n v="-100"/>
    <n v="0"/>
    <s v="Transfer to xx1274 CommBank app Lloyd"/>
    <x v="1"/>
    <x v="3"/>
    <x v="2"/>
  </r>
  <r>
    <d v="2020-02-11T00:00:00"/>
    <n v="-3135"/>
    <n v="-2850"/>
    <n v="-285"/>
    <s v="Transfer to other Bank NetBank Property Eval"/>
    <x v="9"/>
    <x v="23"/>
    <x v="12"/>
  </r>
  <r>
    <d v="2020-02-11T00:00:00"/>
    <n v="-407.53"/>
    <n v="-407.53"/>
    <n v="0"/>
    <s v="CITY WEST WATER      NetBank BPAY 8789 121739219120"/>
    <x v="3"/>
    <x v="13"/>
    <x v="1"/>
  </r>
  <r>
    <d v="2020-02-11T00:00:00"/>
    <n v="650"/>
    <n v="650"/>
    <n v="0"/>
    <s v="Transfer from xx2863 NetBank"/>
    <x v="1"/>
    <x v="3"/>
    <x v="2"/>
  </r>
  <r>
    <d v="2020-02-17T00:00:00"/>
    <n v="-122.07"/>
    <n v="-122.07"/>
    <n v="0"/>
    <s v="Direct Debit 452599 AAMI PI HPL071936456"/>
    <x v="3"/>
    <x v="11"/>
    <x v="0"/>
  </r>
  <r>
    <d v="2020-02-17T00:00:00"/>
    <n v="200"/>
    <n v="200"/>
    <n v="0"/>
    <s v="Direct Credit 421520 ANDREW MANOKARAN Mano"/>
    <x v="1"/>
    <x v="5"/>
    <x v="2"/>
  </r>
  <r>
    <d v="2020-02-20T00:00:00"/>
    <n v="-5"/>
    <n v="-5"/>
    <n v="0"/>
    <s v="Unpaid NetBank Payment Fee"/>
    <x v="5"/>
    <x v="28"/>
    <x v="2"/>
  </r>
  <r>
    <d v="2020-02-24T00:00:00"/>
    <n v="1500"/>
    <n v="1500"/>
    <n v="0"/>
    <s v="Transfer from xx4836 NetBank Lloyd monthly"/>
    <x v="1"/>
    <x v="3"/>
    <x v="2"/>
  </r>
  <r>
    <d v="2020-02-25T00:00:00"/>
    <n v="3000"/>
    <n v="3000"/>
    <n v="0"/>
    <s v="Direct Credit 106600 ANDREW MANOKARAN Andrew Tyquin"/>
    <x v="1"/>
    <x v="5"/>
    <x v="2"/>
  </r>
  <r>
    <d v="2020-02-27T00:00:00"/>
    <n v="-1206.68"/>
    <n v="-1206.68"/>
    <n v="0"/>
    <s v="Direct Debit 012179 Advantedge PTVL ADV"/>
    <x v="3"/>
    <x v="6"/>
    <x v="0"/>
  </r>
  <r>
    <d v="2020-02-28T00:00:00"/>
    <n v="-1133.1600000000001"/>
    <n v="-1133.1600000000001"/>
    <n v="0"/>
    <s v="Direct Debit 000439 BANK-M S311052458400"/>
    <x v="3"/>
    <x v="6"/>
    <x v="1"/>
  </r>
  <r>
    <d v="2020-02-28T00:00:00"/>
    <n v="-261.83"/>
    <n v="-261.83"/>
    <n v="0"/>
    <s v="CITY WEST WATER      NetBank BPAY 8789 121739220138"/>
    <x v="3"/>
    <x v="13"/>
    <x v="0"/>
  </r>
  <r>
    <d v="2020-03-03T00:00:00"/>
    <n v="-92.13"/>
    <n v="-92.13"/>
    <n v="0"/>
    <s v="Direct Debit 452599 AAMI PI HPL077169729"/>
    <x v="3"/>
    <x v="11"/>
    <x v="1"/>
  </r>
  <r>
    <d v="2020-03-04T00:00:00"/>
    <n v="-340"/>
    <n v="-340"/>
    <n v="0"/>
    <s v="HOBSONS BAY COUNCIL  NetBank BPAY 39032 59020006808"/>
    <x v="3"/>
    <x v="7"/>
    <x v="0"/>
  </r>
  <r>
    <d v="2020-03-11T00:00:00"/>
    <n v="-522.5"/>
    <n v="-475"/>
    <n v="-47.5"/>
    <s v="Transfer to other Bank NetBank ReviewBuildContrac"/>
    <x v="7"/>
    <x v="22"/>
    <x v="2"/>
  </r>
  <r>
    <d v="2020-03-15T00:00:00"/>
    <n v="-110"/>
    <n v="-110"/>
    <n v="0"/>
    <s v="Transfer to CBA A/c NetBank Tyquin St Maintena"/>
    <x v="3"/>
    <x v="19"/>
    <x v="2"/>
  </r>
  <r>
    <d v="2020-03-16T00:00:00"/>
    <n v="200"/>
    <n v="200"/>
    <n v="0"/>
    <s v="Direct Credit 421520 ANDREW MANOKARAN Mano"/>
    <x v="1"/>
    <x v="5"/>
    <x v="2"/>
  </r>
  <r>
    <d v="2020-03-17T00:00:00"/>
    <n v="-122.07"/>
    <n v="-122.07"/>
    <n v="0"/>
    <s v="Direct Debit 452599 AAMI PI HPL071936456"/>
    <x v="3"/>
    <x v="11"/>
    <x v="0"/>
  </r>
  <r>
    <d v="2020-03-26T00:00:00"/>
    <n v="1300"/>
    <n v="1300"/>
    <n v="0"/>
    <s v="Transfer From ANDREW MANOKARAN CREDIT TO ACCOUNT"/>
    <x v="1"/>
    <x v="5"/>
    <x v="2"/>
  </r>
  <r>
    <d v="2020-04-02T00:00:00"/>
    <n v="174.08"/>
    <n v="174.08"/>
    <n v="0"/>
    <s v="1880336 AAMI INSURANCE LLOYD THOMAS"/>
    <x v="1"/>
    <x v="3"/>
    <x v="2"/>
  </r>
  <r>
    <d v="2020-04-06T00:00:00"/>
    <n v="-435.25"/>
    <n v="-395.68181818181819"/>
    <n v="-39.56818181818182"/>
    <s v="INTERNET TRANSFER B551 Fencing"/>
    <x v="10"/>
    <x v="26"/>
    <x v="16"/>
  </r>
  <r>
    <d v="2020-04-06T00:00:00"/>
    <n v="-77"/>
    <n v="-70"/>
    <n v="-7"/>
    <s v="INTERNET TRANSFER B551001 Fencing"/>
    <x v="10"/>
    <x v="26"/>
    <x v="16"/>
  </r>
  <r>
    <d v="2020-04-06T00:00:00"/>
    <n v="500"/>
    <n v="500"/>
    <n v="0"/>
    <s v="ONLINE W3887487572 Lloyd THOMAS L"/>
    <x v="1"/>
    <x v="3"/>
    <x v="2"/>
  </r>
  <r>
    <d v="2020-04-21T00:00:00"/>
    <n v="-100"/>
    <n v="-100"/>
    <n v="0"/>
    <s v="INTERNET TRANSFER Lloyd"/>
    <x v="1"/>
    <x v="3"/>
    <x v="2"/>
  </r>
  <r>
    <d v="2020-04-28T00:00:00"/>
    <n v="-2575.7800000000002"/>
    <n v="-2341.6181818181822"/>
    <n v="-234.16181818181821"/>
    <s v="INTERNET TRANSFER Thom6-04"/>
    <x v="7"/>
    <x v="22"/>
    <x v="2"/>
  </r>
  <r>
    <d v="2020-04-28T00:00:00"/>
    <n v="2575"/>
    <n v="2575"/>
    <n v="0"/>
    <s v="ONLINE Y0639755624 Lloyd THOMAS L"/>
    <x v="1"/>
    <x v="3"/>
    <x v="2"/>
  </r>
  <r>
    <d v="2020-05-15T00:00:00"/>
    <n v="-500"/>
    <n v="-500"/>
    <n v="0"/>
    <s v="ONLINE K4659938297 Linked Acc Trns THOMAS L"/>
    <x v="1"/>
    <x v="3"/>
    <x v="2"/>
  </r>
  <r>
    <d v="2020-05-15T00:00:00"/>
    <n v="500"/>
    <n v="500"/>
    <n v="0"/>
    <s v="ONLINE Q4239294297 Linked Acc Trns THOMAS L"/>
    <x v="1"/>
    <x v="3"/>
    <x v="2"/>
  </r>
  <r>
    <d v="2020-05-22T00:00:00"/>
    <n v="-165"/>
    <n v="-150"/>
    <n v="-15"/>
    <s v="INTERNET TRANSFER B551002 Fencing"/>
    <x v="10"/>
    <x v="26"/>
    <x v="16"/>
  </r>
  <r>
    <d v="2020-05-22T00:00:00"/>
    <n v="200"/>
    <n v="200"/>
    <n v="0"/>
    <s v="ONLINE Z7917635046 Linked Acc Trns THOMAS L"/>
    <x v="1"/>
    <x v="3"/>
    <x v="2"/>
  </r>
  <r>
    <d v="2020-05-26T00:00:00"/>
    <n v="200"/>
    <n v="200"/>
    <n v="0"/>
    <s v="Andrew - Tyquin ANDREW MANOKARAN Lloyd Thomas"/>
    <x v="1"/>
    <x v="5"/>
    <x v="2"/>
  </r>
  <r>
    <d v="2020-05-27T00:00:00"/>
    <n v="-100"/>
    <n v="-100"/>
    <n v="0"/>
    <s v="INTERNET TRANSFER Lloyd"/>
    <x v="3"/>
    <x v="19"/>
    <x v="2"/>
  </r>
  <r>
    <d v="2020-06-22T00:00:00"/>
    <n v="-100"/>
    <n v="-100"/>
    <n v="0"/>
    <s v="INTERNET TRANSFER Lloyd"/>
    <x v="3"/>
    <x v="19"/>
    <x v="2"/>
  </r>
  <r>
    <d v="2020-06-25T00:00:00"/>
    <n v="500"/>
    <n v="500"/>
    <n v="0"/>
    <s v="Andrew - Tyquin ANDREW MANOKARAN Lloyd Thomas"/>
    <x v="1"/>
    <x v="5"/>
    <x v="2"/>
  </r>
  <r>
    <d v="2020-06-29T00:00:00"/>
    <n v="-340"/>
    <n v="-340"/>
    <n v="0"/>
    <s v="INTERNET BPAY HOBSONS BAY COUNCIL 59020006808"/>
    <x v="3"/>
    <x v="7"/>
    <x v="0"/>
  </r>
  <r>
    <d v="2020-06-29T00:00:00"/>
    <n v="500"/>
    <n v="500"/>
    <n v="0"/>
    <s v="ONLINE B6752515811 Linked Acc Trns THOMAS L"/>
    <x v="1"/>
    <x v="3"/>
    <x v="2"/>
  </r>
  <r>
    <d v="2020-07-02T00:00:00"/>
    <n v="5000"/>
    <n v="5000"/>
    <n v="0"/>
    <s v="Andrew Manokaran - ANDREW MANOKARAN Lloyd Thomas - P"/>
    <x v="1"/>
    <x v="5"/>
    <x v="2"/>
  </r>
  <r>
    <d v="2020-07-08T00:00:00"/>
    <n v="-5000"/>
    <n v="-5000"/>
    <n v="0"/>
    <s v="ONLINE P1334477389 from Andrew THOMAS L"/>
    <x v="1"/>
    <x v="5"/>
    <x v="2"/>
  </r>
  <r>
    <d v="2020-07-21T00:00:00"/>
    <n v="-100"/>
    <n v="-100"/>
    <n v="0"/>
    <s v="INTERNET TRANSFER Lloyd"/>
    <x v="3"/>
    <x v="19"/>
    <x v="2"/>
  </r>
  <r>
    <d v="2020-07-27T00:00:00"/>
    <n v="200"/>
    <n v="200"/>
    <n v="0"/>
    <s v="Andrew - Tyquin ANDREW MANOKARAN Lloyd Thomas"/>
    <x v="1"/>
    <x v="5"/>
    <x v="2"/>
  </r>
  <r>
    <d v="2020-08-21T00:00:00"/>
    <n v="-100"/>
    <n v="-100"/>
    <n v="0"/>
    <s v="INTERNET TRANSFER Lloyd"/>
    <x v="3"/>
    <x v="19"/>
    <x v="2"/>
  </r>
  <r>
    <d v="2020-08-25T00:00:00"/>
    <n v="200"/>
    <n v="200"/>
    <n v="0"/>
    <s v="Andrew - Tyquin ANDREW MANOKARAN Lloyd Thomas"/>
    <x v="1"/>
    <x v="5"/>
    <x v="2"/>
  </r>
  <r>
    <d v="2020-08-27T00:00:00"/>
    <n v="-380.85"/>
    <n v="-380.85"/>
    <n v="0"/>
    <s v="INTERNET BPAY CITY WEST WATER 121739220138"/>
    <x v="3"/>
    <x v="13"/>
    <x v="0"/>
  </r>
  <r>
    <d v="2020-08-27T00:00:00"/>
    <n v="200"/>
    <n v="200"/>
    <n v="0"/>
    <s v="ONLINE Z1534208556 Lloyd THOMAS L"/>
    <x v="1"/>
    <x v="3"/>
    <x v="2"/>
  </r>
  <r>
    <d v="2020-09-10T00:00:00"/>
    <n v="-346.25"/>
    <n v="-346.25"/>
    <n v="0"/>
    <s v="INTERNET BPAY HOBSONS BAY COUNCIL 59020007004"/>
    <x v="3"/>
    <x v="7"/>
    <x v="1"/>
  </r>
  <r>
    <d v="2020-09-11T00:00:00"/>
    <n v="-367.91"/>
    <n v="-367.91"/>
    <n v="0"/>
    <s v="INTERNET BPAY CITY WEST WATER 121739219120"/>
    <x v="3"/>
    <x v="13"/>
    <x v="1"/>
  </r>
  <r>
    <d v="2020-09-14T00:00:00"/>
    <n v="1250"/>
    <n v="1250"/>
    <n v="0"/>
    <s v="Andrew Manokaran ANDREW MANOKARAN Lloyd Thomas"/>
    <x v="1"/>
    <x v="5"/>
    <x v="2"/>
  </r>
  <r>
    <d v="2020-09-14T00:00:00"/>
    <n v="1250"/>
    <n v="1250"/>
    <n v="0"/>
    <s v="ONLINE D7104234645 sept Lloyd THOMAS L"/>
    <x v="1"/>
    <x v="3"/>
    <x v="2"/>
  </r>
  <r>
    <d v="2020-09-21T00:00:00"/>
    <n v="-100"/>
    <n v="-100"/>
    <n v="0"/>
    <s v="INTERNET TRANSFER Lloyd"/>
    <x v="3"/>
    <x v="19"/>
    <x v="2"/>
  </r>
  <r>
    <d v="2020-09-25T00:00:00"/>
    <n v="200"/>
    <n v="200"/>
    <n v="0"/>
    <s v="Andrew - Tyquin ANDREW MANOKARAN Lloyd Thomas"/>
    <x v="1"/>
    <x v="5"/>
    <x v="2"/>
  </r>
  <r>
    <d v="2020-09-30T00:00:00"/>
    <n v="0.03"/>
    <n v="0.03"/>
    <n v="0"/>
    <s v="INTEREST"/>
    <x v="5"/>
    <x v="17"/>
    <x v="2"/>
  </r>
  <r>
    <d v="2020-10-05T00:00:00"/>
    <n v="-1135.8699999999999"/>
    <n v="-1135.8699999999999"/>
    <n v="0"/>
    <s v="INTERNET BPAY Advantedge 503712481"/>
    <x v="3"/>
    <x v="6"/>
    <x v="0"/>
  </r>
  <r>
    <d v="2020-10-12T00:00:00"/>
    <n v="-706.55"/>
    <n v="-706.55"/>
    <n v="0"/>
    <s v="INTERNET BPAY HOBSONS BAY COUNCIL 59020007004"/>
    <x v="3"/>
    <x v="7"/>
    <x v="1"/>
  </r>
  <r>
    <d v="2020-10-12T00:00:00"/>
    <n v="-337.55"/>
    <n v="-337.55"/>
    <n v="0"/>
    <s v="INTERNET BPAY HOBSONS BAY COUNCIL 59020006808"/>
    <x v="3"/>
    <x v="7"/>
    <x v="0"/>
  </r>
  <r>
    <d v="2020-10-13T00:00:00"/>
    <n v="1250"/>
    <n v="1250"/>
    <n v="0"/>
    <s v="Andrew Manokaran ANDREW MANOKARAN Lloyd Thomas"/>
    <x v="1"/>
    <x v="5"/>
    <x v="2"/>
  </r>
  <r>
    <d v="2020-10-21T00:00:00"/>
    <n v="-100"/>
    <n v="-100"/>
    <n v="0"/>
    <s v="INTERNET TRANSFER Lloyd"/>
    <x v="3"/>
    <x v="19"/>
    <x v="2"/>
  </r>
  <r>
    <d v="2020-10-26T00:00:00"/>
    <n v="-1684.15"/>
    <n v="-1684.15"/>
    <n v="0"/>
    <s v="S311153450600 BANK-M LLOYD EDWARD THO"/>
    <x v="1"/>
    <x v="3"/>
    <x v="2"/>
  </r>
  <r>
    <d v="2020-10-27T00:00:00"/>
    <n v="50"/>
    <n v="50"/>
    <n v="0"/>
    <s v="ONLINE B2318208892 Linked Acc Trns THOMAS L"/>
    <x v="1"/>
    <x v="3"/>
    <x v="2"/>
  </r>
  <r>
    <d v="2020-10-27T00:00:00"/>
    <n v="1500"/>
    <n v="1500"/>
    <n v="0"/>
    <s v="Lloyd Thomas - Pay ANDREW MANOKARAN Lloyd Thomas - P"/>
    <x v="1"/>
    <x v="3"/>
    <x v="2"/>
  </r>
  <r>
    <d v="2020-10-27T00:00:00"/>
    <n v="1684.15"/>
    <n v="1684.15"/>
    <n v="0"/>
    <s v="ONLINE A0178226495 Linked Acc Trns THOMAS L"/>
    <x v="1"/>
    <x v="3"/>
    <x v="2"/>
  </r>
  <r>
    <d v="2020-10-28T00:00:00"/>
    <n v="-3850"/>
    <n v="-3500"/>
    <n v="-350"/>
    <s v="INTERNET TRANSFER Ref27330 HoldenCap"/>
    <x v="9"/>
    <x v="29"/>
    <x v="17"/>
  </r>
  <r>
    <d v="2020-10-28T00:00:00"/>
    <n v="1200"/>
    <n v="1200"/>
    <n v="0"/>
    <s v="ONLINE M8181966844 Linked Acc Trns THOMAS L"/>
    <x v="1"/>
    <x v="3"/>
    <x v="2"/>
  </r>
  <r>
    <d v="2020-11-11T00:00:00"/>
    <n v="-1135.8699999999999"/>
    <n v="-1135.8699999999999"/>
    <n v="0"/>
    <s v="INTERNET BPAY       Advantedge          503712481"/>
    <x v="3"/>
    <x v="6"/>
    <x v="0"/>
  </r>
  <r>
    <d v="2020-11-11T00:00:00"/>
    <n v="1250"/>
    <n v="1250"/>
    <n v="0"/>
    <s v="ONLINE  S6533454987 Linked Acc Trns     THOMAS L"/>
    <x v="1"/>
    <x v="3"/>
    <x v="2"/>
  </r>
  <r>
    <d v="2020-11-13T00:00:00"/>
    <n v="1250"/>
    <n v="1250"/>
    <n v="0"/>
    <s v="Andrew Manokaran   ANDREW MANOKARAN"/>
    <x v="1"/>
    <x v="5"/>
    <x v="2"/>
  </r>
  <r>
    <d v="2020-11-19T00:00:00"/>
    <n v="-2035"/>
    <n v="-1850"/>
    <n v="-185"/>
    <s v="INTERNET TRANSFER 01255256 Charter Check"/>
    <x v="9"/>
    <x v="23"/>
    <x v="12"/>
  </r>
  <r>
    <d v="2020-11-19T00:00:00"/>
    <n v="4000"/>
    <n v="4000"/>
    <n v="0"/>
    <s v="ONLINE F5233545192 Linked Acc Trns THOMAS L"/>
    <x v="1"/>
    <x v="3"/>
    <x v="2"/>
  </r>
  <r>
    <d v="2020-11-19T00:00:00"/>
    <n v="4000"/>
    <n v="4000"/>
    <n v="0"/>
    <s v="Tyquin St Project ANDREW MANOKARAN Lloyd Thomas - P"/>
    <x v="1"/>
    <x v="5"/>
    <x v="2"/>
  </r>
  <r>
    <d v="2020-11-23T00:00:00"/>
    <n v="-100"/>
    <n v="-100"/>
    <n v="0"/>
    <s v="INTERNET TRANSFER Lloyd"/>
    <x v="1"/>
    <x v="3"/>
    <x v="2"/>
  </r>
  <r>
    <d v="2020-11-24T00:00:00"/>
    <n v="-4950"/>
    <n v="-4500"/>
    <n v="-450"/>
    <s v="INTERNET TRANSFER Lloyd Thomas - Trilogy"/>
    <x v="9"/>
    <x v="30"/>
    <x v="18"/>
  </r>
  <r>
    <d v="2020-11-24T00:00:00"/>
    <n v="-70"/>
    <n v="-70"/>
    <n v="0"/>
    <s v="INTERNET TRANSFER Weed Tyquin St"/>
    <x v="3"/>
    <x v="18"/>
    <x v="1"/>
  </r>
  <r>
    <d v="2020-11-24T00:00:00"/>
    <n v="-70"/>
    <n v="-70"/>
    <n v="0"/>
    <s v="INTERNET TRANSFER Weed Tyquin St"/>
    <x v="3"/>
    <x v="18"/>
    <x v="1"/>
  </r>
  <r>
    <d v="2020-12-04T00:00:00"/>
    <n v="-1800.29"/>
    <n v="-1800.29"/>
    <n v="0"/>
    <s v="INTERNET BPAY Advantedge 503712481"/>
    <x v="3"/>
    <x v="6"/>
    <x v="1"/>
  </r>
  <r>
    <d v="2020-12-04T00:00:00"/>
    <n v="5000"/>
    <n v="5000"/>
    <n v="0"/>
    <s v="Lloyd Thomas - Pay ANDREW MANOKARAN Lloyd Thomas - P"/>
    <x v="1"/>
    <x v="5"/>
    <x v="2"/>
  </r>
  <r>
    <d v="2020-12-07T00:00:00"/>
    <n v="-110"/>
    <n v="-110"/>
    <n v="0"/>
    <s v="INTERNET BPAY TAX OFFICE PAYMENTS 001713975272144860"/>
    <x v="5"/>
    <x v="31"/>
    <x v="2"/>
  </r>
  <r>
    <d v="2020-12-09T00:00:00"/>
    <n v="-50"/>
    <n v="-50"/>
    <n v="0"/>
    <s v="ONLINE N1395427213 Linked Acc Trns THOMAS L"/>
    <x v="1"/>
    <x v="3"/>
    <x v="2"/>
  </r>
  <r>
    <d v="2020-12-14T00:00:00"/>
    <n v="1250"/>
    <n v="1250"/>
    <n v="0"/>
    <s v="Andrew Manokaran ANDREW MANOKARAN Lloyd Thomas"/>
    <x v="1"/>
    <x v="5"/>
    <x v="2"/>
  </r>
  <r>
    <d v="2020-12-15T00:00:00"/>
    <n v="-1100"/>
    <n v="-1000"/>
    <n v="-100"/>
    <s v="INTERNET BPAY CHARTER KECK 01258268"/>
    <x v="9"/>
    <x v="23"/>
    <x v="12"/>
  </r>
  <r>
    <d v="2020-12-15T00:00:00"/>
    <n v="-337"/>
    <n v="-337"/>
    <n v="0"/>
    <s v="INTERNET BPAY HOBSONS BAY COUNCIL 59020006808"/>
    <x v="3"/>
    <x v="7"/>
    <x v="0"/>
  </r>
  <r>
    <d v="2020-12-15T00:00:00"/>
    <n v="-141.93"/>
    <n v="-141.93"/>
    <n v="0"/>
    <s v="INTERNET BPAY CITY WEST WATER 121739219120"/>
    <x v="3"/>
    <x v="13"/>
    <x v="1"/>
  </r>
  <r>
    <d v="2020-12-15T00:00:00"/>
    <n v="-141.93"/>
    <n v="-141.93"/>
    <n v="0"/>
    <s v="INTERNET BPAY CITY WEST WATER 121739220138"/>
    <x v="3"/>
    <x v="13"/>
    <x v="0"/>
  </r>
  <r>
    <d v="2020-12-18T00:00:00"/>
    <n v="-726"/>
    <n v="-660"/>
    <n v="-66"/>
    <s v="INTERNET TRANSFER 1212-BPB - Architect"/>
    <x v="4"/>
    <x v="20"/>
    <x v="3"/>
  </r>
  <r>
    <d v="2020-12-21T00:00:00"/>
    <n v="-100"/>
    <n v="-100"/>
    <n v="0"/>
    <s v="INTERNET TRANSFER Lloyd"/>
    <x v="1"/>
    <x v="3"/>
    <x v="2"/>
  </r>
  <r>
    <d v="2020-12-24T00:00:00"/>
    <n v="-1800.29"/>
    <n v="-1800.29"/>
    <n v="0"/>
    <s v="PTVL ADV Advantedge LLOYD THOMAS"/>
    <x v="3"/>
    <x v="6"/>
    <x v="1"/>
  </r>
  <r>
    <d v="2020-12-24T00:00:00"/>
    <n v="1500"/>
    <n v="1500"/>
    <n v="0"/>
    <s v="ONLINE C9592918912 Lloyd THOMAS L"/>
    <x v="1"/>
    <x v="3"/>
    <x v="2"/>
  </r>
  <r>
    <d v="2020-12-31T00:00:00"/>
    <n v="0.06"/>
    <n v="0.06"/>
    <n v="0"/>
    <s v="INTEREST"/>
    <x v="5"/>
    <x v="32"/>
    <x v="2"/>
  </r>
  <r>
    <d v="2021-01-06T00:00:00"/>
    <n v="-14411.1"/>
    <n v="-13101"/>
    <n v="-1310.1000000000001"/>
    <s v="Building Warrenty"/>
    <x v="10"/>
    <x v="33"/>
    <x v="15"/>
  </r>
  <r>
    <d v="2021-01-07T00:00:00"/>
    <n v="-1667.32"/>
    <n v="-1515.7454545454545"/>
    <n v="-151.57454545454544"/>
    <s v="Building Warrenty"/>
    <x v="10"/>
    <x v="33"/>
    <x v="15"/>
  </r>
  <r>
    <d v="2021-01-13T00:00:00"/>
    <n v="1250"/>
    <n v="1250"/>
    <n v="0"/>
    <s v="Andrew Manokaran    ANDREW MANOKARAN"/>
    <x v="1"/>
    <x v="5"/>
    <x v="2"/>
  </r>
  <r>
    <d v="2021-01-21T00:00:00"/>
    <n v="-100"/>
    <n v="-100"/>
    <n v="0"/>
    <s v="INTERNET TRANSFER Lloyd"/>
    <x v="1"/>
    <x v="3"/>
    <x v="2"/>
  </r>
  <r>
    <d v="2021-01-27T00:00:00"/>
    <n v="-1789.83"/>
    <n v="-1789.83"/>
    <n v="0"/>
    <s v="PTVL ADV Advantedge LLOYD THOMAS"/>
    <x v="3"/>
    <x v="6"/>
    <x v="0"/>
  </r>
  <r>
    <d v="2021-01-27T00:00:00"/>
    <n v="500"/>
    <n v="500"/>
    <n v="0"/>
    <s v="Tyquin ANDREW MANOKARAN Lloyd Thomas - P"/>
    <x v="1"/>
    <x v="5"/>
    <x v="2"/>
  </r>
  <r>
    <d v="2021-01-27T00:00:00"/>
    <n v="1000"/>
    <n v="1000"/>
    <n v="0"/>
    <s v="ONLINE H3074958618 Linked Acc Trns THOMAS L"/>
    <x v="1"/>
    <x v="3"/>
    <x v="2"/>
  </r>
  <r>
    <d v="2021-01-28T00:00:00"/>
    <n v="100"/>
    <n v="100"/>
    <n v="0"/>
    <s v="ONLINE P3744404339 Linked Acc Trns THOMAS L"/>
    <x v="1"/>
    <x v="3"/>
    <x v="2"/>
  </r>
  <r>
    <d v="2021-01-29T00:00:00"/>
    <n v="50"/>
    <n v="50"/>
    <n v="0"/>
    <s v="ONLINE N9257695224 Linked Acc Trns THOMAS L"/>
    <x v="1"/>
    <x v="3"/>
    <x v="2"/>
  </r>
  <r>
    <d v="2021-02-03T00:00:00"/>
    <n v="5000"/>
    <n v="5000"/>
    <n v="0"/>
    <s v="Lloyd Thomas - Pay ANDREW MANOKARAN Lloyd Thomas - P"/>
    <x v="1"/>
    <x v="3"/>
    <x v="2"/>
  </r>
  <r>
    <d v="2021-02-05T00:00:00"/>
    <n v="50000"/>
    <n v="50000"/>
    <n v="0"/>
    <s v="Andrew Tyquin Proj ANDREW MANOKARAN Lloyd Thomas - P"/>
    <x v="1"/>
    <x v="5"/>
    <x v="2"/>
  </r>
  <r>
    <d v="2021-02-08T00:00:00"/>
    <n v="-35000"/>
    <n v="-31818.181818181816"/>
    <n v="-3181.818181818182"/>
    <s v="INTERNET TRANSFER Tyquin St Build"/>
    <x v="10"/>
    <x v="27"/>
    <x v="15"/>
  </r>
  <r>
    <d v="2021-02-09T00:00:00"/>
    <n v="-23008"/>
    <n v="-20916.363636363636"/>
    <n v="-2091.6363636363635"/>
    <s v="INTERNET TRANSFER TYQUIN ST BUILD"/>
    <x v="10"/>
    <x v="27"/>
    <x v="15"/>
  </r>
  <r>
    <d v="2021-02-09T00:00:00"/>
    <n v="30000"/>
    <n v="30000"/>
    <n v="0"/>
    <s v="ONLINE Q5082437789 Linked Acc Trns THOMAS L"/>
    <x v="1"/>
    <x v="3"/>
    <x v="2"/>
  </r>
  <r>
    <d v="2021-02-11T00:00:00"/>
    <n v="-9566.4"/>
    <n v="-9566.4"/>
    <n v="0"/>
    <s v="INTERNET BPAY CITY WEST WATER 999141413107"/>
    <x v="10"/>
    <x v="34"/>
    <x v="19"/>
  </r>
  <r>
    <d v="2021-02-11T00:00:00"/>
    <n v="-5729.9"/>
    <n v="-5209"/>
    <n v="-520.9"/>
    <s v="INTERNET TRANSFER 6981BPRema"/>
    <x v="4"/>
    <x v="20"/>
    <x v="11"/>
  </r>
  <r>
    <d v="2021-02-11T00:00:00"/>
    <n v="-605"/>
    <n v="-550"/>
    <n v="-55"/>
    <s v="INTERNET TRANSFER B551003"/>
    <x v="10"/>
    <x v="26"/>
    <x v="2"/>
  </r>
  <r>
    <d v="2021-02-15T00:00:00"/>
    <n v="-1986.2"/>
    <n v="-1986.2"/>
    <n v="0"/>
    <s v="ONLINE V2462705736 VBA Building Permi THOMAS L (VBA Levy)"/>
    <x v="4"/>
    <x v="20"/>
    <x v="20"/>
  </r>
  <r>
    <d v="2021-02-15T00:00:00"/>
    <n v="1250"/>
    <n v="1250"/>
    <n v="0"/>
    <s v="Andrew Manokaran ANDREW MANOKARAN Lloyd Thomas"/>
    <x v="1"/>
    <x v="5"/>
    <x v="2"/>
  </r>
  <r>
    <d v="2021-02-22T00:00:00"/>
    <n v="-100"/>
    <n v="-100"/>
    <n v="0"/>
    <s v="INTERNET TRANSFER Lloyd"/>
    <x v="1"/>
    <x v="3"/>
    <x v="2"/>
  </r>
  <r>
    <d v="2021-02-23T00:00:00"/>
    <n v="30000"/>
    <n v="30000"/>
    <n v="0"/>
    <s v="ANDREW MANOKARAN Andrew Tyquin Projec"/>
    <x v="1"/>
    <x v="3"/>
    <x v="2"/>
  </r>
  <r>
    <d v="2021-02-23T00:00:00"/>
    <n v="45000"/>
    <n v="45000"/>
    <n v="0"/>
    <s v="Tyquin Street Proj ANDREW MANOKARAN Lloyd Thomas - P"/>
    <x v="1"/>
    <x v="5"/>
    <x v="2"/>
  </r>
  <r>
    <d v="2021-02-24T00:00:00"/>
    <n v="-40000"/>
    <n v="-40000"/>
    <n v="0"/>
    <s v="INTERNET TRANSFER TyquinStSettlement"/>
    <x v="0"/>
    <x v="35"/>
    <x v="2"/>
  </r>
  <r>
    <d v="2021-02-25T00:00:00"/>
    <n v="-35000"/>
    <n v="-35000"/>
    <n v="0"/>
    <s v="lloyd thomas L4074936144"/>
    <x v="0"/>
    <x v="35"/>
    <x v="2"/>
  </r>
  <r>
    <d v="2021-02-25T00:00:00"/>
    <n v="-11000"/>
    <n v="-11000"/>
    <n v="0"/>
    <s v="ONLINE Q2142725442 Linked Acc Trns THOMAS L"/>
    <x v="0"/>
    <x v="35"/>
    <x v="2"/>
  </r>
  <r>
    <d v="2021-02-26T00:00:00"/>
    <n v="-6325"/>
    <n v="-6325"/>
    <n v="0"/>
    <s v="Contrcution Settlement (Manual)"/>
    <x v="0"/>
    <x v="35"/>
    <x v="2"/>
  </r>
  <r>
    <d v="2021-02-25T00:00:00"/>
    <n v="-1"/>
    <n v="-1"/>
    <n v="0"/>
    <s v="lloyd thomas J6755246344"/>
    <x v="1"/>
    <x v="3"/>
    <x v="2"/>
  </r>
  <r>
    <d v="2021-03-01T00:00:00"/>
    <n v="-1099.07"/>
    <n v="-1099.07"/>
    <n v="0"/>
    <s v="S311052458400 BANK-M ANDREW MANOKARAN"/>
    <x v="3"/>
    <x v="6"/>
    <x v="1"/>
  </r>
  <r>
    <d v="2021-03-02T00:00:00"/>
    <n v="1099.07"/>
    <n v="1099.07"/>
    <n v="0"/>
    <s v="REVERSAL OF DEBIT ST GEORGE MERCHANT AS311052458400"/>
    <x v="3"/>
    <x v="6"/>
    <x v="1"/>
  </r>
  <r>
    <d v="2021-03-03T00:00:00"/>
    <n v="-1000"/>
    <n v="-909.09090909090912"/>
    <n v="-90.909090909090907"/>
    <s v="Lewis OBrien PL Inv 0940 Credit"/>
    <x v="7"/>
    <x v="22"/>
    <x v="2"/>
  </r>
  <r>
    <d v="2021-03-10T00:00:00"/>
    <n v="-1000"/>
    <n v="-909.09090909090912"/>
    <n v="-90.909090909090907"/>
    <s v="INTERNET TRANSFER Lloyd"/>
    <x v="7"/>
    <x v="22"/>
    <x v="2"/>
  </r>
  <r>
    <d v="2021-03-15T00:00:00"/>
    <n v="-100"/>
    <n v="-100"/>
    <n v="0"/>
    <s v="ONLINE M7557447265 Linked Acc Trns THOMAS L"/>
    <x v="1"/>
    <x v="3"/>
    <x v="2"/>
  </r>
  <r>
    <d v="2021-03-22T00:00:00"/>
    <n v="-100"/>
    <n v="-100"/>
    <n v="0"/>
    <s v="INTERNET TRANSFER Lloyd"/>
    <x v="1"/>
    <x v="3"/>
    <x v="2"/>
  </r>
  <r>
    <d v="2021-03-22T00:00:00"/>
    <n v="700"/>
    <n v="700"/>
    <n v="0"/>
    <s v="ANDREW MANOKARAN Andrew Tyquin ProjecInterest Payment for"/>
    <x v="1"/>
    <x v="5"/>
    <x v="2"/>
  </r>
  <r>
    <d v="2021-03-25T00:00:00"/>
    <n v="-15000"/>
    <n v="-15000"/>
    <n v="0"/>
    <s v="lloyd thomas R0157775229"/>
    <x v="1"/>
    <x v="5"/>
    <x v="2"/>
  </r>
  <r>
    <d v="2021-03-25T00:00:00"/>
    <n v="15000"/>
    <n v="15000"/>
    <n v="0"/>
    <s v="ANDREW MANOKARAN Tyquin St Project"/>
    <x v="1"/>
    <x v="5"/>
    <x v="2"/>
  </r>
  <r>
    <d v="2021-04-13T00:00:00"/>
    <n v="400"/>
    <n v="400"/>
    <n v="0"/>
    <s v="66 Tyquin Gold Build Homes Lloyd Thomas"/>
    <x v="1"/>
    <x v="3"/>
    <x v="2"/>
  </r>
  <r>
    <d v="2021-04-21T00:00:00"/>
    <n v="-100"/>
    <n v="-100"/>
    <n v="0"/>
    <s v="INTERNET TRANSFER Lloyd"/>
    <x v="1"/>
    <x v="3"/>
    <x v="2"/>
  </r>
  <r>
    <d v="2021-04-26T00:00:00"/>
    <n v="750"/>
    <n v="750"/>
    <n v="0"/>
    <s v="ANDREW MANOKARAN Tyquin St Project"/>
    <x v="1"/>
    <x v="5"/>
    <x v="2"/>
  </r>
  <r>
    <d v="2021-05-20T00:00:00"/>
    <n v="1750"/>
    <n v="1750"/>
    <n v="0"/>
    <s v="ANDREW MANOKARAN Tyquin Street"/>
    <x v="1"/>
    <x v="5"/>
    <x v="2"/>
  </r>
  <r>
    <d v="2021-05-21T00:00:00"/>
    <n v="-100"/>
    <n v="-100"/>
    <n v="0"/>
    <s v="INTERNET TRANSFER Lloyd"/>
    <x v="1"/>
    <x v="3"/>
    <x v="2"/>
  </r>
  <r>
    <d v="2021-05-24T00:00:00"/>
    <n v="1200"/>
    <n v="1200"/>
    <n v="0"/>
    <s v="ONLINE H2251908184 Linked Acc Trns THOMAS L"/>
    <x v="1"/>
    <x v="3"/>
    <x v="2"/>
  </r>
  <r>
    <d v="2021-05-25T00:00:00"/>
    <n v="-712.65"/>
    <n v="-712.65"/>
    <n v="0"/>
    <s v="INTERNET BPAY HOBSONS BAY COUNCIL 59020007004"/>
    <x v="3"/>
    <x v="7"/>
    <x v="1"/>
  </r>
  <r>
    <d v="2021-05-25T00:00:00"/>
    <n v="-283.86"/>
    <n v="-283.86"/>
    <n v="0"/>
    <s v="INTERNET BPAY CITY WEST WATER 121739220138"/>
    <x v="3"/>
    <x v="13"/>
    <x v="0"/>
  </r>
  <r>
    <d v="2021-05-31T00:00:00"/>
    <n v="-585"/>
    <n v="-585"/>
    <n v="0"/>
    <s v="INTERNET BPAY SROVIC LAND TAX 36952910"/>
    <x v="3"/>
    <x v="25"/>
    <x v="2"/>
  </r>
  <r>
    <d v="2021-06-01T00:00:00"/>
    <n v="-679.6"/>
    <n v="-679.6"/>
    <n v="0"/>
    <s v="INTERNET BPAY HOBSONS BAY COUNCIL 59020006808"/>
    <x v="3"/>
    <x v="7"/>
    <x v="0"/>
  </r>
  <r>
    <d v="2021-06-01T00:00:00"/>
    <n v="-287.19"/>
    <n v="-287.19"/>
    <n v="0"/>
    <s v="INTERNET BPAY CITY WEST WATER 121739219120"/>
    <x v="3"/>
    <x v="13"/>
    <x v="1"/>
  </r>
  <r>
    <d v="2021-06-14T00:00:00"/>
    <n v="-270"/>
    <n v="-270"/>
    <n v="0"/>
    <s v="ONLINE  A7885986138 Linked Acc Trns     THOMAS L"/>
    <x v="1"/>
    <x v="3"/>
    <x v="2"/>
  </r>
  <r>
    <d v="2021-06-14T00:00:00"/>
    <n v="270"/>
    <n v="270"/>
    <n v="0"/>
    <s v="ONLINE  K6015226512 Linked Acc Trns     THOMAS L"/>
    <x v="1"/>
    <x v="3"/>
    <x v="2"/>
  </r>
  <r>
    <d v="2021-06-21T00:00:00"/>
    <n v="-100"/>
    <n v="-100"/>
    <n v="0"/>
    <s v="INTERNET TRANSFER   Lloyd"/>
    <x v="1"/>
    <x v="3"/>
    <x v="2"/>
  </r>
  <r>
    <d v="2021-06-21T00:00:00"/>
    <n v="700"/>
    <n v="700"/>
    <n v="0"/>
    <s v="ONLINE  N5066228851 Linked Acc Trns     THOMAS L"/>
    <x v="1"/>
    <x v="3"/>
    <x v="2"/>
  </r>
  <r>
    <d v="2021-06-22T00:00:00"/>
    <n v="-733.27"/>
    <n v="-733.27"/>
    <n v="0"/>
    <s v="INTERNET BPAY       SROVIC LAND TAX     34867884"/>
    <x v="3"/>
    <x v="25"/>
    <x v="2"/>
  </r>
  <r>
    <d v="2021-06-28T00:00:00"/>
    <n v="1100"/>
    <n v="1100"/>
    <n v="0"/>
    <s v="ANDREW MANOKARAN    Tyquin Street"/>
    <x v="1"/>
    <x v="5"/>
    <x v="2"/>
  </r>
  <r>
    <d v="2021-03-12T00:00:00"/>
    <n v="-13750"/>
    <n v="-12500"/>
    <n v="-1250"/>
    <s v="Build Contract - IBHomes - Variation"/>
    <x v="10"/>
    <x v="36"/>
    <x v="15"/>
  </r>
  <r>
    <d v="2021-04-07T00:00:00"/>
    <n v="-1100"/>
    <n v="-1000"/>
    <n v="-100"/>
    <s v="QS Report"/>
    <x v="9"/>
    <x v="37"/>
    <x v="21"/>
  </r>
  <r>
    <d v="2021-04-13T00:00:00"/>
    <n v="-54753.49"/>
    <n v="-49775.899999999994"/>
    <n v="-4977.59"/>
    <s v="Build Contract - IBHomes - Base Stage"/>
    <x v="10"/>
    <x v="38"/>
    <x v="15"/>
  </r>
  <r>
    <d v="2021-04-27T00:00:00"/>
    <n v="-100418.62"/>
    <n v="-91289.654545454541"/>
    <n v="-9128.9654545454541"/>
    <s v="Build Contract - IBhomes - Slab Stage"/>
    <x v="10"/>
    <x v="39"/>
    <x v="15"/>
  </r>
  <r>
    <d v="2021-05-05T00:00:00"/>
    <n v="-1100"/>
    <n v="-1000"/>
    <n v="-100"/>
    <s v="QS Report"/>
    <x v="9"/>
    <x v="37"/>
    <x v="21"/>
  </r>
  <r>
    <d v="2021-06-21T00:00:00"/>
    <n v="-53728.653000000006"/>
    <n v="-48844.23"/>
    <n v="-4884.4230000000007"/>
    <s v="Build Contract - Ibhomes - Frame Stage"/>
    <x v="10"/>
    <x v="40"/>
    <x v="15"/>
  </r>
  <r>
    <d v="2021-06-21T00:00:00"/>
    <n v="-11844"/>
    <n v="-10767.272727272728"/>
    <n v="-1076.7272727272727"/>
    <s v="Build Contract - IBHomes - Variation"/>
    <x v="10"/>
    <x v="36"/>
    <x v="15"/>
  </r>
  <r>
    <d v="2021-06-28T00:00:00"/>
    <n v="-773.85"/>
    <n v="-703.5"/>
    <n v="-70.350000000000009"/>
    <s v="Services"/>
    <x v="10"/>
    <x v="41"/>
    <x v="19"/>
  </r>
  <r>
    <d v="2021-06-28T00:00:00"/>
    <n v="-1100"/>
    <n v="-1000"/>
    <n v="-100"/>
    <s v="QS Report"/>
    <x v="9"/>
    <x v="37"/>
    <x v="21"/>
  </r>
  <r>
    <d v="2021-07-05T00:00:00"/>
    <n v="-601.32000000000005"/>
    <n v="-601.32000000000005"/>
    <n v="0"/>
    <s v="Utilities"/>
    <x v="3"/>
    <x v="42"/>
    <x v="2"/>
  </r>
  <r>
    <d v="2021-08-30T00:00:00"/>
    <n v="-715"/>
    <n v="-650"/>
    <n v="-65"/>
    <s v="Legal"/>
    <x v="7"/>
    <x v="43"/>
    <x v="2"/>
  </r>
  <r>
    <d v="2021-08-30T00:00:00"/>
    <n v="-700"/>
    <n v="-636.36363636363637"/>
    <n v="-63.636363636363633"/>
    <s v="Legal"/>
    <x v="7"/>
    <x v="43"/>
    <x v="2"/>
  </r>
  <r>
    <d v="2021-08-31T00:00:00"/>
    <n v="-97185.3"/>
    <n v="-88350.272727272735"/>
    <n v="-8835.0272727272732"/>
    <s v="Build Contract - Ibhomes - Frame Stage"/>
    <x v="10"/>
    <x v="40"/>
    <x v="15"/>
  </r>
  <r>
    <d v="2021-09-06T00:00:00"/>
    <n v="-1100"/>
    <n v="-1000"/>
    <n v="-100"/>
    <s v="QS Report"/>
    <x v="9"/>
    <x v="37"/>
    <x v="21"/>
  </r>
  <r>
    <d v="2021-10-20T00:00:00"/>
    <n v="-525.70000000000005"/>
    <n v="-525.70000000000005"/>
    <n v="0"/>
    <s v="Land Tax"/>
    <x v="3"/>
    <x v="25"/>
    <x v="2"/>
  </r>
  <r>
    <d v="2021-10-20T00:00:00"/>
    <n v="-221.01"/>
    <n v="-221.01"/>
    <n v="0"/>
    <s v="Utilities"/>
    <x v="3"/>
    <x v="42"/>
    <x v="2"/>
  </r>
  <r>
    <d v="2021-10-20T00:00:00"/>
    <n v="-214.12"/>
    <n v="-214.12"/>
    <n v="0"/>
    <s v="Utilities"/>
    <x v="3"/>
    <x v="42"/>
    <x v="2"/>
  </r>
  <r>
    <d v="2021-12-13T00:00:00"/>
    <n v="-365.2"/>
    <n v="-365.2"/>
    <n v="0"/>
    <s v="Utilities"/>
    <x v="3"/>
    <x v="42"/>
    <x v="2"/>
  </r>
  <r>
    <d v="2021-12-13T00:00:00"/>
    <n v="-348.04"/>
    <n v="-348.04"/>
    <n v="0"/>
    <s v="Utilities"/>
    <x v="3"/>
    <x v="42"/>
    <x v="2"/>
  </r>
  <r>
    <d v="2022-01-10T00:00:00"/>
    <n v="-521.4"/>
    <n v="-474"/>
    <n v="-47.4"/>
    <s v="Legal"/>
    <x v="7"/>
    <x v="44"/>
    <x v="2"/>
  </r>
  <r>
    <d v="2022-01-13T00:00:00"/>
    <n v="-1500"/>
    <n v="-1363.6363636363635"/>
    <n v="-136.36363636363637"/>
    <s v="Legal"/>
    <x v="7"/>
    <x v="45"/>
    <x v="2"/>
  </r>
  <r>
    <d v="2022-01-17T00:00:00"/>
    <n v="-2866.25"/>
    <n v="-2605.681818181818"/>
    <n v="-260.56818181818181"/>
    <s v="Legal"/>
    <x v="7"/>
    <x v="44"/>
    <x v="2"/>
  </r>
  <r>
    <d v="2022-01-17T00:00:00"/>
    <n v="-1500"/>
    <n v="-1363.6363636363635"/>
    <n v="-136.36363636363637"/>
    <s v="Legal"/>
    <x v="7"/>
    <x v="45"/>
    <x v="2"/>
  </r>
  <r>
    <d v="2022-01-21T00:00:00"/>
    <n v="-273.05"/>
    <n v="-273.05"/>
    <n v="0"/>
    <s v="Utilities"/>
    <x v="3"/>
    <x v="42"/>
    <x v="2"/>
  </r>
  <r>
    <d v="2022-01-17T00:00:00"/>
    <n v="-98198.69"/>
    <n v="-89271.536363636362"/>
    <n v="-8927.1536363636369"/>
    <s v="Build Contract - Ibhomes - Frame Stage"/>
    <x v="10"/>
    <x v="40"/>
    <x v="15"/>
  </r>
  <r>
    <d v="2022-01-29T00:00:00"/>
    <n v="-1100"/>
    <n v="-1000"/>
    <n v="-100"/>
    <s v="QS Report"/>
    <x v="9"/>
    <x v="37"/>
    <x v="21"/>
  </r>
  <r>
    <d v="2022-01-31T00:00:00"/>
    <n v="-3900"/>
    <n v="-3545.4545454545455"/>
    <n v="-354.54545454545456"/>
    <s v="Expert Report - Darbecca"/>
    <x v="11"/>
    <x v="46"/>
    <x v="22"/>
  </r>
  <r>
    <d v="2022-02-11T00:00:00"/>
    <n v="-2085.6"/>
    <n v="-1896"/>
    <n v="-189.6"/>
    <s v="Legal"/>
    <x v="7"/>
    <x v="44"/>
    <x v="2"/>
  </r>
  <r>
    <d v="2022-02-10T00:00:00"/>
    <n v="-625"/>
    <n v="-568.18181818181813"/>
    <n v="-56.81818181818182"/>
    <s v="Legal"/>
    <x v="7"/>
    <x v="45"/>
    <x v="2"/>
  </r>
  <r>
    <d v="2022-03-09T00:00:00"/>
    <n v="-3120"/>
    <n v="-2836.3636363636365"/>
    <n v="-283.63636363636363"/>
    <s v="Expert Report - Darbecca"/>
    <x v="11"/>
    <x v="46"/>
    <x v="22"/>
  </r>
  <r>
    <d v="2022-03-17T00:00:00"/>
    <n v="-2346"/>
    <n v="-2132.7272727272725"/>
    <n v="-213.27272727272728"/>
    <s v="Legal"/>
    <x v="7"/>
    <x v="44"/>
    <x v="2"/>
  </r>
  <r>
    <d v="2022-03-17T00:00:00"/>
    <n v="-67995.25"/>
    <n v="-61813.863636363632"/>
    <n v="-6181.386363636364"/>
    <s v="Build Contract - Ibhomes - Lockup Stage"/>
    <x v="10"/>
    <x v="47"/>
    <x v="15"/>
  </r>
  <r>
    <d v="2022-04-12T00:00:00"/>
    <n v="-1100"/>
    <n v="-1000"/>
    <n v="-100"/>
    <s v="QS Report"/>
    <x v="9"/>
    <x v="37"/>
    <x v="21"/>
  </r>
  <r>
    <d v="2022-04-20T00:00:00"/>
    <n v="-450"/>
    <n v="-409.09090909090912"/>
    <n v="-40.909090909090907"/>
    <s v="Legal"/>
    <x v="7"/>
    <x v="45"/>
    <x v="2"/>
  </r>
  <r>
    <d v="2022-04-20T00:00:00"/>
    <n v="-2563.5500000000002"/>
    <n v="-2330.5"/>
    <n v="-233.05"/>
    <s v="Legal"/>
    <x v="7"/>
    <x v="44"/>
    <x v="2"/>
  </r>
  <r>
    <d v="2022-04-21T00:00:00"/>
    <n v="-150.91999999999999"/>
    <n v="-137.19999999999999"/>
    <n v="-13.719999999999999"/>
    <s v="Video Survellience"/>
    <x v="11"/>
    <x v="48"/>
    <x v="23"/>
  </r>
  <r>
    <d v="2022-04-21T00:00:00"/>
    <n v="-1023"/>
    <n v="-930"/>
    <n v="-93"/>
    <s v="Temp Fencing"/>
    <x v="11"/>
    <x v="49"/>
    <x v="24"/>
  </r>
  <r>
    <d v="2022-04-27T00:00:00"/>
    <n v="-779.5"/>
    <n v="-708.63636363636363"/>
    <n v="-70.86363636363636"/>
    <s v="Video Survellience"/>
    <x v="11"/>
    <x v="48"/>
    <x v="23"/>
  </r>
  <r>
    <d v="2022-05-04T00:00:00"/>
    <n v="-220"/>
    <n v="-200"/>
    <n v="-20"/>
    <s v="Video Survellience"/>
    <x v="11"/>
    <x v="48"/>
    <x v="23"/>
  </r>
  <r>
    <d v="2022-05-04T00:00:00"/>
    <n v="-3357.2"/>
    <n v="-3052"/>
    <n v="-305.2"/>
    <s v="Exppert Report - Spot On"/>
    <x v="11"/>
    <x v="46"/>
    <x v="25"/>
  </r>
  <r>
    <d v="2022-05-06T00:00:00"/>
    <n v="-77"/>
    <n v="-70"/>
    <n v="-7"/>
    <s v="Mis"/>
    <x v="11"/>
    <x v="50"/>
    <x v="2"/>
  </r>
  <r>
    <d v="2022-05-06T00:00:00"/>
    <n v="-5909.2"/>
    <n v="-5372"/>
    <n v="-537.19999999999993"/>
    <s v="Legal"/>
    <x v="7"/>
    <x v="44"/>
    <x v="2"/>
  </r>
  <r>
    <d v="2022-05-27T00:00:00"/>
    <n v="-754.34"/>
    <n v="-685.76363636363635"/>
    <n v="-68.576363636363638"/>
    <s v="Video Survellience"/>
    <x v="11"/>
    <x v="48"/>
    <x v="23"/>
  </r>
  <r>
    <d v="2022-06-06T00:00:00"/>
    <n v="-225.95"/>
    <n v="-205.40909090909091"/>
    <n v="-20.540909090909089"/>
    <s v="Temp Fencing"/>
    <x v="11"/>
    <x v="49"/>
    <x v="24"/>
  </r>
  <r>
    <d v="2022-06-15T00:00:00"/>
    <n v="-27.33"/>
    <n v="-27.33"/>
    <n v="0"/>
    <s v="Utilities"/>
    <x v="3"/>
    <x v="42"/>
    <x v="2"/>
  </r>
  <r>
    <d v="2022-06-15T00:00:00"/>
    <n v="-23.73"/>
    <n v="-23.73"/>
    <n v="0"/>
    <s v="Utilities"/>
    <x v="3"/>
    <x v="42"/>
    <x v="2"/>
  </r>
  <r>
    <d v="2022-06-21T00:00:00"/>
    <n v="-1894.2"/>
    <n v="-1722"/>
    <n v="-172.20000000000002"/>
    <s v="Legal"/>
    <x v="7"/>
    <x v="44"/>
    <x v="2"/>
  </r>
  <r>
    <d v="2022-06-24T00:00:00"/>
    <n v="-779.5"/>
    <n v="-708.63636363636363"/>
    <n v="-70.86363636363636"/>
    <s v="Video Survellience"/>
    <x v="11"/>
    <x v="48"/>
    <x v="23"/>
  </r>
  <r>
    <d v="2022-06-28T00:00:00"/>
    <n v="-206.94"/>
    <n v="-206.94"/>
    <n v="0"/>
    <s v="Utilities"/>
    <x v="3"/>
    <x v="42"/>
    <x v="2"/>
  </r>
  <r>
    <d v="2022-06-30T00:00:00"/>
    <n v="-7000"/>
    <n v="-6363.636363636364"/>
    <n v="-636.36363636363637"/>
    <s v="Exppert Report - Spot On"/>
    <x v="11"/>
    <x v="46"/>
    <x v="25"/>
  </r>
  <r>
    <d v="2022-06-30T00:00:00"/>
    <n v="-223.3"/>
    <n v="-203"/>
    <n v="-20.3"/>
    <s v="Temp Fencing"/>
    <x v="11"/>
    <x v="49"/>
    <x v="24"/>
  </r>
  <r>
    <d v="2022-07-05T00:00:00"/>
    <n v="-779.5"/>
    <n v="-708.63636363636363"/>
    <n v="-70.86363636363636"/>
    <s v="iDetect"/>
    <x v="11"/>
    <x v="48"/>
    <x v="2"/>
  </r>
  <r>
    <d v="2022-07-14T00:00:00"/>
    <n v="-856.9"/>
    <n v="-779"/>
    <n v="-77.899999999999991"/>
    <s v="Legals"/>
    <x v="7"/>
    <x v="44"/>
    <x v="2"/>
  </r>
  <r>
    <d v="2022-07-14T00:00:00"/>
    <n v="-7784"/>
    <n v="-7076.363636363636"/>
    <n v="-707.63636363636363"/>
    <s v="Spont on Consulting - Expert Report"/>
    <x v="11"/>
    <x v="46"/>
    <x v="2"/>
  </r>
  <r>
    <d v="2022-07-27T00:00:00"/>
    <n v="-779.5"/>
    <n v="-708.63636363636363"/>
    <n v="-70.86363636363636"/>
    <s v="iDetect"/>
    <x v="11"/>
    <x v="48"/>
    <x v="2"/>
  </r>
  <r>
    <d v="2022-08-01T00:00:00"/>
    <n v="-238.7"/>
    <n v="-217"/>
    <n v="-21.7"/>
    <s v="Klem Hire - Fencing"/>
    <x v="11"/>
    <x v="49"/>
    <x v="24"/>
  </r>
  <r>
    <d v="2022-08-15T00:00:00"/>
    <n v="-389.75"/>
    <n v="-354.31818181818181"/>
    <n v="-35.43181818181818"/>
    <s v="iDetect"/>
    <x v="11"/>
    <x v="48"/>
    <x v="2"/>
  </r>
  <r>
    <d v="2022-08-16T00:00:00"/>
    <n v="-586.29999999999995"/>
    <n v="-533"/>
    <n v="-53.3"/>
    <s v="Legals"/>
    <x v="7"/>
    <x v="44"/>
    <x v="2"/>
  </r>
  <r>
    <d v="2022-09-06T00:00:00"/>
    <n v="-377.17"/>
    <n v="-342.88181818181818"/>
    <n v="-34.288181818181819"/>
    <s v="iDetect"/>
    <x v="11"/>
    <x v="48"/>
    <x v="2"/>
  </r>
  <r>
    <d v="2022-09-01T00:00:00"/>
    <n v="-231"/>
    <n v="-210"/>
    <n v="-21"/>
    <s v="Klem Hire - Fencing"/>
    <x v="11"/>
    <x v="49"/>
    <x v="24"/>
  </r>
  <r>
    <d v="2022-09-15T00:00:00"/>
    <n v="-195.25"/>
    <n v="-177.5"/>
    <n v="-17.75"/>
    <s v="Klem Hire - Fencing"/>
    <x v="11"/>
    <x v="49"/>
    <x v="24"/>
  </r>
  <r>
    <s v="21/10/2022"/>
    <n v="-200"/>
    <n v="-181.81818181818181"/>
    <n v="-18.181818181818183"/>
    <s v="Barrister"/>
    <x v="7"/>
    <x v="45"/>
    <x v="2"/>
  </r>
  <r>
    <s v="24/10/2022"/>
    <n v="-150"/>
    <n v="-136.36363636363637"/>
    <n v="-13.636363636363637"/>
    <s v="Barrister"/>
    <x v="7"/>
    <x v="45"/>
    <x v="2"/>
  </r>
  <r>
    <s v="24/10/2023"/>
    <n v="-150"/>
    <n v="-136.36363636363637"/>
    <n v="-13.636363636363637"/>
    <s v="Barrister"/>
    <x v="7"/>
    <x v="45"/>
    <x v="2"/>
  </r>
  <r>
    <s v="26/10/2022"/>
    <n v="1100"/>
    <n v="1000"/>
    <n v="100"/>
    <s v="QS Report"/>
    <x v="9"/>
    <x v="37"/>
    <x v="21"/>
  </r>
  <r>
    <s v="27/10/2022"/>
    <n v="-108.28"/>
    <n v="-108.28"/>
    <n v="0"/>
    <s v="Electricity"/>
    <x v="3"/>
    <x v="42"/>
    <x v="2"/>
  </r>
  <r>
    <s v="27/10/2022"/>
    <n v="-100086.833"/>
    <n v="-90988.03"/>
    <n v="-9098.8029999999999"/>
    <s v="Build Contract - Clancy - Defects 1"/>
    <x v="10"/>
    <x v="51"/>
    <x v="26"/>
  </r>
  <r>
    <d v="2022-11-14T00:00:00"/>
    <n v="-225.95"/>
    <n v="-225.95"/>
    <n v="0"/>
    <s v="Utilities"/>
    <x v="3"/>
    <x v="42"/>
    <x v="2"/>
  </r>
  <r>
    <d v="2022-11-14T00:00:00"/>
    <n v="-222.5"/>
    <n v="-222.5"/>
    <n v="0"/>
    <s v="Utilities"/>
    <x v="3"/>
    <x v="42"/>
    <x v="2"/>
  </r>
  <r>
    <d v="2022-11-18T00:00:00"/>
    <n v="-290"/>
    <n v="290"/>
    <n v="0"/>
    <s v="ASIC"/>
    <x v="5"/>
    <x v="52"/>
    <x v="2"/>
  </r>
  <r>
    <d v="2022-11-18T00:00:00"/>
    <n v="-1000"/>
    <n v="-909.09090909090912"/>
    <n v="-90.909090909090907"/>
    <s v="Legals"/>
    <x v="7"/>
    <x v="44"/>
    <x v="2"/>
  </r>
  <r>
    <d v="2022-11-21T00:00:00"/>
    <n v="-1100"/>
    <n v="-1000"/>
    <n v="-100"/>
    <s v="QS Report"/>
    <x v="9"/>
    <x v="37"/>
    <x v="21"/>
  </r>
  <r>
    <s v="21/22/2022"/>
    <n v="-62480"/>
    <n v="-56800"/>
    <n v="-5680"/>
    <s v="Build Contract - Clancy - Defects 2"/>
    <x v="10"/>
    <x v="51"/>
    <x v="26"/>
  </r>
  <r>
    <d v="2022-11-23T00:00:00"/>
    <n v="-500"/>
    <n v="-454.54545454545456"/>
    <n v="-45.454545454545453"/>
    <s v="Legals"/>
    <x v="7"/>
    <x v="44"/>
    <x v="2"/>
  </r>
  <r>
    <d v="2022-12-12T00:00:00"/>
    <n v="-400"/>
    <n v="-363.63636363636363"/>
    <n v="-36.363636363636367"/>
    <s v="Barrister"/>
    <x v="7"/>
    <x v="45"/>
    <x v="2"/>
  </r>
  <r>
    <d v="2022-12-12T00:00:00"/>
    <n v="-1000"/>
    <n v="-909.09090909090912"/>
    <n v="-90.909090909090907"/>
    <s v="Legal"/>
    <x v="7"/>
    <x v="44"/>
    <x v="2"/>
  </r>
  <r>
    <d v="2022-12-19T00:00:00"/>
    <n v="-750"/>
    <n v="-681.81818181818176"/>
    <n v="-68.181818181818187"/>
    <s v="Legals"/>
    <x v="7"/>
    <x v="44"/>
    <x v="2"/>
  </r>
  <r>
    <d v="2022-12-31T00:00:00"/>
    <n v="-43450"/>
    <n v="-39500"/>
    <n v="-3950"/>
    <s v="Build Contract - Clancy - Defects 3"/>
    <x v="10"/>
    <x v="51"/>
    <x v="26"/>
  </r>
  <r>
    <d v="2022-12-31T00:00:00"/>
    <n v="-1100"/>
    <n v="-1000"/>
    <n v="-100"/>
    <s v="QS Report"/>
    <x v="9"/>
    <x v="37"/>
    <x v="21"/>
  </r>
  <r>
    <d v="2023-10-01T00:00:00"/>
    <n v="-860"/>
    <n v="-781.81818181818176"/>
    <n v="-78.181818181818187"/>
    <s v="Legals"/>
    <x v="7"/>
    <x v="44"/>
    <x v="2"/>
  </r>
  <r>
    <s v="23/01/2023"/>
    <n v="-1000"/>
    <n v="-909.09090909090912"/>
    <n v="-90.909090909090907"/>
    <s v="Legals"/>
    <x v="7"/>
    <x v="44"/>
    <x v="2"/>
  </r>
  <r>
    <d v="2023-02-03T00:00:00"/>
    <n v="-111.25"/>
    <n v="-111.25"/>
    <m/>
    <s v="Utilities"/>
    <x v="3"/>
    <x v="42"/>
    <x v="2"/>
  </r>
  <r>
    <d v="2023-02-03T00:00:00"/>
    <n v="-111.25"/>
    <n v="-111.25"/>
    <m/>
    <s v="Utilities"/>
    <x v="3"/>
    <x v="42"/>
    <x v="2"/>
  </r>
  <r>
    <s v="16/2/2023"/>
    <n v="-710"/>
    <n v="-645.4545454545455"/>
    <n v="-64.545454545454547"/>
    <s v="Barrister"/>
    <x v="7"/>
    <x v="45"/>
    <x v="2"/>
  </r>
  <r>
    <s v="16/2/2023"/>
    <n v="-1500"/>
    <n v="-1363.6363636363635"/>
    <n v="-136.36363636363637"/>
    <s v="Legals"/>
    <x v="7"/>
    <x v="44"/>
    <x v="2"/>
  </r>
  <r>
    <d v="2023-02-03T00:00:00"/>
    <n v="-1000"/>
    <n v="-909.09090909090912"/>
    <n v="-90.909090909090907"/>
    <s v="Legals"/>
    <x v="7"/>
    <x v="44"/>
    <x v="2"/>
  </r>
  <r>
    <d v="2023-07-03T00:00:00"/>
    <n v="-63601.59"/>
    <n v="-57819.627272727274"/>
    <n v="-5781.9627272727266"/>
    <s v="Build Contract - Clancy - Defects 4"/>
    <x v="10"/>
    <x v="51"/>
    <x v="26"/>
  </r>
  <r>
    <s v="15/3/2023"/>
    <n v="-525"/>
    <n v="-477.27272727272725"/>
    <n v="-47.727272727272727"/>
    <s v="Barrister"/>
    <x v="7"/>
    <x v="45"/>
    <x v="2"/>
  </r>
  <r>
    <s v="15/3/2023"/>
    <n v="-1100"/>
    <n v="-1000"/>
    <n v="-100"/>
    <s v="QS Report"/>
    <x v="9"/>
    <x v="37"/>
    <x v="21"/>
  </r>
  <r>
    <s v="15/3/2023"/>
    <n v="-1100"/>
    <n v="-1000"/>
    <n v="-100"/>
    <s v="QS Report"/>
    <x v="9"/>
    <x v="37"/>
    <x v="21"/>
  </r>
  <r>
    <s v="24/3/2023"/>
    <n v="-575"/>
    <n v="-522.72727272727275"/>
    <n v="-52.272727272727273"/>
    <s v="Barrister"/>
    <x v="7"/>
    <x v="45"/>
    <x v="2"/>
  </r>
  <r>
    <s v="24/3/2023"/>
    <n v="-2000"/>
    <n v="-1818.1818181818182"/>
    <n v="-181.81818181818181"/>
    <s v="JCL"/>
    <x v="7"/>
    <x v="44"/>
    <x v="2"/>
  </r>
  <r>
    <s v="25/3/2023"/>
    <n v="-1600"/>
    <n v="-1454.5454545454545"/>
    <n v="-145.45454545454547"/>
    <s v="Sales Advertising"/>
    <x v="12"/>
    <x v="53"/>
    <x v="27"/>
  </r>
  <r>
    <s v="25/3/2023"/>
    <n v="-63030"/>
    <n v="-57300"/>
    <n v="-5730"/>
    <s v="Build Contract - Clancy - Defects 5"/>
    <x v="10"/>
    <x v="51"/>
    <x v="26"/>
  </r>
  <r>
    <d v="2023-12-04T00:00:00"/>
    <n v="-3000"/>
    <n v="-2727.272727272727"/>
    <n v="-272.72727272727275"/>
    <s v="JCL"/>
    <x v="7"/>
    <x v="44"/>
    <x v="2"/>
  </r>
  <r>
    <d v="2023-11-04T00:00:00"/>
    <n v="-2000"/>
    <n v="-1818.1818181818182"/>
    <n v="-181.81818181818181"/>
    <s v="JCL"/>
    <x v="7"/>
    <x v="44"/>
    <x v="2"/>
  </r>
  <r>
    <s v="30/4/23"/>
    <n v="-108347.92"/>
    <n v="-98498.109090909085"/>
    <n v="-9849.8109090909093"/>
    <s v="Build Contract - Clancy - Defects 6"/>
    <x v="10"/>
    <x v="51"/>
    <x v="26"/>
  </r>
  <r>
    <s v="30/4/23"/>
    <n v="-1100"/>
    <n v="-1000"/>
    <n v="-100"/>
    <s v="QS Report"/>
    <x v="9"/>
    <x v="37"/>
    <x v="21"/>
  </r>
  <r>
    <d v="2023-05-02T00:00:00"/>
    <n v="-1788.31"/>
    <n v="-1625.7363636363636"/>
    <n v="-162.57363636363635"/>
    <s v="Sales Advertising"/>
    <x v="12"/>
    <x v="53"/>
    <x v="27"/>
  </r>
  <r>
    <d v="2023-05-10T00:00:00"/>
    <n v="-2000"/>
    <n v="-1818.1818181818182"/>
    <n v="-181.81818181818181"/>
    <s v="JCL"/>
    <x v="7"/>
    <x v="44"/>
    <x v="2"/>
  </r>
  <r>
    <d v="2023-05-11T00:00:00"/>
    <n v="-218.64"/>
    <n v="-198.76363636363635"/>
    <n v="-19.876363636363635"/>
    <s v="Electricity"/>
    <x v="3"/>
    <x v="42"/>
    <x v="2"/>
  </r>
  <r>
    <d v="2023-05-11T00:00:00"/>
    <n v="-111.25"/>
    <n v="-111.25"/>
    <m/>
    <s v="Water"/>
    <x v="3"/>
    <x v="42"/>
    <x v="2"/>
  </r>
  <r>
    <d v="2023-05-11T00:00:00"/>
    <n v="-111.25"/>
    <n v="-111.25"/>
    <m/>
    <s v="Water"/>
    <x v="3"/>
    <x v="42"/>
    <x v="2"/>
  </r>
  <r>
    <d v="2023-05-22T00:00:00"/>
    <n v="-855.6"/>
    <n v="-777.81818181818187"/>
    <n v="-77.781818181818181"/>
    <s v="Barrister"/>
    <x v="7"/>
    <x v="45"/>
    <x v="2"/>
  </r>
  <r>
    <d v="2023-05-22T00:00:00"/>
    <n v="-410"/>
    <n v="-372.72727272727275"/>
    <n v="-37.272727272727273"/>
    <s v="Barrister"/>
    <x v="7"/>
    <x v="45"/>
    <x v="2"/>
  </r>
  <r>
    <d v="2023-05-22T00:00:00"/>
    <n v="-2029"/>
    <n v="-1844.5454545454545"/>
    <n v="-184.45454545454547"/>
    <s v="JCL"/>
    <x v="7"/>
    <x v="44"/>
    <x v="2"/>
  </r>
  <r>
    <d v="2023-05-30T00:00:00"/>
    <n v="-68817.58"/>
    <n v="-62561.436363636363"/>
    <n v="-6256.1436363636367"/>
    <s v="Build Contract - Clancy - Defects 7"/>
    <x v="10"/>
    <x v="51"/>
    <x v="26"/>
  </r>
  <r>
    <d v="2023-06-06T00:00:00"/>
    <n v="-111.25"/>
    <n v="-101.13636363636364"/>
    <n v="-10.113636363636363"/>
    <m/>
    <x v="3"/>
    <x v="42"/>
    <x v="2"/>
  </r>
  <r>
    <d v="2023-06-21T00:00:00"/>
    <n v="-4028"/>
    <n v="-3661.818181818182"/>
    <n v="-366.18181818181819"/>
    <s v="JCL"/>
    <x v="7"/>
    <x v="44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3">
  <r>
    <d v="2016-05-23T00:00:00"/>
    <n v="-30000"/>
    <n v="-30000"/>
    <n v="0"/>
    <s v="Deposit for 68 Tyquin St"/>
    <x v="0"/>
    <x v="0"/>
    <x v="0"/>
  </r>
  <r>
    <d v="2016-05-23T00:00:00"/>
    <n v="-15656"/>
    <n v="-15656"/>
    <n v="0"/>
    <s v="Settlement Costs (Stamps, Legals etc)"/>
    <x v="0"/>
    <x v="1"/>
    <x v="0"/>
  </r>
  <r>
    <d v="2016-05-23T00:00:00"/>
    <n v="-37250"/>
    <n v="-37250"/>
    <n v="0"/>
    <s v="Deposit for 70 Tyquin St"/>
    <x v="0"/>
    <x v="0"/>
    <x v="1"/>
  </r>
  <r>
    <d v="2016-05-23T00:00:00"/>
    <n v="-26962"/>
    <n v="-26962"/>
    <n v="0"/>
    <s v="Settlement Costs (Stamps, Legals etc)"/>
    <x v="0"/>
    <x v="1"/>
    <x v="1"/>
  </r>
  <r>
    <d v="2016-05-23T00:00:00"/>
    <n v="-270000"/>
    <n v="-270000"/>
    <n v="0"/>
    <s v="Land Loan - 68 Tyquin St"/>
    <x v="0"/>
    <x v="2"/>
    <x v="2"/>
  </r>
  <r>
    <d v="2016-05-23T00:00:00"/>
    <n v="-335250"/>
    <n v="-335250"/>
    <n v="0"/>
    <s v="Land Loan - 70 Tyquin St"/>
    <x v="0"/>
    <x v="2"/>
    <x v="2"/>
  </r>
  <r>
    <d v="2016-05-23T00:00:00"/>
    <n v="250"/>
    <n v="250"/>
    <n v="0"/>
    <s v="Transfer from xx4836 CommBank app Tyquin St"/>
    <x v="1"/>
    <x v="3"/>
    <x v="2"/>
  </r>
  <r>
    <d v="2016-05-23T00:00:00"/>
    <n v="1150.07"/>
    <n v="1150.07"/>
    <n v="0"/>
    <s v="Direct Credit 302416 Barlow McEwan Tr RENT PAYMNT THOM"/>
    <x v="2"/>
    <x v="4"/>
    <x v="0"/>
  </r>
  <r>
    <d v="2016-05-25T00:00:00"/>
    <n v="250"/>
    <n v="250"/>
    <n v="0"/>
    <s v="Direct Credit 421520 ANDREW MANOKARAN Mano"/>
    <x v="1"/>
    <x v="5"/>
    <x v="2"/>
  </r>
  <r>
    <d v="2016-05-27T00:00:00"/>
    <n v="-931.14"/>
    <n v="-931.14"/>
    <n v="0"/>
    <s v="Direct Debit 012179 Advantedge PTVL ADV"/>
    <x v="3"/>
    <x v="6"/>
    <x v="0"/>
  </r>
  <r>
    <d v="2016-05-27T00:00:00"/>
    <n v="-501.27"/>
    <n v="-501.27"/>
    <n v="0"/>
    <s v="Direct Debit 012179 Advantedge PTVL ADV"/>
    <x v="3"/>
    <x v="6"/>
    <x v="0"/>
  </r>
  <r>
    <d v="2016-06-02T00:00:00"/>
    <n v="5000"/>
    <n v="5000"/>
    <n v="0"/>
    <s v="Direct Credit 421520 ANDREW MANOKARAN Andrew"/>
    <x v="1"/>
    <x v="5"/>
    <x v="2"/>
  </r>
  <r>
    <d v="2016-06-03T00:00:00"/>
    <n v="5000"/>
    <n v="5000"/>
    <n v="0"/>
    <s v="Direct Credit 421520 ANDREW MANOKARAN Andrew Tyquin"/>
    <x v="1"/>
    <x v="5"/>
    <x v="2"/>
  </r>
  <r>
    <d v="2016-06-03T00:00:00"/>
    <n v="10000"/>
    <n v="10000"/>
    <n v="0"/>
    <s v="Direct Credit 421520 LLOYD THOMAS"/>
    <x v="1"/>
    <x v="3"/>
    <x v="2"/>
  </r>
  <r>
    <d v="2016-06-07T00:00:00"/>
    <n v="1500"/>
    <n v="1500"/>
    <n v="0"/>
    <s v="Direct Credit 421520 ANDREW MANOKARAN Andrew Tyquin"/>
    <x v="1"/>
    <x v="5"/>
    <x v="2"/>
  </r>
  <r>
    <d v="2016-06-07T00:00:00"/>
    <n v="1500"/>
    <n v="1500"/>
    <n v="0"/>
    <s v="Transfer from xx4836 CommBank app Tyquin settlement"/>
    <x v="1"/>
    <x v="3"/>
    <x v="2"/>
  </r>
  <r>
    <d v="2016-06-09T00:00:00"/>
    <n v="-279"/>
    <n v="-279"/>
    <n v="0"/>
    <s v="HOBSONS BAY COUNCIL  NetBank BPAY 39032 59020006808 "/>
    <x v="3"/>
    <x v="7"/>
    <x v="0"/>
  </r>
  <r>
    <d v="2016-06-12T00:00:00"/>
    <n v="-550"/>
    <n v="-550"/>
    <n v="0"/>
    <s v="Transfer to xx4836 NetBank 68 Feasibility Rep"/>
    <x v="4"/>
    <x v="8"/>
    <x v="3"/>
  </r>
  <r>
    <d v="2016-06-12T00:00:00"/>
    <n v="-500"/>
    <n v="-500"/>
    <n v="0"/>
    <s v="Transfer to xx4836 NetBank 68 Initial Deposit"/>
    <x v="1"/>
    <x v="9"/>
    <x v="2"/>
  </r>
  <r>
    <d v="2016-06-16T00:00:00"/>
    <n v="400"/>
    <n v="400"/>
    <n v="0"/>
    <s v="Direct Credit 421520 ANDREW MANOKARAN Mano"/>
    <x v="1"/>
    <x v="5"/>
    <x v="2"/>
  </r>
  <r>
    <d v="2016-06-21T00:00:00"/>
    <n v="1139.07"/>
    <n v="1139.07"/>
    <n v="0"/>
    <s v="Direct Credit 302416 Barlow McEwan Tr RENT PAYMNT THOM"/>
    <x v="2"/>
    <x v="4"/>
    <x v="0"/>
  </r>
  <r>
    <d v="2016-06-27T00:00:00"/>
    <n v="-518.23"/>
    <n v="-518.23"/>
    <n v="0"/>
    <s v="Direct Debit 012179 Advantedge PTVL ADV"/>
    <x v="3"/>
    <x v="6"/>
    <x v="0"/>
  </r>
  <r>
    <d v="2016-06-27T00:00:00"/>
    <n v="-502.69"/>
    <n v="-502.69"/>
    <n v="0"/>
    <s v="Direct Debit 012179 Advantedge PTVL ADV"/>
    <x v="3"/>
    <x v="6"/>
    <x v="0"/>
  </r>
  <r>
    <d v="2016-06-29T00:00:00"/>
    <n v="400"/>
    <n v="400"/>
    <n v="0"/>
    <s v="Transfer from xx4836 NetBank tyquin st LT"/>
    <x v="1"/>
    <x v="3"/>
    <x v="2"/>
  </r>
  <r>
    <d v="2016-06-30T00:00:00"/>
    <n v="-1210"/>
    <n v="-1210"/>
    <n v="0"/>
    <s v="Transfer to other Bank NetBank 68 70 Tyquin St"/>
    <x v="4"/>
    <x v="8"/>
    <x v="3"/>
  </r>
  <r>
    <d v="2016-07-04T00:00:00"/>
    <n v="600"/>
    <n v="600"/>
    <n v="0"/>
    <s v="Direct Credit 421520 ANDREW MANOKARAN Andrew Architect"/>
    <x v="1"/>
    <x v="5"/>
    <x v="2"/>
  </r>
  <r>
    <d v="2016-07-08T00:00:00"/>
    <n v="-70"/>
    <n v="-70"/>
    <n v="0"/>
    <s v="Transfer to xx1274 NetBank Jo Flowers Champag"/>
    <x v="5"/>
    <x v="10"/>
    <x v="2"/>
  </r>
  <r>
    <d v="2016-07-08T00:00:00"/>
    <n v="600"/>
    <n v="600"/>
    <n v="0"/>
    <s v="Transfer from xx8740 NetBank TyquinArchitectFes"/>
    <x v="1"/>
    <x v="3"/>
    <x v="2"/>
  </r>
  <r>
    <d v="2016-07-15T00:00:00"/>
    <n v="-62.79"/>
    <n v="-62.79"/>
    <n v="0"/>
    <s v="Direct Debit 452599 AAMI PI HPL071936456"/>
    <x v="3"/>
    <x v="11"/>
    <x v="0"/>
  </r>
  <r>
    <d v="2016-07-18T00:00:00"/>
    <n v="400"/>
    <n v="400"/>
    <n v="0"/>
    <s v="Direct Credit 421520 ANDREW MANOKARAN Mano"/>
    <x v="1"/>
    <x v="5"/>
    <x v="2"/>
  </r>
  <r>
    <d v="2016-07-21T00:00:00"/>
    <n v="1150.07"/>
    <n v="1150.07"/>
    <n v="0"/>
    <s v="Direct Credit 302416 Barlow McEwan Tr RENT PAYMNT THOM"/>
    <x v="2"/>
    <x v="4"/>
    <x v="0"/>
  </r>
  <r>
    <d v="2016-07-26T00:00:00"/>
    <n v="2500"/>
    <n v="2500"/>
    <n v="0"/>
    <s v="Direct Credit 421520 ANDREW MANOKARAN Andrew 70tyquin"/>
    <x v="1"/>
    <x v="5"/>
    <x v="2"/>
  </r>
  <r>
    <d v="2016-07-27T00:00:00"/>
    <n v="-486.49"/>
    <n v="-486.49"/>
    <n v="0"/>
    <s v="Direct Debit 012179 Advantedge PTVL ADV"/>
    <x v="3"/>
    <x v="6"/>
    <x v="0"/>
  </r>
  <r>
    <d v="2016-07-27T00:00:00"/>
    <n v="-473.09"/>
    <n v="-473.09"/>
    <n v="0"/>
    <s v="Direct Debit 012179 Advantedge PTVL ADV"/>
    <x v="3"/>
    <x v="6"/>
    <x v="0"/>
  </r>
  <r>
    <d v="2016-07-28T00:00:00"/>
    <n v="-28000"/>
    <n v="-28000"/>
    <n v="0"/>
    <s v="Transfer to other Bank NetBank Settlement"/>
    <x v="1"/>
    <x v="12"/>
    <x v="2"/>
  </r>
  <r>
    <d v="2016-07-28T00:00:00"/>
    <n v="2500"/>
    <n v="2500"/>
    <n v="0"/>
    <s v="Transfer from xx8740 CommBank app Settlement"/>
    <x v="1"/>
    <x v="3"/>
    <x v="2"/>
  </r>
  <r>
    <d v="2016-08-01T00:00:00"/>
    <n v="-64.69"/>
    <n v="-64.69"/>
    <n v="0"/>
    <s v="Direct Debit 452599 AAMI PI HPL077169729"/>
    <x v="3"/>
    <x v="11"/>
    <x v="1"/>
  </r>
  <r>
    <d v="2016-08-02T00:00:00"/>
    <n v="-601"/>
    <n v="-601"/>
    <n v="0"/>
    <s v="Transfer to other Bank NetBank deposit interest"/>
    <x v="3"/>
    <x v="6"/>
    <x v="1"/>
  </r>
  <r>
    <d v="2016-08-02T00:00:00"/>
    <n v="21"/>
    <n v="21"/>
    <n v="0"/>
    <s v="Transfer from xx4836 NetBank Top Up"/>
    <x v="1"/>
    <x v="3"/>
    <x v="2"/>
  </r>
  <r>
    <d v="2016-08-02T00:00:00"/>
    <n v="400"/>
    <n v="400"/>
    <n v="0"/>
    <s v="Transfer from xx4836 NetBank Tyquin St Project"/>
    <x v="1"/>
    <x v="3"/>
    <x v="2"/>
  </r>
  <r>
    <d v="2016-08-04T00:00:00"/>
    <n v="2500"/>
    <n v="2500"/>
    <n v="0"/>
    <s v="Direct Credit 421520 ANDREW MANOKARAN Andrew 70 Tyquin"/>
    <x v="1"/>
    <x v="5"/>
    <x v="2"/>
  </r>
  <r>
    <d v="2016-08-06T00:00:00"/>
    <n v="-2255"/>
    <n v="-2255"/>
    <n v="0"/>
    <s v="Transfer to other Bank NetBank Tyquin St Lloyd"/>
    <x v="4"/>
    <x v="8"/>
    <x v="4"/>
  </r>
  <r>
    <d v="2016-08-06T00:00:00"/>
    <n v="-216.58"/>
    <n v="-216.58"/>
    <n v="0"/>
    <s v="CITY WEST WATER      NetBank BPAY 8789 121739220138"/>
    <x v="3"/>
    <x v="13"/>
    <x v="0"/>
  </r>
  <r>
    <d v="2016-08-06T00:00:00"/>
    <n v="2500"/>
    <n v="2500"/>
    <n v="0"/>
    <s v="Transfer from xx4836 NetBank 70 Tyquin Reno"/>
    <x v="1"/>
    <x v="3"/>
    <x v="2"/>
  </r>
  <r>
    <d v="2016-08-08T00:00:00"/>
    <n v="82"/>
    <n v="82"/>
    <n v="0"/>
    <s v="Direct Credit 106600 LLOYD THOMAS Left over from Set"/>
    <x v="1"/>
    <x v="14"/>
    <x v="2"/>
  </r>
  <r>
    <d v="2016-08-13T00:00:00"/>
    <n v="-2000"/>
    <n v="-2000"/>
    <n v="0"/>
    <s v="Transfer to CBA A/c NetBank TyquinRenoPayment1"/>
    <x v="3"/>
    <x v="15"/>
    <x v="2"/>
  </r>
  <r>
    <d v="2016-08-16T00:00:00"/>
    <n v="-62.79"/>
    <n v="-62.79"/>
    <n v="0"/>
    <s v="Direct Debit 452599 AAMI PI HPL071936456"/>
    <x v="3"/>
    <x v="11"/>
    <x v="0"/>
  </r>
  <r>
    <d v="2016-08-16T00:00:00"/>
    <n v="400"/>
    <n v="400"/>
    <n v="0"/>
    <s v="Direct Credit 421520 ANDREW MANOKARAN Mano"/>
    <x v="1"/>
    <x v="5"/>
    <x v="2"/>
  </r>
  <r>
    <d v="2016-08-22T00:00:00"/>
    <n v="1150.07"/>
    <n v="1150.07"/>
    <n v="0"/>
    <s v="Direct Credit 302416 Barlow McEwan Tr RENT PAYMNT THOM"/>
    <x v="2"/>
    <x v="4"/>
    <x v="0"/>
  </r>
  <r>
    <d v="2016-08-22T00:00:00"/>
    <n v="1400"/>
    <n v="1400"/>
    <n v="0"/>
    <s v="Direct Credit 421520 ANDREW MANOKARAN"/>
    <x v="1"/>
    <x v="5"/>
    <x v="2"/>
  </r>
  <r>
    <d v="2016-08-23T00:00:00"/>
    <n v="1500"/>
    <n v="1500"/>
    <n v="0"/>
    <s v="Transfer from xx8740 NetBank renovationpayment2"/>
    <x v="1"/>
    <x v="3"/>
    <x v="2"/>
  </r>
  <r>
    <d v="2016-08-26T00:00:00"/>
    <n v="-502.56"/>
    <n v="-502.56"/>
    <n v="0"/>
    <s v="Direct Debit 012179 Advantedge PTVL ADV"/>
    <x v="3"/>
    <x v="6"/>
    <x v="0"/>
  </r>
  <r>
    <d v="2016-08-26T00:00:00"/>
    <n v="-488.72"/>
    <n v="-488.72"/>
    <n v="0"/>
    <s v="Direct Debit 012179 Advantedge PTVL ADV"/>
    <x v="3"/>
    <x v="6"/>
    <x v="0"/>
  </r>
  <r>
    <d v="2016-08-29T00:00:00"/>
    <n v="-1560"/>
    <n v="-1560"/>
    <n v="0"/>
    <s v="Transfer to other Bank NetBank MPL3461 planlevy"/>
    <x v="4"/>
    <x v="8"/>
    <x v="5"/>
  </r>
  <r>
    <d v="2016-08-29T00:00:00"/>
    <n v="-1109.27"/>
    <n v="-1109.27"/>
    <n v="0"/>
    <s v="Direct Debit 000439 BANK-M S311052458400"/>
    <x v="3"/>
    <x v="6"/>
    <x v="1"/>
  </r>
  <r>
    <d v="2016-08-30T00:00:00"/>
    <n v="-64.69"/>
    <n v="-64.69"/>
    <n v="0"/>
    <s v="Direct Debit 452599 AAMI PI HPL077169729"/>
    <x v="3"/>
    <x v="11"/>
    <x v="1"/>
  </r>
  <r>
    <d v="2016-08-31T00:00:00"/>
    <n v="-2000"/>
    <n v="-2000"/>
    <n v="0"/>
    <s v="Transfer to CBA A/c CommBank app Tyquinrenopay2"/>
    <x v="3"/>
    <x v="15"/>
    <x v="2"/>
  </r>
  <r>
    <d v="2016-08-31T00:00:00"/>
    <n v="400"/>
    <n v="400"/>
    <n v="0"/>
    <s v="Transfer from xx4836 CommBank app TyquinMontlyPay"/>
    <x v="1"/>
    <x v="3"/>
    <x v="2"/>
  </r>
  <r>
    <d v="2016-08-31T00:00:00"/>
    <n v="1500"/>
    <n v="1500"/>
    <n v="0"/>
    <s v="Transfer from xx4836 CommBank app Tyquinrenopay3LT"/>
    <x v="1"/>
    <x v="3"/>
    <x v="2"/>
  </r>
  <r>
    <d v="2016-08-31T00:00:00"/>
    <n v="7500"/>
    <n v="7500"/>
    <n v="0"/>
    <s v="Transfer from xx4836 CommBank app TyquinplanpermitLT"/>
    <x v="1"/>
    <x v="3"/>
    <x v="2"/>
  </r>
  <r>
    <d v="2016-08-31T00:00:00"/>
    <n v="9000"/>
    <n v="9000"/>
    <n v="0"/>
    <s v="Direct Credit 421520 ANDREW MANOKARAN Andrew"/>
    <x v="1"/>
    <x v="5"/>
    <x v="2"/>
  </r>
  <r>
    <d v="2016-09-01T00:00:00"/>
    <n v="-843"/>
    <n v="-843"/>
    <n v="0"/>
    <s v="Transfer to other Bank CommBank app deposit loan pay"/>
    <x v="3"/>
    <x v="6"/>
    <x v="1"/>
  </r>
  <r>
    <d v="2016-09-03T00:00:00"/>
    <n v="-15453"/>
    <n v="-15453"/>
    <n v="0"/>
    <s v="Transfer to other Bank NetBank TyquinStProject LT"/>
    <x v="4"/>
    <x v="8"/>
    <x v="3"/>
  </r>
  <r>
    <d v="2016-09-11T00:00:00"/>
    <n v="-1500"/>
    <n v="-1500"/>
    <n v="0"/>
    <s v="Transfer to CBA A/c NetBank Tyquin Reno3"/>
    <x v="3"/>
    <x v="15"/>
    <x v="2"/>
  </r>
  <r>
    <d v="2016-09-11T00:00:00"/>
    <n v="500"/>
    <n v="500"/>
    <n v="0"/>
    <s v="Transfer from xx4836 NetBank TyquinPermit"/>
    <x v="1"/>
    <x v="3"/>
    <x v="2"/>
  </r>
  <r>
    <d v="2016-09-15T00:00:00"/>
    <n v="-62.79"/>
    <n v="-62.79"/>
    <n v="0"/>
    <s v="Direct Debit 452599 AAMI PI HPL071936456"/>
    <x v="3"/>
    <x v="11"/>
    <x v="0"/>
  </r>
  <r>
    <d v="2016-09-16T00:00:00"/>
    <n v="400"/>
    <n v="400"/>
    <n v="0"/>
    <s v="Direct Credit 421520 ANDREW MANOKARAN Mano"/>
    <x v="1"/>
    <x v="5"/>
    <x v="2"/>
  </r>
  <r>
    <d v="2016-09-21T00:00:00"/>
    <n v="1169.9100000000001"/>
    <n v="1169.9100000000001"/>
    <n v="0"/>
    <s v="Direct Credit 302416 Barlow McEwan Tr RENT PAYMNT THOM"/>
    <x v="2"/>
    <x v="4"/>
    <x v="0"/>
  </r>
  <r>
    <d v="2016-09-27T00:00:00"/>
    <n v="-497.61"/>
    <n v="-497.61"/>
    <n v="0"/>
    <s v="Direct Debit 012179 Advantedge PTVL ADV"/>
    <x v="3"/>
    <x v="6"/>
    <x v="0"/>
  </r>
  <r>
    <d v="2016-09-27T00:00:00"/>
    <n v="-483.9"/>
    <n v="-483.9"/>
    <n v="0"/>
    <s v="Direct Debit 012179 Advantedge PTVL ADV"/>
    <x v="3"/>
    <x v="6"/>
    <x v="0"/>
  </r>
  <r>
    <d v="2016-09-27T00:00:00"/>
    <n v="500"/>
    <n v="500"/>
    <n v="0"/>
    <s v="Transfer from xx8740 CommBank app Laptop"/>
    <x v="1"/>
    <x v="5"/>
    <x v="2"/>
  </r>
  <r>
    <d v="2016-09-28T00:00:00"/>
    <n v="-1145.9100000000001"/>
    <n v="-1145.9100000000001"/>
    <n v="0"/>
    <s v="Direct Debit 000439 BANK-M S311052458400"/>
    <x v="3"/>
    <x v="6"/>
    <x v="1"/>
  </r>
  <r>
    <d v="2016-09-29T00:00:00"/>
    <n v="400"/>
    <n v="400"/>
    <n v="0"/>
    <s v="Direct Credit 421520 ANDREW MANOKARAN Tyquin Street"/>
    <x v="1"/>
    <x v="5"/>
    <x v="2"/>
  </r>
  <r>
    <d v="2016-09-30T00:00:00"/>
    <n v="-64.69"/>
    <n v="-64.69"/>
    <n v="0"/>
    <s v="Direct Debit 452599 AAMI PI HPL077169729"/>
    <x v="3"/>
    <x v="11"/>
    <x v="1"/>
  </r>
  <r>
    <d v="2016-09-30T00:00:00"/>
    <n v="-56.93"/>
    <n v="-56.93"/>
    <n v="0"/>
    <s v="Transfer to CBA A/c NetBank Electricity Bill"/>
    <x v="3"/>
    <x v="16"/>
    <x v="2"/>
  </r>
  <r>
    <d v="2016-10-03T00:00:00"/>
    <n v="-275"/>
    <n v="-275"/>
    <n v="0"/>
    <s v="HOBSONS BAY COUNCIL  NetBank BPAY 39032 59020006808"/>
    <x v="3"/>
    <x v="7"/>
    <x v="0"/>
  </r>
  <r>
    <d v="2016-10-09T00:00:00"/>
    <n v="400"/>
    <n v="400"/>
    <n v="0"/>
    <s v="Transfer from xx4836 NetBank SeptPayment"/>
    <x v="1"/>
    <x v="3"/>
    <x v="2"/>
  </r>
  <r>
    <d v="2016-10-17T00:00:00"/>
    <n v="-810"/>
    <n v="-810"/>
    <n v="0"/>
    <s v="Transfer to xx4836 NetBank personalloanpaymen"/>
    <x v="3"/>
    <x v="6"/>
    <x v="1"/>
  </r>
  <r>
    <d v="2016-10-17T00:00:00"/>
    <n v="-62.79"/>
    <n v="-62.79"/>
    <n v="0"/>
    <s v="Direct Debit 452599 AAMI PI HPL071936456"/>
    <x v="3"/>
    <x v="11"/>
    <x v="0"/>
  </r>
  <r>
    <d v="2016-10-17T00:00:00"/>
    <n v="400"/>
    <n v="400"/>
    <n v="0"/>
    <s v="Direct Credit 421520 ANDREW MANOKARAN Mano"/>
    <x v="1"/>
    <x v="5"/>
    <x v="2"/>
  </r>
  <r>
    <d v="2016-10-17T00:00:00"/>
    <n v="400"/>
    <n v="400"/>
    <n v="0"/>
    <s v="Transfer from xx4836 NetBank Payment Extra"/>
    <x v="1"/>
    <x v="3"/>
    <x v="2"/>
  </r>
  <r>
    <d v="2016-10-24T00:00:00"/>
    <n v="1169.9100000000001"/>
    <n v="1169.9100000000001"/>
    <n v="0"/>
    <s v="Direct Credit 302416 Barlow McEwan Tr RENT PAYMNT THOM"/>
    <x v="2"/>
    <x v="4"/>
    <x v="0"/>
  </r>
  <r>
    <d v="2016-10-27T00:00:00"/>
    <n v="-475.01"/>
    <n v="-475.01"/>
    <n v="0"/>
    <s v="Direct Debit 012179 Advantedge PTVL ADV"/>
    <x v="3"/>
    <x v="6"/>
    <x v="0"/>
  </r>
  <r>
    <d v="2016-10-27T00:00:00"/>
    <n v="-461.93"/>
    <n v="-461.93"/>
    <n v="0"/>
    <s v="Direct Debit 012179 Advantedge PTVL ADV"/>
    <x v="3"/>
    <x v="6"/>
    <x v="0"/>
  </r>
  <r>
    <d v="2016-10-28T00:00:00"/>
    <n v="-1109.27"/>
    <n v="-1109.27"/>
    <n v="0"/>
    <s v="Direct Debit 000439 BANK-M S311052458400"/>
    <x v="3"/>
    <x v="6"/>
    <x v="1"/>
  </r>
  <r>
    <d v="2016-10-31T00:00:00"/>
    <n v="-1110"/>
    <n v="-1110"/>
    <n v="0"/>
    <s v="Transfer to other Bank NetBank loanrepaymentLT"/>
    <x v="3"/>
    <x v="6"/>
    <x v="1"/>
  </r>
  <r>
    <d v="2016-10-31T00:00:00"/>
    <n v="-5"/>
    <n v="-5"/>
    <n v="0"/>
    <s v="Unpaid Payment Fee Value Date: 28/10/2016"/>
    <x v="5"/>
    <x v="17"/>
    <x v="2"/>
  </r>
  <r>
    <d v="2016-10-31T00:00:00"/>
    <n v="400"/>
    <n v="400"/>
    <n v="0"/>
    <s v="Transfer from xx4836 NetBank Month Payment LT"/>
    <x v="1"/>
    <x v="3"/>
    <x v="2"/>
  </r>
  <r>
    <d v="2016-10-31T00:00:00"/>
    <n v="1109.27"/>
    <n v="1109.27"/>
    <n v="0"/>
    <s v="Return 28/10/16 Direct Debit 000439 BANK-M S311052458400 Value Date: 28/10/2016"/>
    <x v="3"/>
    <x v="6"/>
    <x v="1"/>
  </r>
  <r>
    <d v="2016-11-01T00:00:00"/>
    <n v="-64.69"/>
    <n v="-64.69"/>
    <n v="0"/>
    <s v="Direct Debit 452599 AAMI PI HPL077169729"/>
    <x v="3"/>
    <x v="11"/>
    <x v="1"/>
  </r>
  <r>
    <d v="2016-11-07T00:00:00"/>
    <n v="400"/>
    <n v="400"/>
    <n v="0"/>
    <s v="Direct Credit 421520 ANDREW MANOKARAN"/>
    <x v="1"/>
    <x v="5"/>
    <x v="2"/>
  </r>
  <r>
    <d v="2016-11-15T00:00:00"/>
    <n v="-62.79"/>
    <n v="-62.79"/>
    <n v="0"/>
    <s v="Direct Debit 452599 AAMI PI HPL071936456"/>
    <x v="3"/>
    <x v="11"/>
    <x v="0"/>
  </r>
  <r>
    <d v="2016-11-16T00:00:00"/>
    <n v="340"/>
    <n v="340"/>
    <n v="0"/>
    <s v="Direct Credit 421520 ANDREW MANOKARAN Advertising"/>
    <x v="1"/>
    <x v="5"/>
    <x v="2"/>
  </r>
  <r>
    <d v="2016-11-16T00:00:00"/>
    <n v="400"/>
    <n v="400"/>
    <n v="0"/>
    <s v="Direct Credit 421520 ANDREW MANOKARAN Mano"/>
    <x v="1"/>
    <x v="5"/>
    <x v="2"/>
  </r>
  <r>
    <d v="2016-11-17T00:00:00"/>
    <n v="-678"/>
    <n v="-678"/>
    <n v="0"/>
    <s v="Transfer to other Bank NetBank advertising"/>
    <x v="4"/>
    <x v="8"/>
    <x v="5"/>
  </r>
  <r>
    <d v="2016-11-17T00:00:00"/>
    <n v="500"/>
    <n v="500"/>
    <n v="0"/>
    <s v="Transfer from xx4836 NetBank First Rent"/>
    <x v="2"/>
    <x v="4"/>
    <x v="1"/>
  </r>
  <r>
    <d v="2016-11-22T00:00:00"/>
    <n v="1169.9100000000001"/>
    <n v="1169.9100000000001"/>
    <n v="0"/>
    <s v="Direct Credit 302416 Barlow McEwan Tr RENT PAYMNT THOM"/>
    <x v="2"/>
    <x v="4"/>
    <x v="0"/>
  </r>
  <r>
    <d v="2016-11-23T00:00:00"/>
    <n v="-500"/>
    <n v="-500"/>
    <n v="0"/>
    <s v="Transfer to xx4836 NetBank personal loan"/>
    <x v="3"/>
    <x v="6"/>
    <x v="1"/>
  </r>
  <r>
    <d v="2016-11-23T00:00:00"/>
    <n v="340"/>
    <n v="340"/>
    <n v="0"/>
    <s v="Transfer from xx4836 NetBank advertising"/>
    <x v="1"/>
    <x v="3"/>
    <x v="2"/>
  </r>
  <r>
    <d v="2016-11-23T00:00:00"/>
    <n v="400"/>
    <n v="400"/>
    <n v="0"/>
    <s v="Transfer from xx4836 NetBank TyquinStProjectLT"/>
    <x v="1"/>
    <x v="3"/>
    <x v="2"/>
  </r>
  <r>
    <d v="2016-11-23T00:00:00"/>
    <n v="500"/>
    <n v="500"/>
    <n v="0"/>
    <s v="Transfer from xx4836 NetBank personalpackback"/>
    <x v="3"/>
    <x v="6"/>
    <x v="1"/>
  </r>
  <r>
    <d v="2016-11-25T00:00:00"/>
    <n v="-490.73"/>
    <n v="-490.73"/>
    <n v="0"/>
    <s v="Direct Debit 012179 Advantedge PTVL ADV"/>
    <x v="3"/>
    <x v="6"/>
    <x v="0"/>
  </r>
  <r>
    <d v="2016-11-25T00:00:00"/>
    <n v="-477.21"/>
    <n v="-477.21"/>
    <n v="0"/>
    <s v="Direct Debit 012179 Advantedge PTVL ADV"/>
    <x v="3"/>
    <x v="6"/>
    <x v="0"/>
  </r>
  <r>
    <d v="2016-11-28T00:00:00"/>
    <n v="-1145.94"/>
    <n v="-1145.94"/>
    <n v="0"/>
    <s v="Direct Debit 000439 BANK-M S311052458400"/>
    <x v="3"/>
    <x v="6"/>
    <x v="1"/>
  </r>
  <r>
    <d v="2016-11-29T00:00:00"/>
    <n v="-500"/>
    <n v="-500"/>
    <n v="0"/>
    <s v="Transfer to xx4836 NetBank personal loan"/>
    <x v="3"/>
    <x v="6"/>
    <x v="1"/>
  </r>
  <r>
    <d v="2016-11-30T00:00:00"/>
    <n v="-64.69"/>
    <n v="-64.69"/>
    <n v="0"/>
    <s v="Direct Debit 452599 AAMI PI HPL077169729"/>
    <x v="3"/>
    <x v="11"/>
    <x v="1"/>
  </r>
  <r>
    <d v="2016-11-30T00:00:00"/>
    <n v="500"/>
    <n v="500"/>
    <n v="0"/>
    <s v="Transfer from xx4836 NetBank extraLTratesdoors"/>
    <x v="1"/>
    <x v="3"/>
    <x v="2"/>
  </r>
  <r>
    <d v="2016-12-01T00:00:00"/>
    <n v="-261.85000000000002"/>
    <n v="-261.85000000000002"/>
    <n v="0"/>
    <s v="HOBSONS BAY COUNCIL  NetBank BPAY 39032 59020006808"/>
    <x v="3"/>
    <x v="7"/>
    <x v="0"/>
  </r>
  <r>
    <d v="2016-12-01T00:00:00"/>
    <n v="1369"/>
    <n v="1369"/>
    <n v="0"/>
    <s v="Transfer from GURPINDER KAUR CommBank app rent70 Tyquin"/>
    <x v="2"/>
    <x v="4"/>
    <x v="1"/>
  </r>
  <r>
    <d v="2016-12-05T00:00:00"/>
    <n v="-500"/>
    <n v="-500"/>
    <n v="0"/>
    <s v="Transfer to CBA A/c NetBank 70Tyquin St Reno"/>
    <x v="3"/>
    <x v="15"/>
    <x v="2"/>
  </r>
  <r>
    <d v="2016-12-05T00:00:00"/>
    <n v="-300"/>
    <n v="-300"/>
    <n v="0"/>
    <s v="Transfer to CBA A/c NetBank 70TyquinDoors"/>
    <x v="3"/>
    <x v="18"/>
    <x v="1"/>
  </r>
  <r>
    <d v="2016-12-13T00:00:00"/>
    <n v="-50"/>
    <n v="-50"/>
    <n v="0"/>
    <s v="Transfer to CBA A/c NetBank 70TyquinPropertMgt"/>
    <x v="3"/>
    <x v="19"/>
    <x v="2"/>
  </r>
  <r>
    <d v="2016-12-15T00:00:00"/>
    <n v="-62.79"/>
    <n v="-62.79"/>
    <n v="0"/>
    <s v="Direct Debit 452599 AAMI PI HPL071936456"/>
    <x v="3"/>
    <x v="11"/>
    <x v="0"/>
  </r>
  <r>
    <d v="2016-12-16T00:00:00"/>
    <n v="400"/>
    <n v="400"/>
    <n v="0"/>
    <s v="Direct Credit 421520 ANDREW MANOKARAN Mano"/>
    <x v="1"/>
    <x v="5"/>
    <x v="2"/>
  </r>
  <r>
    <d v="2016-12-19T00:00:00"/>
    <n v="400"/>
    <n v="400"/>
    <n v="0"/>
    <s v="Transfer from xx4836 NetBank TyquinStProjectLT"/>
    <x v="1"/>
    <x v="3"/>
    <x v="2"/>
  </r>
  <r>
    <d v="2016-12-23T00:00:00"/>
    <n v="-474.88"/>
    <n v="-474.88"/>
    <n v="0"/>
    <s v="Direct Debit 012179 Advantedge PTVL ADV"/>
    <x v="3"/>
    <x v="6"/>
    <x v="0"/>
  </r>
  <r>
    <d v="2016-12-23T00:00:00"/>
    <n v="-461.8"/>
    <n v="-461.8"/>
    <n v="0"/>
    <s v="Direct Debit 012179 Advantedge PTVL ADV"/>
    <x v="3"/>
    <x v="6"/>
    <x v="0"/>
  </r>
  <r>
    <d v="2016-12-23T00:00:00"/>
    <n v="1169.9100000000001"/>
    <n v="1169.9100000000001"/>
    <n v="0"/>
    <s v="Direct Credit 302416 Barlow McEwan Tr RENT PAYMNT THOM"/>
    <x v="2"/>
    <x v="4"/>
    <x v="0"/>
  </r>
  <r>
    <d v="2016-12-28T00:00:00"/>
    <n v="-1109.3"/>
    <n v="-1109.3"/>
    <n v="0"/>
    <s v="Direct Debit 000439 BANK-M S311052458400"/>
    <x v="3"/>
    <x v="6"/>
    <x v="1"/>
  </r>
  <r>
    <d v="2016-12-30T00:00:00"/>
    <n v="-64.69"/>
    <n v="-64.69"/>
    <n v="0"/>
    <s v="Direct Debit 452599 AAMI PI HPL077169729"/>
    <x v="3"/>
    <x v="11"/>
    <x v="1"/>
  </r>
  <r>
    <d v="2017-01-03T00:00:00"/>
    <n v="1369"/>
    <n v="1369"/>
    <n v="0"/>
    <s v="Transfer from GURPINDER KAUR CommBank app rent70 Tyquin"/>
    <x v="2"/>
    <x v="4"/>
    <x v="1"/>
  </r>
  <r>
    <d v="2017-01-09T00:00:00"/>
    <n v="-1000"/>
    <n v="-1000"/>
    <n v="0"/>
    <s v="Transfer to CBA A/c NetBank reno payment"/>
    <x v="3"/>
    <x v="15"/>
    <x v="2"/>
  </r>
  <r>
    <d v="2017-01-09T00:00:00"/>
    <n v="-397"/>
    <n v="-397"/>
    <n v="0"/>
    <s v="Transfer to CBA A/c NetBank maintenance68and70"/>
    <x v="3"/>
    <x v="18"/>
    <x v="0"/>
  </r>
  <r>
    <d v="2017-01-13T00:00:00"/>
    <n v="-50"/>
    <n v="-50"/>
    <n v="0"/>
    <s v="Transfer to CBA A/c NetBank 70TyquinPropertMgt"/>
    <x v="3"/>
    <x v="19"/>
    <x v="2"/>
  </r>
  <r>
    <d v="2017-01-14T00:00:00"/>
    <n v="-550"/>
    <n v="-550"/>
    <n v="0"/>
    <s v="Transfer to CBA A/c NetBank reno final"/>
    <x v="3"/>
    <x v="15"/>
    <x v="2"/>
  </r>
  <r>
    <d v="2017-01-15T00:00:00"/>
    <n v="400"/>
    <n v="400"/>
    <n v="0"/>
    <s v="Transfer from xx4836 NetBank TyquinStProjectLT"/>
    <x v="1"/>
    <x v="3"/>
    <x v="2"/>
  </r>
  <r>
    <d v="2017-01-16T00:00:00"/>
    <n v="400"/>
    <n v="400"/>
    <n v="0"/>
    <s v="Direct Credit 421520 ANDREW MANOKARAN Mano"/>
    <x v="1"/>
    <x v="5"/>
    <x v="2"/>
  </r>
  <r>
    <d v="2017-01-17T00:00:00"/>
    <n v="-73.260000000000005"/>
    <n v="-73.260000000000005"/>
    <n v="0"/>
    <s v="Direct Debit 452599 AAMI PI HPL071936456"/>
    <x v="3"/>
    <x v="11"/>
    <x v="0"/>
  </r>
  <r>
    <d v="2017-01-17T00:00:00"/>
    <n v="700"/>
    <n v="700"/>
    <n v="0"/>
    <s v="Transfer from xx1274 NetBank andrew money"/>
    <x v="1"/>
    <x v="5"/>
    <x v="2"/>
  </r>
  <r>
    <d v="2017-01-23T00:00:00"/>
    <n v="1169.9100000000001"/>
    <n v="1169.9100000000001"/>
    <n v="0"/>
    <s v="Direct Credit 302416 Barlow McEwan Tr RENT PAYMNT THOM"/>
    <x v="2"/>
    <x v="4"/>
    <x v="0"/>
  </r>
  <r>
    <d v="2017-01-27T00:00:00"/>
    <n v="-477"/>
    <n v="-477"/>
    <n v="0"/>
    <s v="Direct Debit 012179 Advantedge PTVL ADV"/>
    <x v="3"/>
    <x v="6"/>
    <x v="0"/>
  </r>
  <r>
    <d v="2017-01-30T00:00:00"/>
    <n v="-1145.94"/>
    <n v="-1145.94"/>
    <n v="0"/>
    <s v="Direct Debit 000439 BANK-M S311052458400"/>
    <x v="3"/>
    <x v="6"/>
    <x v="1"/>
  </r>
  <r>
    <d v="2017-01-31T00:00:00"/>
    <n v="-64.69"/>
    <n v="-64.69"/>
    <n v="0"/>
    <s v="Direct Debit 452599 AAMI PI HPL077169729"/>
    <x v="3"/>
    <x v="11"/>
    <x v="1"/>
  </r>
  <r>
    <d v="2017-02-02T00:00:00"/>
    <n v="-144.44999999999999"/>
    <n v="-144.44999999999999"/>
    <n v="0"/>
    <s v="CITY WEST WATER      NetBank BPAY 8789 121739220138"/>
    <x v="3"/>
    <x v="13"/>
    <x v="0"/>
  </r>
  <r>
    <d v="2017-02-02T00:00:00"/>
    <n v="1369"/>
    <n v="1369"/>
    <n v="0"/>
    <s v="Transfer from GURPINDER KAUR CommBank app Rent 70 Tyquin st"/>
    <x v="2"/>
    <x v="4"/>
    <x v="1"/>
  </r>
  <r>
    <d v="2017-02-13T00:00:00"/>
    <n v="-50"/>
    <n v="-50"/>
    <n v="0"/>
    <s v="Transfer to CBA A/c NetBank 70TyquinPropertMgt"/>
    <x v="3"/>
    <x v="19"/>
    <x v="2"/>
  </r>
  <r>
    <d v="2017-02-15T00:00:00"/>
    <n v="-73.260000000000005"/>
    <n v="-73.260000000000005"/>
    <n v="0"/>
    <s v="Direct Debit 452599 AAMI PI HPL071936456"/>
    <x v="3"/>
    <x v="11"/>
    <x v="0"/>
  </r>
  <r>
    <d v="2017-02-15T00:00:00"/>
    <n v="400"/>
    <n v="400"/>
    <n v="0"/>
    <s v="Transfer from xx4836 NetBank TyquinStProjectLT"/>
    <x v="1"/>
    <x v="3"/>
    <x v="2"/>
  </r>
  <r>
    <d v="2017-02-16T00:00:00"/>
    <n v="400"/>
    <n v="400"/>
    <n v="0"/>
    <s v="Direct Credit 421520 ANDREW MANOKARAN Mano"/>
    <x v="1"/>
    <x v="5"/>
    <x v="2"/>
  </r>
  <r>
    <d v="2017-02-22T00:00:00"/>
    <n v="1169.9100000000001"/>
    <n v="1169.9100000000001"/>
    <n v="0"/>
    <s v="Direct Credit 302416 Barlow McEwan Tr RENT PAYMNT THOM"/>
    <x v="2"/>
    <x v="4"/>
    <x v="0"/>
  </r>
  <r>
    <d v="2017-02-27T00:00:00"/>
    <n v="-758.86"/>
    <n v="-758.86"/>
    <n v="0"/>
    <s v="Direct Debit 012179 Advantedge PTVL ADV"/>
    <x v="3"/>
    <x v="6"/>
    <x v="0"/>
  </r>
  <r>
    <d v="2017-02-28T00:00:00"/>
    <n v="-1145.94"/>
    <n v="-1145.94"/>
    <n v="0"/>
    <s v="Direct Debit 000439 BANK-M S311052458400"/>
    <x v="3"/>
    <x v="6"/>
    <x v="1"/>
  </r>
  <r>
    <d v="2017-02-28T00:00:00"/>
    <n v="-262"/>
    <n v="-262"/>
    <n v="0"/>
    <s v="HOBSONS BAY COUNCIL  NetBank BPAY 39032 59020006808"/>
    <x v="3"/>
    <x v="7"/>
    <x v="0"/>
  </r>
  <r>
    <d v="2017-02-28T00:00:00"/>
    <n v="1369"/>
    <n v="1369"/>
    <n v="0"/>
    <s v="Transfer from GURPINDER KAUR NetBank Rent 70 Tyquin st"/>
    <x v="2"/>
    <x v="4"/>
    <x v="1"/>
  </r>
  <r>
    <d v="2017-03-01T00:00:00"/>
    <n v="-64.69"/>
    <n v="-64.69"/>
    <n v="0"/>
    <s v="Direct Debit 452599 AAMI PI HPL077169729"/>
    <x v="3"/>
    <x v="11"/>
    <x v="1"/>
  </r>
  <r>
    <d v="2017-03-13T00:00:00"/>
    <n v="-50"/>
    <n v="-50"/>
    <n v="0"/>
    <s v="Transfer to CBA A/c NetBank 70TyquinPropertMgt"/>
    <x v="3"/>
    <x v="19"/>
    <x v="2"/>
  </r>
  <r>
    <d v="2017-03-15T00:00:00"/>
    <n v="-73.260000000000005"/>
    <n v="-73.260000000000005"/>
    <n v="0"/>
    <s v="Direct Debit 452599 AAMI PI HPL071936456"/>
    <x v="3"/>
    <x v="11"/>
    <x v="0"/>
  </r>
  <r>
    <d v="2017-03-16T00:00:00"/>
    <n v="200"/>
    <n v="200"/>
    <n v="0"/>
    <s v="Direct Credit 421520 ANDREW MANOKARAN Mano"/>
    <x v="1"/>
    <x v="5"/>
    <x v="2"/>
  </r>
  <r>
    <d v="2017-03-21T00:00:00"/>
    <n v="1169.9100000000001"/>
    <n v="1169.9100000000001"/>
    <n v="0"/>
    <s v="Direct Credit 302416 Barlow McEwan Tr RENT PAYMNT THOM"/>
    <x v="2"/>
    <x v="4"/>
    <x v="0"/>
  </r>
  <r>
    <d v="2017-03-27T00:00:00"/>
    <n v="-999.05"/>
    <n v="-999.05"/>
    <n v="0"/>
    <s v="Direct Debit 012179 Advantedge PTVL ADV"/>
    <x v="3"/>
    <x v="6"/>
    <x v="0"/>
  </r>
  <r>
    <d v="2017-03-28T00:00:00"/>
    <n v="-1036.01"/>
    <n v="-1036.01"/>
    <n v="0"/>
    <s v="Direct Debit 000439 BANK-M S311052458400"/>
    <x v="3"/>
    <x v="6"/>
    <x v="1"/>
  </r>
  <r>
    <d v="2017-03-30T00:00:00"/>
    <n v="-64.69"/>
    <n v="-64.69"/>
    <n v="0"/>
    <s v="Direct Debit 452599 AAMI PI HPL077169729"/>
    <x v="3"/>
    <x v="11"/>
    <x v="1"/>
  </r>
  <r>
    <d v="2017-04-08T00:00:00"/>
    <n v="1369"/>
    <n v="1369"/>
    <n v="0"/>
    <s v="Transfer from GURPINDER KAUR NetBank Rent 70 Tyquin st"/>
    <x v="2"/>
    <x v="4"/>
    <x v="1"/>
  </r>
  <r>
    <d v="2017-04-13T00:00:00"/>
    <n v="-50"/>
    <n v="-50"/>
    <n v="0"/>
    <s v="Transfer to CBA A/c NetBank 70TyquinPropertMgt"/>
    <x v="3"/>
    <x v="19"/>
    <x v="2"/>
  </r>
  <r>
    <d v="2017-04-18T00:00:00"/>
    <n v="200"/>
    <n v="200"/>
    <n v="0"/>
    <s v="Direct Credit 421520 ANDREW MANOKARAN Mano"/>
    <x v="1"/>
    <x v="5"/>
    <x v="2"/>
  </r>
  <r>
    <d v="2017-04-19T00:00:00"/>
    <n v="-73.260000000000005"/>
    <n v="-73.260000000000005"/>
    <n v="0"/>
    <s v="Direct Debit 452599 AAMI PI HPL071936456"/>
    <x v="3"/>
    <x v="11"/>
    <x v="0"/>
  </r>
  <r>
    <d v="2017-04-20T00:00:00"/>
    <n v="200"/>
    <n v="200"/>
    <n v="0"/>
    <s v="Transfer from xx4836 CommBank app Monthly payment"/>
    <x v="1"/>
    <x v="3"/>
    <x v="2"/>
  </r>
  <r>
    <d v="2017-04-23T00:00:00"/>
    <n v="-770"/>
    <n v="-770"/>
    <n v="0"/>
    <s v="Transfer to other Bank NetBank tyquin st Lloyd"/>
    <x v="4"/>
    <x v="8"/>
    <x v="6"/>
  </r>
  <r>
    <d v="2017-04-23T00:00:00"/>
    <n v="770"/>
    <n v="770"/>
    <n v="0"/>
    <s v="Transfer from xx4836 CommBank app Pre heading tyquin"/>
    <x v="1"/>
    <x v="3"/>
    <x v="2"/>
  </r>
  <r>
    <d v="2017-04-24T00:00:00"/>
    <n v="1169.9100000000001"/>
    <n v="1169.9100000000001"/>
    <n v="0"/>
    <s v="Direct Credit 302416 Barlow McEwan Tr RENT PAYMNT THOM"/>
    <x v="2"/>
    <x v="4"/>
    <x v="0"/>
  </r>
  <r>
    <d v="2017-04-27T00:00:00"/>
    <n v="-1167.5999999999999"/>
    <n v="-1167.5999999999999"/>
    <n v="0"/>
    <s v="Direct Debit 012179 Advantedge PTVL ADV"/>
    <x v="3"/>
    <x v="6"/>
    <x v="0"/>
  </r>
  <r>
    <d v="2017-04-28T00:00:00"/>
    <n v="-1145.94"/>
    <n v="-1145.94"/>
    <n v="0"/>
    <s v="Direct Debit 000439 BANK-M S311052458400"/>
    <x v="3"/>
    <x v="6"/>
    <x v="1"/>
  </r>
  <r>
    <d v="2017-05-02T00:00:00"/>
    <n v="-64.69"/>
    <n v="-64.69"/>
    <n v="0"/>
    <s v="Direct Debit 452599 AAMI PI HPL077169729"/>
    <x v="3"/>
    <x v="11"/>
    <x v="1"/>
  </r>
  <r>
    <d v="2017-05-09T00:00:00"/>
    <n v="1369"/>
    <n v="1369"/>
    <n v="0"/>
    <s v="Transfer from GURPINDER KAUR NetBank Rent 70 Tyquin st"/>
    <x v="2"/>
    <x v="4"/>
    <x v="1"/>
  </r>
  <r>
    <d v="2017-05-13T00:00:00"/>
    <n v="-50"/>
    <n v="-50"/>
    <n v="0"/>
    <s v="Transfer to CBA A/c NetBank 70TyquinPropertMgt"/>
    <x v="3"/>
    <x v="19"/>
    <x v="2"/>
  </r>
  <r>
    <d v="2017-05-15T00:00:00"/>
    <n v="-144.44999999999999"/>
    <n v="-144.44999999999999"/>
    <n v="0"/>
    <s v="CITY WEST WATER      NetBank BPAY 8789 121739220138"/>
    <x v="3"/>
    <x v="13"/>
    <x v="0"/>
  </r>
  <r>
    <d v="2017-05-16T00:00:00"/>
    <n v="-73.260000000000005"/>
    <n v="-73.260000000000005"/>
    <n v="0"/>
    <s v="Direct Debit 452599 AAMI PI HPL071936456"/>
    <x v="3"/>
    <x v="11"/>
    <x v="0"/>
  </r>
  <r>
    <d v="2017-05-16T00:00:00"/>
    <n v="200"/>
    <n v="200"/>
    <n v="0"/>
    <s v="Direct Credit 421520 ANDREW MANOKARAN Mano"/>
    <x v="1"/>
    <x v="5"/>
    <x v="2"/>
  </r>
  <r>
    <d v="2017-05-18T00:00:00"/>
    <n v="-2200"/>
    <n v="-2200"/>
    <n v="0"/>
    <s v="Transfer to other Bank NetBank Tyquin St Lloyd"/>
    <x v="4"/>
    <x v="8"/>
    <x v="6"/>
  </r>
  <r>
    <d v="2017-05-18T00:00:00"/>
    <n v="-253"/>
    <n v="-253"/>
    <n v="0"/>
    <s v="Transfer to CBA A/c NetBank 70 Tyquin"/>
    <x v="3"/>
    <x v="18"/>
    <x v="1"/>
  </r>
  <r>
    <d v="2017-05-22T00:00:00"/>
    <n v="1169.9100000000001"/>
    <n v="1169.9100000000001"/>
    <n v="0"/>
    <s v="Direct Credit 302416 Barlow McEwan Tr RENT PAYMNT THOM"/>
    <x v="2"/>
    <x v="4"/>
    <x v="0"/>
  </r>
  <r>
    <d v="2017-05-26T00:00:00"/>
    <n v="-1149.27"/>
    <n v="-1149.27"/>
    <n v="0"/>
    <s v="Direct Debit 012179 Advantedge PTVL ADV"/>
    <x v="3"/>
    <x v="6"/>
    <x v="0"/>
  </r>
  <r>
    <d v="2017-05-26T00:00:00"/>
    <n v="1100"/>
    <n v="1100"/>
    <n v="0"/>
    <s v="Transfer from xx4836 CommBank app Lloyd townplanner"/>
    <x v="1"/>
    <x v="3"/>
    <x v="2"/>
  </r>
  <r>
    <d v="2017-05-26T00:00:00"/>
    <n v="1100"/>
    <n v="1100"/>
    <n v="0"/>
    <s v="Transfer from xx4836 CommBank app Andrew townplanner"/>
    <x v="1"/>
    <x v="5"/>
    <x v="2"/>
  </r>
  <r>
    <d v="2017-05-28T00:00:00"/>
    <n v="200"/>
    <n v="200"/>
    <n v="0"/>
    <s v="Transfer from xx4836 NetBank monthly payment"/>
    <x v="1"/>
    <x v="3"/>
    <x v="2"/>
  </r>
  <r>
    <d v="2017-05-29T00:00:00"/>
    <n v="-1109.3"/>
    <n v="-1109.3"/>
    <n v="0"/>
    <s v="Direct Debit 000439 BANK-M S311052458400"/>
    <x v="3"/>
    <x v="6"/>
    <x v="1"/>
  </r>
  <r>
    <d v="2017-05-30T00:00:00"/>
    <n v="-64.69"/>
    <n v="-64.69"/>
    <n v="0"/>
    <s v="Direct Debit 452599 AAMI PI HPL077169729"/>
    <x v="3"/>
    <x v="11"/>
    <x v="1"/>
  </r>
  <r>
    <d v="2017-05-31T00:00:00"/>
    <n v="-262"/>
    <n v="-262"/>
    <n v="0"/>
    <s v="HOBSONS BAY COUNCIL  NetBank BPAY 39032 59020006808"/>
    <x v="3"/>
    <x v="7"/>
    <x v="0"/>
  </r>
  <r>
    <d v="2017-06-03T00:00:00"/>
    <n v="1369"/>
    <n v="1369"/>
    <n v="0"/>
    <s v="Transfer from GURPINDER KAUR NetBank Rent 70 Tyquin st"/>
    <x v="2"/>
    <x v="4"/>
    <x v="1"/>
  </r>
  <r>
    <d v="2017-06-13T00:00:00"/>
    <n v="-50"/>
    <n v="-50"/>
    <n v="0"/>
    <s v="Transfer to CBA A/c NetBank 70TyquinPropertMgt"/>
    <x v="3"/>
    <x v="19"/>
    <x v="2"/>
  </r>
  <r>
    <d v="2017-06-15T00:00:00"/>
    <n v="-73.260000000000005"/>
    <n v="-73.260000000000005"/>
    <n v="0"/>
    <s v="Direct Debit 452599 AAMI PI HPL071936456"/>
    <x v="3"/>
    <x v="11"/>
    <x v="0"/>
  </r>
  <r>
    <d v="2017-06-16T00:00:00"/>
    <n v="200"/>
    <n v="200"/>
    <n v="0"/>
    <s v="Direct Credit 421520 ANDREW MANOKARAN Mano"/>
    <x v="1"/>
    <x v="5"/>
    <x v="2"/>
  </r>
  <r>
    <d v="2017-06-21T00:00:00"/>
    <n v="1169.9100000000001"/>
    <n v="1169.9100000000001"/>
    <n v="0"/>
    <s v="Direct Credit 302416 Barlow McEwan Tr RENT PAYMNT THOM"/>
    <x v="2"/>
    <x v="4"/>
    <x v="0"/>
  </r>
  <r>
    <d v="2017-06-23T00:00:00"/>
    <n v="200"/>
    <n v="200"/>
    <n v="0"/>
    <s v="Transfer from xx4836 NetBank monthly payment"/>
    <x v="1"/>
    <x v="3"/>
    <x v="2"/>
  </r>
  <r>
    <d v="2017-06-27T00:00:00"/>
    <n v="-1225.94"/>
    <n v="-1225.94"/>
    <n v="0"/>
    <s v="Direct Debit 012179 Advantedge PTVL ADV"/>
    <x v="3"/>
    <x v="6"/>
    <x v="0"/>
  </r>
  <r>
    <d v="2017-06-28T00:00:00"/>
    <n v="-1145.94"/>
    <n v="-1145.94"/>
    <n v="0"/>
    <s v="Direct Debit 000439 BANK-M S311052458400"/>
    <x v="3"/>
    <x v="6"/>
    <x v="1"/>
  </r>
  <r>
    <d v="2017-06-30T00:00:00"/>
    <n v="-64.69"/>
    <n v="-64.69"/>
    <n v="0"/>
    <s v="Direct Debit 452599 AAMI PI HPL077169729"/>
    <x v="3"/>
    <x v="11"/>
    <x v="1"/>
  </r>
  <r>
    <d v="2017-06-30T00:00:00"/>
    <n v="-10"/>
    <n v="-10"/>
    <n v="0"/>
    <s v="HOBSONS BAY COUNCIL  NetBank BPAY 39032 59020007004"/>
    <x v="3"/>
    <x v="7"/>
    <x v="1"/>
  </r>
  <r>
    <d v="2017-07-05T00:00:00"/>
    <n v="1369"/>
    <n v="1369"/>
    <n v="0"/>
    <s v="Transfer from GURPINDER KAUR CB TabletApp rent 70 tyquin"/>
    <x v="2"/>
    <x v="4"/>
    <x v="1"/>
  </r>
  <r>
    <d v="2017-07-13T00:00:00"/>
    <n v="-50"/>
    <n v="-50"/>
    <n v="0"/>
    <s v="Transfer to CBA A/c NetBank 70TyquinPropertMgt"/>
    <x v="3"/>
    <x v="19"/>
    <x v="2"/>
  </r>
  <r>
    <d v="2017-07-17T00:00:00"/>
    <n v="-73.260000000000005"/>
    <n v="-73.260000000000005"/>
    <n v="0"/>
    <s v="Direct Debit 452599 AAMI PI HPL071936456"/>
    <x v="3"/>
    <x v="11"/>
    <x v="0"/>
  </r>
  <r>
    <d v="2017-07-17T00:00:00"/>
    <n v="200"/>
    <n v="200"/>
    <n v="0"/>
    <s v="Direct Credit 421520 ANDREW MANOKARAN Mano"/>
    <x v="1"/>
    <x v="5"/>
    <x v="2"/>
  </r>
  <r>
    <d v="2017-07-19T00:00:00"/>
    <n v="1000"/>
    <n v="1000"/>
    <n v="0"/>
    <s v="Direct Credit 421520 ANDREW MANOKARAN Andrew Mano VCAT"/>
    <x v="1"/>
    <x v="5"/>
    <x v="2"/>
  </r>
  <r>
    <d v="2017-07-20T00:00:00"/>
    <n v="200"/>
    <n v="200"/>
    <n v="0"/>
    <s v="Transfer from xx4836 NetBank monthly payment LT"/>
    <x v="1"/>
    <x v="3"/>
    <x v="2"/>
  </r>
  <r>
    <d v="2017-07-21T00:00:00"/>
    <n v="1000"/>
    <n v="1000"/>
    <n v="0"/>
    <s v="Transfer from xx4836 NetBank traffic engineer"/>
    <x v="1"/>
    <x v="3"/>
    <x v="2"/>
  </r>
  <r>
    <d v="2017-07-24T00:00:00"/>
    <n v="1169.9100000000001"/>
    <n v="1169.9100000000001"/>
    <n v="0"/>
    <s v="Direct Credit 302416 Barlow McEwan Tr RENT PAYMNT THOM"/>
    <x v="2"/>
    <x v="4"/>
    <x v="0"/>
  </r>
  <r>
    <d v="2017-07-27T00:00:00"/>
    <n v="-1186.9100000000001"/>
    <n v="-1186.9100000000001"/>
    <n v="0"/>
    <s v="Direct Debit 012179 Advantedge PTVL ADV"/>
    <x v="3"/>
    <x v="6"/>
    <x v="0"/>
  </r>
  <r>
    <d v="2017-07-28T00:00:00"/>
    <n v="-1109.3"/>
    <n v="-1109.3"/>
    <n v="0"/>
    <s v="Direct Debit 000439 BANK-M S311052458400"/>
    <x v="3"/>
    <x v="6"/>
    <x v="1"/>
  </r>
  <r>
    <d v="2017-08-01T00:00:00"/>
    <n v="-71.47"/>
    <n v="-71.47"/>
    <n v="0"/>
    <s v="Direct Debit 452599 AAMI PI HPL077169729"/>
    <x v="3"/>
    <x v="11"/>
    <x v="1"/>
  </r>
  <r>
    <d v="2017-08-04T00:00:00"/>
    <n v="-222.51"/>
    <n v="-222.51"/>
    <n v="0"/>
    <s v="CITY WEST WATER      NetBank BPAY 8789 121739220138"/>
    <x v="3"/>
    <x v="13"/>
    <x v="0"/>
  </r>
  <r>
    <d v="2017-08-09T00:00:00"/>
    <n v="1369"/>
    <n v="1369"/>
    <n v="0"/>
    <s v="Transfer from GURPINDER KAUR NetBank rent 70 tyquin"/>
    <x v="2"/>
    <x v="4"/>
    <x v="1"/>
  </r>
  <r>
    <d v="2017-08-11T00:00:00"/>
    <n v="-239.08"/>
    <n v="-239.08"/>
    <n v="0"/>
    <s v="CITY WEST WATER      NetBank BPAY 8789 121739219120"/>
    <x v="3"/>
    <x v="13"/>
    <x v="1"/>
  </r>
  <r>
    <d v="2017-08-13T00:00:00"/>
    <n v="-50"/>
    <n v="-50"/>
    <n v="0"/>
    <s v="Transfer to CBA A/c NetBank 70TyquinPropertMgt"/>
    <x v="3"/>
    <x v="19"/>
    <x v="2"/>
  </r>
  <r>
    <d v="2017-08-15T00:00:00"/>
    <n v="-73.260000000000005"/>
    <n v="-73.260000000000005"/>
    <n v="0"/>
    <s v="Direct Debit 452599 AAMI PI HPL071936456"/>
    <x v="3"/>
    <x v="11"/>
    <x v="0"/>
  </r>
  <r>
    <d v="2017-08-16T00:00:00"/>
    <n v="200"/>
    <n v="200"/>
    <n v="0"/>
    <s v="Direct Credit 421520 ANDREW MANOKARAN Mano"/>
    <x v="1"/>
    <x v="5"/>
    <x v="2"/>
  </r>
  <r>
    <d v="2017-08-20T00:00:00"/>
    <n v="200"/>
    <n v="200"/>
    <n v="0"/>
    <s v="Transfer from xx4836 NetBank monthly payment LT"/>
    <x v="1"/>
    <x v="3"/>
    <x v="2"/>
  </r>
  <r>
    <d v="2017-08-22T00:00:00"/>
    <n v="1169.9100000000001"/>
    <n v="1169.9100000000001"/>
    <n v="0"/>
    <s v="Direct Credit 302416 Barlow McEwan Tr RENT PAYMNT THOM"/>
    <x v="2"/>
    <x v="4"/>
    <x v="0"/>
  </r>
  <r>
    <d v="2017-08-25T00:00:00"/>
    <n v="-1226.21"/>
    <n v="-1226.21"/>
    <n v="0"/>
    <s v="Direct Debit 012179 Advantedge PTVL ADV"/>
    <x v="3"/>
    <x v="6"/>
    <x v="0"/>
  </r>
  <r>
    <d v="2017-08-28T00:00:00"/>
    <n v="-1145.94"/>
    <n v="-1145.94"/>
    <n v="0"/>
    <s v="Direct Debit 000439 BANK-M S311052458400"/>
    <x v="3"/>
    <x v="6"/>
    <x v="1"/>
  </r>
  <r>
    <d v="2017-08-29T00:00:00"/>
    <n v="-1211"/>
    <n v="-1211"/>
    <n v="0"/>
    <s v="Transfer to other Bank NetBank tyquin st project"/>
    <x v="4"/>
    <x v="8"/>
    <x v="3"/>
  </r>
  <r>
    <d v="2017-08-30T00:00:00"/>
    <n v="-71.47"/>
    <n v="-71.47"/>
    <n v="0"/>
    <s v="Direct Debit 452599 AAMI PI HPL077169729"/>
    <x v="3"/>
    <x v="11"/>
    <x v="1"/>
  </r>
  <r>
    <d v="2017-09-03T00:00:00"/>
    <n v="-2200"/>
    <n v="-2200"/>
    <n v="0"/>
    <s v="Transfer to other Bank NetBank Townplanning VCAT"/>
    <x v="4"/>
    <x v="8"/>
    <x v="6"/>
  </r>
  <r>
    <d v="2017-09-11T00:00:00"/>
    <n v="1100"/>
    <n v="1100"/>
    <n v="0"/>
    <s v="Transfer from xx4836 NetBank andrew traffic eng"/>
    <x v="1"/>
    <x v="5"/>
    <x v="2"/>
  </r>
  <r>
    <d v="2017-09-11T00:00:00"/>
    <n v="1100"/>
    <n v="1100"/>
    <n v="0"/>
    <s v="Transfer from xx4836 NetBank lloyd traffic eng"/>
    <x v="1"/>
    <x v="3"/>
    <x v="2"/>
  </r>
  <r>
    <d v="2017-09-12T00:00:00"/>
    <n v="1369"/>
    <n v="1369"/>
    <n v="0"/>
    <s v="Transfer from GURPINDER KAUR NetBank rent 70 tyquin"/>
    <x v="2"/>
    <x v="4"/>
    <x v="1"/>
  </r>
  <r>
    <d v="2017-09-13T00:00:00"/>
    <n v="-50"/>
    <n v="-50"/>
    <n v="0"/>
    <s v="Transfer to CBA A/c NetBank 70TyquinPropertMgt"/>
    <x v="3"/>
    <x v="19"/>
    <x v="2"/>
  </r>
  <r>
    <d v="2017-09-15T00:00:00"/>
    <n v="-73.260000000000005"/>
    <n v="-73.260000000000005"/>
    <n v="0"/>
    <s v="Direct Debit 452599 AAMI PI HPL071936456"/>
    <x v="3"/>
    <x v="11"/>
    <x v="0"/>
  </r>
  <r>
    <d v="2017-09-18T00:00:00"/>
    <n v="200"/>
    <n v="200"/>
    <n v="0"/>
    <s v="Direct Credit 421520 ANDREW MANOKARAN Mano"/>
    <x v="1"/>
    <x v="5"/>
    <x v="2"/>
  </r>
  <r>
    <d v="2017-09-20T00:00:00"/>
    <n v="200"/>
    <n v="200"/>
    <n v="0"/>
    <s v="Transfer from xx4836 NetBank monthly payment LT"/>
    <x v="1"/>
    <x v="3"/>
    <x v="2"/>
  </r>
  <r>
    <d v="2017-09-22T00:00:00"/>
    <n v="1169.9100000000001"/>
    <n v="1169.9100000000001"/>
    <n v="0"/>
    <s v="Direct Credit 302416 Barlow McEwan Tr RENT PAYMNT THOM"/>
    <x v="2"/>
    <x v="4"/>
    <x v="0"/>
  </r>
  <r>
    <d v="2017-09-27T00:00:00"/>
    <n v="-1297.45"/>
    <n v="-1297.45"/>
    <n v="0"/>
    <s v="Direct Debit 012179 Advantedge PTVL ADV"/>
    <x v="3"/>
    <x v="6"/>
    <x v="0"/>
  </r>
  <r>
    <d v="2017-09-28T00:00:00"/>
    <n v="-1145.94"/>
    <n v="-1145.94"/>
    <n v="0"/>
    <s v="Direct Debit 000439 BANK-M S311052458400"/>
    <x v="3"/>
    <x v="6"/>
    <x v="1"/>
  </r>
  <r>
    <d v="2017-09-29T00:00:00"/>
    <n v="-4169"/>
    <n v="-4169"/>
    <n v="0"/>
    <s v="Transfer to other Bank NetBank Traffic Engineer"/>
    <x v="4"/>
    <x v="8"/>
    <x v="7"/>
  </r>
  <r>
    <d v="2017-09-30T00:00:00"/>
    <n v="-268.60000000000002"/>
    <n v="-268.60000000000002"/>
    <n v="0"/>
    <s v="HOBSONS BAY COUNCIL  NetBank BPAY 39032 59020006808"/>
    <x v="3"/>
    <x v="7"/>
    <x v="0"/>
  </r>
  <r>
    <d v="2017-10-02T00:00:00"/>
    <n v="-71.47"/>
    <n v="-71.47"/>
    <n v="0"/>
    <s v="Direct Debit 452599 AAMI PI HPL077169729"/>
    <x v="3"/>
    <x v="11"/>
    <x v="1"/>
  </r>
  <r>
    <d v="2017-10-03T00:00:00"/>
    <n v="1369"/>
    <n v="1369"/>
    <n v="0"/>
    <s v="Transfer from GURPINDER KAUR NetBank rent 70 tyquin"/>
    <x v="2"/>
    <x v="4"/>
    <x v="1"/>
  </r>
  <r>
    <d v="2017-10-13T00:00:00"/>
    <n v="-50"/>
    <n v="-50"/>
    <n v="0"/>
    <s v="Transfer to CBA A/c NetBank 70TyquinPropertMgt"/>
    <x v="3"/>
    <x v="19"/>
    <x v="2"/>
  </r>
  <r>
    <d v="2017-10-13T00:00:00"/>
    <n v="1100"/>
    <n v="1100"/>
    <n v="0"/>
    <s v="Direct Credit 421520 ANDREW MANOKARAN Andrew Manokaran"/>
    <x v="1"/>
    <x v="5"/>
    <x v="2"/>
  </r>
  <r>
    <d v="2017-10-16T00:00:00"/>
    <n v="200"/>
    <n v="200"/>
    <n v="0"/>
    <s v="Direct Credit 421520 ANDREW MANOKARAN Mano"/>
    <x v="1"/>
    <x v="5"/>
    <x v="2"/>
  </r>
  <r>
    <d v="2017-10-17T00:00:00"/>
    <n v="-73.260000000000005"/>
    <n v="-73.260000000000005"/>
    <n v="0"/>
    <s v="Direct Debit 452599 AAMI PI HPL071936456"/>
    <x v="3"/>
    <x v="11"/>
    <x v="0"/>
  </r>
  <r>
    <d v="2017-10-18T00:00:00"/>
    <n v="-258.60000000000002"/>
    <n v="-258.60000000000002"/>
    <n v="0"/>
    <s v="HOBSONS BAY COUNCIL  NetBank BPAY 39032 59020007004"/>
    <x v="3"/>
    <x v="7"/>
    <x v="1"/>
  </r>
  <r>
    <d v="2017-10-20T00:00:00"/>
    <n v="200"/>
    <n v="200"/>
    <n v="0"/>
    <s v="Transfer from xx4836 NetBank monthly payment LT"/>
    <x v="1"/>
    <x v="3"/>
    <x v="2"/>
  </r>
  <r>
    <d v="2017-10-23T00:00:00"/>
    <n v="1169.9100000000001"/>
    <n v="1169.9100000000001"/>
    <n v="0"/>
    <s v="Direct Credit 302416 Barlow McEwan Tr RENT PAYMNT THOM"/>
    <x v="2"/>
    <x v="4"/>
    <x v="0"/>
  </r>
  <r>
    <d v="2017-10-27T00:00:00"/>
    <n v="-1276.5"/>
    <n v="-1276.5"/>
    <n v="0"/>
    <s v="Direct Debit 012179 Advantedge PTVL ADV"/>
    <x v="3"/>
    <x v="6"/>
    <x v="0"/>
  </r>
  <r>
    <d v="2017-10-30T00:00:00"/>
    <n v="-1109.3"/>
    <n v="-1109.3"/>
    <n v="0"/>
    <s v="Direct Debit 000439 BANK-M S311052458400"/>
    <x v="3"/>
    <x v="6"/>
    <x v="1"/>
  </r>
  <r>
    <d v="2017-10-30T00:00:00"/>
    <n v="-146.66"/>
    <n v="-146.66"/>
    <n v="0"/>
    <s v="CITY WEST WATER      NetBank BPAY 8789 121739220138"/>
    <x v="3"/>
    <x v="13"/>
    <x v="0"/>
  </r>
  <r>
    <d v="2017-10-30T00:00:00"/>
    <n v="-146.66"/>
    <n v="-146.66"/>
    <n v="0"/>
    <s v="CITY WEST WATER      NetBank BPAY 8789 121739219120"/>
    <x v="3"/>
    <x v="13"/>
    <x v="1"/>
  </r>
  <r>
    <d v="2017-10-31T00:00:00"/>
    <n v="-71.47"/>
    <n v="-71.47"/>
    <n v="0"/>
    <s v="Direct Debit 452599 AAMI PI HPL077169729"/>
    <x v="3"/>
    <x v="11"/>
    <x v="1"/>
  </r>
  <r>
    <d v="2017-11-13T00:00:00"/>
    <n v="-50"/>
    <n v="-50"/>
    <n v="0"/>
    <s v="Transfer to CBA A/c NetBank 70TyquinPropertMgt"/>
    <x v="3"/>
    <x v="19"/>
    <x v="2"/>
  </r>
  <r>
    <d v="2017-11-15T00:00:00"/>
    <n v="-73.260000000000005"/>
    <n v="-73.260000000000005"/>
    <n v="0"/>
    <s v="Direct Debit 452599 AAMI PI HPL071936456"/>
    <x v="3"/>
    <x v="11"/>
    <x v="0"/>
  </r>
  <r>
    <d v="2017-11-16T00:00:00"/>
    <n v="200"/>
    <n v="200"/>
    <n v="0"/>
    <s v="Direct Credit 421520 ANDREW MANOKARAN Mano"/>
    <x v="1"/>
    <x v="5"/>
    <x v="2"/>
  </r>
  <r>
    <d v="2017-11-20T00:00:00"/>
    <n v="200"/>
    <n v="200"/>
    <n v="0"/>
    <s v="Transfer from xx4836 NetBank monthly payment LT"/>
    <x v="1"/>
    <x v="3"/>
    <x v="2"/>
  </r>
  <r>
    <d v="2017-11-21T00:00:00"/>
    <n v="1369"/>
    <n v="1369"/>
    <n v="0"/>
    <s v="Transfer from GURPINDER KAUR NetBank rent 70 tyquin"/>
    <x v="2"/>
    <x v="4"/>
    <x v="1"/>
  </r>
  <r>
    <d v="2017-11-22T00:00:00"/>
    <n v="1169.9100000000001"/>
    <n v="1169.9100000000001"/>
    <n v="0"/>
    <s v="Direct Credit 302416 Barlow McEwan Tr RENT PAYMNT THOM"/>
    <x v="2"/>
    <x v="4"/>
    <x v="0"/>
  </r>
  <r>
    <d v="2017-11-27T00:00:00"/>
    <n v="-1318.82"/>
    <n v="-1318.82"/>
    <n v="0"/>
    <s v="Direct Debit 012179 Advantedge PTVL ADV"/>
    <x v="3"/>
    <x v="6"/>
    <x v="0"/>
  </r>
  <r>
    <d v="2017-11-28T00:00:00"/>
    <n v="-1145.94"/>
    <n v="-1145.94"/>
    <n v="0"/>
    <s v="Direct Debit 000439 BANK-M S311052458400"/>
    <x v="3"/>
    <x v="6"/>
    <x v="1"/>
  </r>
  <r>
    <d v="2017-11-30T00:00:00"/>
    <n v="-267"/>
    <n v="-267"/>
    <n v="0"/>
    <s v="HOBSONS BAY COUNCIL  NetBank BPAY 39032 59020007004"/>
    <x v="3"/>
    <x v="7"/>
    <x v="1"/>
  </r>
  <r>
    <d v="2017-11-30T00:00:00"/>
    <n v="-267"/>
    <n v="-267"/>
    <n v="0"/>
    <s v="HOBSONS BAY COUNCIL  NetBank BPAY 39032 59020006808"/>
    <x v="3"/>
    <x v="7"/>
    <x v="0"/>
  </r>
  <r>
    <d v="2017-11-30T00:00:00"/>
    <n v="-71.47"/>
    <n v="-71.47"/>
    <n v="0"/>
    <s v="Direct Debit 452599 AAMI PI HPL077169729"/>
    <x v="3"/>
    <x v="11"/>
    <x v="1"/>
  </r>
  <r>
    <d v="2017-12-05T00:00:00"/>
    <n v="1100"/>
    <n v="1100"/>
    <n v="0"/>
    <s v="Transfer from xx4836 NetBank TyquinBuildPer LT"/>
    <x v="1"/>
    <x v="3"/>
    <x v="2"/>
  </r>
  <r>
    <d v="2017-12-13T00:00:00"/>
    <n v="-50"/>
    <n v="-50"/>
    <n v="0"/>
    <s v="Transfer to CBA A/c NetBank 70TyquinPropertMgt"/>
    <x v="3"/>
    <x v="19"/>
    <x v="2"/>
  </r>
  <r>
    <d v="2017-12-15T00:00:00"/>
    <n v="-73.260000000000005"/>
    <n v="-73.260000000000005"/>
    <n v="0"/>
    <s v="Direct Debit 452599 AAMI PI HPL071936456"/>
    <x v="3"/>
    <x v="11"/>
    <x v="0"/>
  </r>
  <r>
    <d v="2017-12-18T00:00:00"/>
    <n v="200"/>
    <n v="200"/>
    <n v="0"/>
    <s v="Direct Credit 421520 ANDREW MANOKARAN Mano"/>
    <x v="1"/>
    <x v="5"/>
    <x v="2"/>
  </r>
  <r>
    <d v="2017-12-19T00:00:00"/>
    <n v="1369"/>
    <n v="1369"/>
    <n v="0"/>
    <s v="Transfer from GURPINDER KAUR NetBank Rent 70 Tyquin st"/>
    <x v="2"/>
    <x v="4"/>
    <x v="1"/>
  </r>
  <r>
    <d v="2017-12-20T00:00:00"/>
    <n v="200"/>
    <n v="200"/>
    <n v="0"/>
    <s v="Transfer from xx4836 NetBank monthly payment LT"/>
    <x v="1"/>
    <x v="3"/>
    <x v="2"/>
  </r>
  <r>
    <d v="2017-12-21T00:00:00"/>
    <n v="-1320"/>
    <n v="-1320"/>
    <n v="0"/>
    <s v="Transfer to other Bank NetBank Endorsed Drawings"/>
    <x v="4"/>
    <x v="8"/>
    <x v="3"/>
  </r>
  <r>
    <d v="2017-12-21T00:00:00"/>
    <n v="1238"/>
    <n v="1238"/>
    <n v="0"/>
    <s v="Transfer from UTTAMJEET SINGH NetBank RENT 68 T LAVERTON"/>
    <x v="2"/>
    <x v="4"/>
    <x v="0"/>
  </r>
  <r>
    <d v="2017-12-27T00:00:00"/>
    <n v="-1276.58"/>
    <n v="-1276.58"/>
    <n v="0"/>
    <s v="Direct Debit 012179 Advantedge PTVL ADV"/>
    <x v="3"/>
    <x v="6"/>
    <x v="0"/>
  </r>
  <r>
    <d v="2017-12-28T00:00:00"/>
    <n v="-1109.3"/>
    <n v="-1109.3"/>
    <n v="0"/>
    <s v="Direct Debit 000439 BANK-M S311052458400"/>
    <x v="3"/>
    <x v="6"/>
    <x v="1"/>
  </r>
  <r>
    <d v="2017-12-29T00:00:00"/>
    <n v="-5"/>
    <n v="-5"/>
    <n v="0"/>
    <s v="Unpaid Payment Fee Value Date: 28/12/2017"/>
    <x v="5"/>
    <x v="17"/>
    <x v="2"/>
  </r>
  <r>
    <d v="2017-12-29T00:00:00"/>
    <n v="1109.3"/>
    <n v="1109.3"/>
    <n v="0"/>
    <s v="Return 28/12/17 Direct Debit 000439 BANK-M S311052458400 Value Date: 28/12/2017"/>
    <x v="3"/>
    <x v="6"/>
    <x v="1"/>
  </r>
  <r>
    <d v="2018-01-02T00:00:00"/>
    <n v="-71.47"/>
    <n v="-71.47"/>
    <n v="0"/>
    <s v="Direct Debit 452599 AAMI PI HPL077169729"/>
    <x v="3"/>
    <x v="11"/>
    <x v="1"/>
  </r>
  <r>
    <d v="2018-01-11T00:00:00"/>
    <n v="250"/>
    <n v="250"/>
    <n v="0"/>
    <s v="Direct Credit 421520 ANDREW MANOKARAN"/>
    <x v="1"/>
    <x v="5"/>
    <x v="2"/>
  </r>
  <r>
    <d v="2018-01-13T00:00:00"/>
    <n v="-55"/>
    <n v="-55"/>
    <n v="0"/>
    <s v="Transfer to CBA A/c NetBank 68 Tyquin St TPM"/>
    <x v="3"/>
    <x v="19"/>
    <x v="2"/>
  </r>
  <r>
    <d v="2018-01-13T00:00:00"/>
    <n v="-55"/>
    <n v="-55"/>
    <n v="0"/>
    <s v="Transfer to CBA A/c NetBank 70TyquinPropertMgt"/>
    <x v="3"/>
    <x v="19"/>
    <x v="2"/>
  </r>
  <r>
    <d v="2018-01-14T00:00:00"/>
    <n v="250"/>
    <n v="250"/>
    <n v="0"/>
    <s v="Transfer from xx4836 NetBank extra payment"/>
    <x v="1"/>
    <x v="3"/>
    <x v="2"/>
  </r>
  <r>
    <d v="2018-01-15T00:00:00"/>
    <n v="-1109"/>
    <n v="-1109"/>
    <n v="0"/>
    <s v="BOM Loans            NetBank BPAY 22871 193911052458400"/>
    <x v="3"/>
    <x v="6"/>
    <x v="1"/>
  </r>
  <r>
    <d v="2018-01-15T00:00:00"/>
    <n v="100"/>
    <n v="100"/>
    <n v="0"/>
    <s v="Transfer from xx4836 NetBank extra payment"/>
    <x v="1"/>
    <x v="3"/>
    <x v="2"/>
  </r>
  <r>
    <d v="2018-01-16T00:00:00"/>
    <n v="-87.97"/>
    <n v="-87.97"/>
    <n v="0"/>
    <s v="Direct Debit 452599 AAMI PI HPL071936456"/>
    <x v="3"/>
    <x v="11"/>
    <x v="0"/>
  </r>
  <r>
    <d v="2018-01-16T00:00:00"/>
    <n v="200"/>
    <n v="200"/>
    <n v="0"/>
    <s v="Direct Credit 421520 ANDREW MANOKARAN Mano"/>
    <x v="1"/>
    <x v="5"/>
    <x v="2"/>
  </r>
  <r>
    <d v="2018-01-20T00:00:00"/>
    <n v="200"/>
    <n v="200"/>
    <n v="0"/>
    <s v="Transfer from xx4836 NetBank monthly payment LT"/>
    <x v="1"/>
    <x v="3"/>
    <x v="2"/>
  </r>
  <r>
    <d v="2018-01-21T00:00:00"/>
    <n v="1238"/>
    <n v="1238"/>
    <n v="0"/>
    <s v="Transfer from UTTAMJEET SINGH NetBank RENT 68 T LAVERTON"/>
    <x v="2"/>
    <x v="4"/>
    <x v="0"/>
  </r>
  <r>
    <d v="2018-01-23T00:00:00"/>
    <n v="1369"/>
    <n v="1369"/>
    <n v="0"/>
    <s v="Transfer from GURPINDER KAUR NetBank rent 70 tyquin Value Date: 24/01/2018"/>
    <x v="2"/>
    <x v="4"/>
    <x v="1"/>
  </r>
  <r>
    <d v="2018-01-25T00:00:00"/>
    <n v="-1318.82"/>
    <n v="-1318.82"/>
    <n v="0"/>
    <s v="Direct Debit 012179 Advantedge PTVL ADV"/>
    <x v="3"/>
    <x v="6"/>
    <x v="0"/>
  </r>
  <r>
    <d v="2018-01-29T00:00:00"/>
    <n v="-1148.03"/>
    <n v="-1148.03"/>
    <n v="0"/>
    <s v="Direct Debit 000439 BANK-M S311052458400"/>
    <x v="3"/>
    <x v="6"/>
    <x v="1"/>
  </r>
  <r>
    <d v="2018-01-30T00:00:00"/>
    <n v="-71.47"/>
    <n v="-71.47"/>
    <n v="0"/>
    <s v="Direct Debit 452599 AAMI PI HPL077169729"/>
    <x v="3"/>
    <x v="11"/>
    <x v="1"/>
  </r>
  <r>
    <d v="2018-01-31T00:00:00"/>
    <n v="-146.66"/>
    <n v="-146.66"/>
    <n v="0"/>
    <s v="CITY WEST WATER      NetBank BPAY 8789 121739219120"/>
    <x v="3"/>
    <x v="13"/>
    <x v="1"/>
  </r>
  <r>
    <d v="2018-01-31T00:00:00"/>
    <n v="-146.66"/>
    <n v="-146.66"/>
    <n v="0"/>
    <s v="CITY WEST WATER      NetBank BPAY 8789 121739220138"/>
    <x v="3"/>
    <x v="13"/>
    <x v="0"/>
  </r>
  <r>
    <d v="2018-02-13T00:00:00"/>
    <n v="-55"/>
    <n v="-55"/>
    <n v="0"/>
    <s v="Transfer to CBA A/c NetBank 68 Tyquin St TPM"/>
    <x v="3"/>
    <x v="19"/>
    <x v="2"/>
  </r>
  <r>
    <d v="2018-02-13T00:00:00"/>
    <n v="-55"/>
    <n v="-55"/>
    <n v="0"/>
    <s v="Transfer to CBA A/c NetBank 70TyquinPropertMgt"/>
    <x v="3"/>
    <x v="19"/>
    <x v="2"/>
  </r>
  <r>
    <d v="2018-02-15T00:00:00"/>
    <n v="-87.97"/>
    <n v="-87.97"/>
    <n v="0"/>
    <s v="Direct Debit 452599 AAMI PI HPL071936456"/>
    <x v="3"/>
    <x v="11"/>
    <x v="0"/>
  </r>
  <r>
    <d v="2018-02-16T00:00:00"/>
    <n v="-10"/>
    <n v="-10"/>
    <n v="0"/>
    <s v="Overdrawing Approval Fee For overdrawing that occurred 15/02/18"/>
    <x v="5"/>
    <x v="17"/>
    <x v="2"/>
  </r>
  <r>
    <d v="2018-02-16T00:00:00"/>
    <n v="200"/>
    <n v="200"/>
    <n v="0"/>
    <s v="Direct Credit 421520 ANDREW MANOKARAN Mano"/>
    <x v="1"/>
    <x v="5"/>
    <x v="2"/>
  </r>
  <r>
    <d v="2018-02-20T00:00:00"/>
    <n v="200"/>
    <n v="200"/>
    <n v="0"/>
    <s v="Transfer from xx4836 NetBank monthly payment LT"/>
    <x v="1"/>
    <x v="3"/>
    <x v="2"/>
  </r>
  <r>
    <d v="2018-02-21T00:00:00"/>
    <n v="1238"/>
    <n v="1238"/>
    <n v="0"/>
    <s v="Transfer from UTTAMJEET SINGH CommBank app rent 68 tyquin st"/>
    <x v="2"/>
    <x v="4"/>
    <x v="0"/>
  </r>
  <r>
    <d v="2018-02-27T00:00:00"/>
    <n v="-1318.87"/>
    <n v="-1318.87"/>
    <n v="0"/>
    <s v="Direct Debit 012179 Advantedge PTVL ADV"/>
    <x v="3"/>
    <x v="6"/>
    <x v="0"/>
  </r>
  <r>
    <d v="2018-02-28T00:00:00"/>
    <n v="-1145.97"/>
    <n v="-1145.97"/>
    <n v="0"/>
    <s v="Direct Debit 000439 BANK-M S311052458400"/>
    <x v="3"/>
    <x v="6"/>
    <x v="1"/>
  </r>
  <r>
    <d v="2018-03-01T00:00:00"/>
    <n v="-71.47"/>
    <n v="-71.47"/>
    <n v="0"/>
    <s v="Direct Debit 452599 AAMI PI HPL077169729"/>
    <x v="3"/>
    <x v="11"/>
    <x v="1"/>
  </r>
  <r>
    <d v="2018-03-01T00:00:00"/>
    <n v="-5"/>
    <n v="-5"/>
    <n v="0"/>
    <s v="Unpaid Payment Fee Value Date: 28/02/2018"/>
    <x v="5"/>
    <x v="17"/>
    <x v="2"/>
  </r>
  <r>
    <d v="2018-03-01T00:00:00"/>
    <n v="-0.48"/>
    <n v="-0.48"/>
    <n v="0"/>
    <s v="Debit Excess Interest"/>
    <x v="5"/>
    <x v="17"/>
    <x v="2"/>
  </r>
  <r>
    <d v="2018-03-01T00:00:00"/>
    <n v="1145.97"/>
    <n v="1145.97"/>
    <n v="0"/>
    <s v="Return 28/02/18 Direct Debit 000439 BANK-M S311052458400 Value Date: 28/02/2018"/>
    <x v="3"/>
    <x v="6"/>
    <x v="1"/>
  </r>
  <r>
    <d v="2018-03-01T00:00:00"/>
    <n v="1369"/>
    <n v="1369"/>
    <n v="0"/>
    <s v="Transfer from GURPINDER KAUR NetBank Rent 70 Tyquin st"/>
    <x v="2"/>
    <x v="4"/>
    <x v="1"/>
  </r>
  <r>
    <d v="2018-03-05T00:00:00"/>
    <n v="-1145.97"/>
    <n v="-1145.97"/>
    <n v="0"/>
    <s v="BOM Loans            NetBank BPAY 22871 193911052458400"/>
    <x v="3"/>
    <x v="6"/>
    <x v="1"/>
  </r>
  <r>
    <d v="2018-03-13T00:00:00"/>
    <n v="-55"/>
    <n v="-55"/>
    <n v="0"/>
    <s v="Transfer to CBA A/c NetBank 68 Tyquin St TPM"/>
    <x v="3"/>
    <x v="19"/>
    <x v="2"/>
  </r>
  <r>
    <d v="2018-03-13T00:00:00"/>
    <n v="-55"/>
    <n v="-55"/>
    <n v="0"/>
    <s v="Transfer to CBA A/c NetBank 70TyquinPropertMgt"/>
    <x v="3"/>
    <x v="19"/>
    <x v="2"/>
  </r>
  <r>
    <d v="2018-03-13T00:00:00"/>
    <n v="1369"/>
    <n v="1369"/>
    <n v="0"/>
    <s v="Transfer from GURPINDER KAUR NetBank Rent 70 Tyquin st"/>
    <x v="2"/>
    <x v="4"/>
    <x v="1"/>
  </r>
  <r>
    <d v="2018-03-15T00:00:00"/>
    <n v="-87.97"/>
    <n v="-87.97"/>
    <n v="0"/>
    <s v="Direct Debit 452599 AAMI PI HPL071936456"/>
    <x v="3"/>
    <x v="11"/>
    <x v="0"/>
  </r>
  <r>
    <d v="2018-03-16T00:00:00"/>
    <n v="200"/>
    <n v="200"/>
    <n v="0"/>
    <s v="Direct Credit 421520 ANDREW MANOKARAN Mano"/>
    <x v="1"/>
    <x v="5"/>
    <x v="2"/>
  </r>
  <r>
    <d v="2018-03-20T00:00:00"/>
    <n v="200"/>
    <n v="200"/>
    <n v="0"/>
    <s v="Transfer from xx4836 NetBank monthly payment LT"/>
    <x v="1"/>
    <x v="3"/>
    <x v="2"/>
  </r>
  <r>
    <d v="2018-03-22T00:00:00"/>
    <n v="1238"/>
    <n v="1238"/>
    <n v="0"/>
    <s v="Transfer from UTTAMJEET SINGH CommBank app rent 68 tyquin st"/>
    <x v="2"/>
    <x v="4"/>
    <x v="0"/>
  </r>
  <r>
    <d v="2018-03-27T00:00:00"/>
    <n v="-1192.24"/>
    <n v="-1192.24"/>
    <n v="0"/>
    <s v="Direct Debit 012179 Advantedge PTVL ADV"/>
    <x v="3"/>
    <x v="6"/>
    <x v="0"/>
  </r>
  <r>
    <d v="2018-03-28T00:00:00"/>
    <n v="-1036.57"/>
    <n v="-1036.57"/>
    <n v="0"/>
    <s v="Direct Debit 000439 BANK-M S311052458400"/>
    <x v="3"/>
    <x v="6"/>
    <x v="1"/>
  </r>
  <r>
    <d v="2018-04-01T00:00:00"/>
    <n v="0.45"/>
    <n v="0.45"/>
    <n v="0"/>
    <s v="Debit Excess Int Adjusted Value Date: 01/03/2018"/>
    <x v="5"/>
    <x v="17"/>
    <x v="2"/>
  </r>
  <r>
    <d v="2018-04-03T00:00:00"/>
    <n v="-71.47"/>
    <n v="-71.47"/>
    <n v="0"/>
    <s v="Direct Debit 452599 AAMI PI HPL077169729"/>
    <x v="3"/>
    <x v="11"/>
    <x v="1"/>
  </r>
  <r>
    <d v="2018-04-10T00:00:00"/>
    <n v="-168.5"/>
    <n v="-168.5"/>
    <n v="0"/>
    <s v="Transfer to other Bank NetBank upwork"/>
    <x v="4"/>
    <x v="8"/>
    <x v="8"/>
  </r>
  <r>
    <d v="2018-04-10T00:00:00"/>
    <n v="-167.92"/>
    <n v="-167.92"/>
    <n v="0"/>
    <s v="Transfer to other Bank NetBank upwork"/>
    <x v="4"/>
    <x v="8"/>
    <x v="8"/>
  </r>
  <r>
    <d v="2018-04-10T00:00:00"/>
    <n v="1369"/>
    <n v="1369"/>
    <n v="0"/>
    <s v="Transfer from GURPINDER KAUR NetBank Rent 70 Tyquin st"/>
    <x v="2"/>
    <x v="4"/>
    <x v="1"/>
  </r>
  <r>
    <d v="2018-04-13T00:00:00"/>
    <n v="-55"/>
    <n v="-55"/>
    <n v="0"/>
    <s v="Transfer to CBA A/c NetBank 68 Tyquin St TPM"/>
    <x v="3"/>
    <x v="19"/>
    <x v="2"/>
  </r>
  <r>
    <d v="2018-04-13T00:00:00"/>
    <n v="-55"/>
    <n v="-55"/>
    <n v="0"/>
    <s v="Transfer to CBA A/c NetBank 70TyquinPropertMgt"/>
    <x v="3"/>
    <x v="19"/>
    <x v="2"/>
  </r>
  <r>
    <d v="2018-04-16T00:00:00"/>
    <n v="200"/>
    <n v="200"/>
    <n v="0"/>
    <s v="Direct Credit 421520 ANDREW MANOKARAN Mano"/>
    <x v="1"/>
    <x v="5"/>
    <x v="2"/>
  </r>
  <r>
    <d v="2018-04-17T00:00:00"/>
    <n v="-87.97"/>
    <n v="-87.97"/>
    <n v="0"/>
    <s v="Direct Debit 452599 AAMI PI HPL071936456"/>
    <x v="3"/>
    <x v="11"/>
    <x v="0"/>
  </r>
  <r>
    <d v="2018-04-20T00:00:00"/>
    <n v="200"/>
    <n v="200"/>
    <n v="0"/>
    <s v="Transfer from xx4836 NetBank monthly payment LT"/>
    <x v="1"/>
    <x v="3"/>
    <x v="2"/>
  </r>
  <r>
    <d v="2018-04-22T00:00:00"/>
    <n v="1238"/>
    <n v="1238"/>
    <n v="0"/>
    <s v="Transfer from UTTAMJEET SINGH CommBank app rent 68 tyquin st"/>
    <x v="2"/>
    <x v="4"/>
    <x v="0"/>
  </r>
  <r>
    <d v="2018-04-27T00:00:00"/>
    <n v="-1319.03"/>
    <n v="-1319.03"/>
    <n v="0"/>
    <s v="Direct Debit 012179 Advantedge PTVL ADV"/>
    <x v="3"/>
    <x v="6"/>
    <x v="0"/>
  </r>
  <r>
    <d v="2018-04-30T00:00:00"/>
    <n v="-1146"/>
    <n v="-1146"/>
    <n v="0"/>
    <s v="Direct Debit 000439 BANK-M S311052458400"/>
    <x v="3"/>
    <x v="6"/>
    <x v="1"/>
  </r>
  <r>
    <d v="2018-05-01T00:00:00"/>
    <n v="-71.47"/>
    <n v="-71.47"/>
    <n v="0"/>
    <s v="Direct Debit 452599 AAMI PI HPL077169729"/>
    <x v="3"/>
    <x v="11"/>
    <x v="1"/>
  </r>
  <r>
    <d v="2018-05-03T00:00:00"/>
    <n v="1473"/>
    <n v="1473"/>
    <n v="0"/>
    <s v="Transfer from GURPINDER KAUR NetBank Rent 70 Tyquin st"/>
    <x v="2"/>
    <x v="4"/>
    <x v="1"/>
  </r>
  <r>
    <d v="2018-05-06T00:00:00"/>
    <n v="-267"/>
    <n v="-267"/>
    <n v="0"/>
    <s v="HOBSONS BAY COUNCIL  NetBank BPAY 39032 59020007004"/>
    <x v="3"/>
    <x v="7"/>
    <x v="1"/>
  </r>
  <r>
    <d v="2018-05-06T00:00:00"/>
    <n v="-267"/>
    <n v="-267"/>
    <n v="0"/>
    <s v="HOBSONS BAY COUNCIL  NetBank BPAY 39032 59020006808"/>
    <x v="3"/>
    <x v="7"/>
    <x v="0"/>
  </r>
  <r>
    <d v="2018-05-06T00:00:00"/>
    <n v="-170"/>
    <n v="-170"/>
    <n v="0"/>
    <s v="Transfer to other Bank NetBank renders upwork"/>
    <x v="4"/>
    <x v="8"/>
    <x v="8"/>
  </r>
  <r>
    <d v="2018-05-06T00:00:00"/>
    <n v="-146.66"/>
    <n v="-146.66"/>
    <n v="0"/>
    <s v="CITY WEST WATER      NetBank BPAY 8789 121739219120"/>
    <x v="3"/>
    <x v="13"/>
    <x v="1"/>
  </r>
  <r>
    <d v="2018-05-06T00:00:00"/>
    <n v="-146.66"/>
    <n v="-146.66"/>
    <n v="0"/>
    <s v="CITY WEST WATER      NetBank BPAY 8789 121739220138"/>
    <x v="3"/>
    <x v="13"/>
    <x v="0"/>
  </r>
  <r>
    <d v="2018-05-13T00:00:00"/>
    <n v="-55"/>
    <n v="-55"/>
    <n v="0"/>
    <s v="Transfer to CBA A/c NetBank 68 Tyquin St TPM"/>
    <x v="3"/>
    <x v="19"/>
    <x v="2"/>
  </r>
  <r>
    <d v="2018-05-13T00:00:00"/>
    <n v="-55"/>
    <n v="-55"/>
    <n v="0"/>
    <s v="Transfer to CBA A/c NetBank 70TyquinPropertMgt"/>
    <x v="3"/>
    <x v="19"/>
    <x v="2"/>
  </r>
  <r>
    <d v="2018-05-15T00:00:00"/>
    <n v="-87.97"/>
    <n v="-87.97"/>
    <n v="0"/>
    <s v="Direct Debit 452599 AAMI PI HPL071936456"/>
    <x v="3"/>
    <x v="11"/>
    <x v="0"/>
  </r>
  <r>
    <d v="2018-05-16T00:00:00"/>
    <n v="200"/>
    <n v="200"/>
    <n v="0"/>
    <s v="Direct Credit 421520 ANDREW MANOKARAN Mano"/>
    <x v="1"/>
    <x v="5"/>
    <x v="2"/>
  </r>
  <r>
    <d v="2018-05-20T00:00:00"/>
    <n v="200"/>
    <n v="200"/>
    <n v="0"/>
    <s v="Transfer from xx4836 NetBank monthly payment LT"/>
    <x v="1"/>
    <x v="3"/>
    <x v="2"/>
  </r>
  <r>
    <d v="2018-05-21T00:00:00"/>
    <n v="1290"/>
    <n v="1290"/>
    <n v="0"/>
    <s v="Transfer from UTTAMJEET SINGH CommBank app rent 68 tyquin st"/>
    <x v="2"/>
    <x v="4"/>
    <x v="0"/>
  </r>
  <r>
    <d v="2018-05-24T00:00:00"/>
    <n v="1700"/>
    <n v="1700"/>
    <n v="0"/>
    <s v="Direct Credit 106600 ANDREW MANOKARAN Tyquin Street"/>
    <x v="1"/>
    <x v="5"/>
    <x v="2"/>
  </r>
  <r>
    <d v="2018-05-25T00:00:00"/>
    <n v="-1277.07"/>
    <n v="-1277.07"/>
    <n v="0"/>
    <s v="Direct Debit 012179 Advantedge PTVL ADV"/>
    <x v="3"/>
    <x v="6"/>
    <x v="0"/>
  </r>
  <r>
    <d v="2018-05-28T00:00:00"/>
    <n v="-1109.3599999999999"/>
    <n v="-1109.3599999999999"/>
    <n v="0"/>
    <s v="Direct Debit 000439 BANK-M S311052458400"/>
    <x v="3"/>
    <x v="6"/>
    <x v="1"/>
  </r>
  <r>
    <d v="2018-05-30T00:00:00"/>
    <n v="-71.47"/>
    <n v="-71.47"/>
    <n v="0"/>
    <s v="Direct Debit 452599 AAMI PI HPL077169729"/>
    <x v="3"/>
    <x v="11"/>
    <x v="1"/>
  </r>
  <r>
    <d v="2018-06-06T00:00:00"/>
    <n v="1474"/>
    <n v="1474"/>
    <n v="0"/>
    <s v="Transfer from GURPINDER KAUR CB TabletApp 70 tyquin st"/>
    <x v="2"/>
    <x v="4"/>
    <x v="1"/>
  </r>
  <r>
    <d v="2018-06-12T00:00:00"/>
    <n v="-538.4"/>
    <n v="-538.4"/>
    <n v="0"/>
    <s v="HOBSONS BAY COUNCIL  NetBank BPAY 39032 59020006808"/>
    <x v="3"/>
    <x v="7"/>
    <x v="0"/>
  </r>
  <r>
    <d v="2018-06-12T00:00:00"/>
    <n v="-538.4"/>
    <n v="-538.4"/>
    <n v="0"/>
    <s v="HOBSONS BAY COUNCIL  NetBank BPAY 39032 59020007004"/>
    <x v="3"/>
    <x v="7"/>
    <x v="1"/>
  </r>
  <r>
    <d v="2018-06-13T00:00:00"/>
    <n v="-55"/>
    <n v="-55"/>
    <n v="0"/>
    <s v="Transfer to CBA A/c NetBank 68 Tyquin St TPM"/>
    <x v="3"/>
    <x v="19"/>
    <x v="2"/>
  </r>
  <r>
    <d v="2018-06-13T00:00:00"/>
    <n v="-55"/>
    <n v="-55"/>
    <n v="0"/>
    <s v="Transfer to CBA A/c NetBank 70TyquinPropertMgt"/>
    <x v="3"/>
    <x v="19"/>
    <x v="2"/>
  </r>
  <r>
    <d v="2018-06-15T00:00:00"/>
    <n v="-87.97"/>
    <n v="-87.97"/>
    <n v="0"/>
    <s v="Direct Debit 452599 AAMI PI HPL071936456"/>
    <x v="3"/>
    <x v="11"/>
    <x v="0"/>
  </r>
  <r>
    <d v="2018-06-18T00:00:00"/>
    <n v="200"/>
    <n v="200"/>
    <n v="0"/>
    <s v="Direct Credit 421520 ANDREW MANOKARAN Mano"/>
    <x v="1"/>
    <x v="5"/>
    <x v="2"/>
  </r>
  <r>
    <d v="2018-06-20T00:00:00"/>
    <n v="200"/>
    <n v="200"/>
    <n v="0"/>
    <s v="Transfer from xx4836 NetBank monthly payment LT"/>
    <x v="1"/>
    <x v="3"/>
    <x v="2"/>
  </r>
  <r>
    <d v="2018-06-20T00:00:00"/>
    <n v="1290"/>
    <n v="1290"/>
    <n v="0"/>
    <s v="Transfer from UTTAMJEET SINGH CommBank app rent 68 tyquin st"/>
    <x v="2"/>
    <x v="4"/>
    <x v="0"/>
  </r>
  <r>
    <d v="2018-06-27T00:00:00"/>
    <n v="-1318.98"/>
    <n v="-1318.98"/>
    <n v="0"/>
    <s v="Direct Debit 012179 Advantedge PTVL ADV"/>
    <x v="3"/>
    <x v="6"/>
    <x v="0"/>
  </r>
  <r>
    <d v="2018-06-28T00:00:00"/>
    <n v="-1146"/>
    <n v="-1146"/>
    <n v="0"/>
    <s v="Direct Debit 000439 BANK-M S311052458400"/>
    <x v="3"/>
    <x v="6"/>
    <x v="1"/>
  </r>
  <r>
    <d v="2018-07-02T00:00:00"/>
    <n v="-71.47"/>
    <n v="-71.47"/>
    <n v="0"/>
    <s v="Direct Debit 452599 AAMI PI HPL077169729"/>
    <x v="3"/>
    <x v="11"/>
    <x v="1"/>
  </r>
  <r>
    <d v="2018-07-13T00:00:00"/>
    <n v="-55"/>
    <n v="-55"/>
    <n v="0"/>
    <s v="Transfer to CBA A/c NetBank 68 Tyquin St TPM"/>
    <x v="3"/>
    <x v="19"/>
    <x v="2"/>
  </r>
  <r>
    <d v="2018-07-13T00:00:00"/>
    <n v="-55"/>
    <n v="-55"/>
    <n v="0"/>
    <s v="Transfer to CBA A/c NetBank 70TyquinPropertMgt"/>
    <x v="3"/>
    <x v="19"/>
    <x v="2"/>
  </r>
  <r>
    <d v="2018-07-16T00:00:00"/>
    <n v="200"/>
    <n v="200"/>
    <n v="0"/>
    <s v="Direct Credit 421520 ANDREW MANOKARAN Mano"/>
    <x v="1"/>
    <x v="5"/>
    <x v="2"/>
  </r>
  <r>
    <d v="2018-07-17T00:00:00"/>
    <n v="-87.97"/>
    <n v="-87.97"/>
    <n v="0"/>
    <s v="Direct Debit 452599 AAMI PI HPL071936456"/>
    <x v="3"/>
    <x v="11"/>
    <x v="0"/>
  </r>
  <r>
    <d v="2018-07-17T00:00:00"/>
    <n v="1473"/>
    <n v="1473"/>
    <n v="0"/>
    <s v="Transfer from GURPINDER KAUR NetBank 70 tyquin st"/>
    <x v="2"/>
    <x v="4"/>
    <x v="1"/>
  </r>
  <r>
    <d v="2018-07-20T00:00:00"/>
    <n v="200"/>
    <n v="200"/>
    <n v="0"/>
    <s v="Transfer from xx4836 NetBank monthly payment LT"/>
    <x v="1"/>
    <x v="3"/>
    <x v="2"/>
  </r>
  <r>
    <d v="2018-07-22T00:00:00"/>
    <n v="1290"/>
    <n v="1290"/>
    <n v="0"/>
    <s v="Transfer from UTTAMJEET SINGH NetBank rent 68 tyquin st"/>
    <x v="2"/>
    <x v="4"/>
    <x v="0"/>
  </r>
  <r>
    <d v="2018-07-27T00:00:00"/>
    <n v="-1277.07"/>
    <n v="-1277.07"/>
    <n v="0"/>
    <s v="Direct Debit 012179 Advantedge PTVL ADV"/>
    <x v="3"/>
    <x v="6"/>
    <x v="0"/>
  </r>
  <r>
    <d v="2018-07-30T00:00:00"/>
    <n v="-1109.3599999999999"/>
    <n v="-1109.3599999999999"/>
    <n v="0"/>
    <s v="Direct Debit 000439 BANK-M S311052458400"/>
    <x v="3"/>
    <x v="6"/>
    <x v="1"/>
  </r>
  <r>
    <d v="2018-07-31T00:00:00"/>
    <n v="-224.2"/>
    <n v="-224.2"/>
    <n v="0"/>
    <s v="CITY WEST WATER      NetBank BPAY 8789 121739220138"/>
    <x v="3"/>
    <x v="13"/>
    <x v="0"/>
  </r>
  <r>
    <d v="2018-07-31T00:00:00"/>
    <n v="-224.2"/>
    <n v="-224.2"/>
    <n v="0"/>
    <s v="CITY WEST WATER      NetBank BPAY 8789 121739219120"/>
    <x v="3"/>
    <x v="13"/>
    <x v="1"/>
  </r>
  <r>
    <d v="2018-07-31T00:00:00"/>
    <n v="-85.7"/>
    <n v="-85.7"/>
    <n v="0"/>
    <s v="Direct Debit 452599 AAMI PI HPL077169729"/>
    <x v="3"/>
    <x v="11"/>
    <x v="1"/>
  </r>
  <r>
    <d v="2018-08-13T00:00:00"/>
    <n v="-55"/>
    <n v="-55"/>
    <n v="0"/>
    <s v="Transfer to CBA A/c NetBank 68 Tyquin St TPM"/>
    <x v="3"/>
    <x v="19"/>
    <x v="2"/>
  </r>
  <r>
    <d v="2018-08-13T00:00:00"/>
    <n v="-55"/>
    <n v="-55"/>
    <n v="0"/>
    <s v="Transfer to CBA A/c NetBank 70TyquinPropertMgt"/>
    <x v="3"/>
    <x v="19"/>
    <x v="2"/>
  </r>
  <r>
    <d v="2018-08-15T00:00:00"/>
    <n v="-87.97"/>
    <n v="-87.97"/>
    <n v="0"/>
    <s v="Direct Debit 452599 AAMI PI HPL071936456"/>
    <x v="3"/>
    <x v="11"/>
    <x v="0"/>
  </r>
  <r>
    <d v="2018-08-16T00:00:00"/>
    <n v="200"/>
    <n v="200"/>
    <n v="0"/>
    <s v="Direct Credit 421520 ANDREW MANOKARAN Mano"/>
    <x v="1"/>
    <x v="5"/>
    <x v="2"/>
  </r>
  <r>
    <d v="2018-08-16T00:00:00"/>
    <n v="1469"/>
    <n v="1469"/>
    <n v="0"/>
    <s v="Transfer from GURPINDER KAUR NetBank 70 tyquin st"/>
    <x v="2"/>
    <x v="4"/>
    <x v="1"/>
  </r>
  <r>
    <d v="2018-08-20T00:00:00"/>
    <n v="200"/>
    <n v="200"/>
    <n v="0"/>
    <s v="Transfer from xx4836 NetBank monthly payment LT"/>
    <x v="1"/>
    <x v="3"/>
    <x v="2"/>
  </r>
  <r>
    <d v="2018-08-21T00:00:00"/>
    <n v="1290"/>
    <n v="1290"/>
    <n v="0"/>
    <s v="Transfer from UTTAMJEET SINGH CommBank app rent 68 tyquin st"/>
    <x v="2"/>
    <x v="4"/>
    <x v="0"/>
  </r>
  <r>
    <d v="2018-08-27T00:00:00"/>
    <n v="-1319.33"/>
    <n v="-1319.33"/>
    <n v="0"/>
    <s v="Direct Debit 012179 Advantedge PTVL ADV"/>
    <x v="3"/>
    <x v="6"/>
    <x v="0"/>
  </r>
  <r>
    <d v="2018-08-28T00:00:00"/>
    <n v="-1580.15"/>
    <n v="-1580.15"/>
    <n v="0"/>
    <s v="Direct Debit 000439 BANK-M S311052458400"/>
    <x v="3"/>
    <x v="6"/>
    <x v="1"/>
  </r>
  <r>
    <d v="2018-08-28T00:00:00"/>
    <n v="-198"/>
    <n v="-198"/>
    <n v="0"/>
    <s v="Transfer to CBA A/c NetBank WindowShutterRepai"/>
    <x v="3"/>
    <x v="18"/>
    <x v="0"/>
  </r>
  <r>
    <d v="2018-08-30T00:00:00"/>
    <n v="-85.7"/>
    <n v="-85.7"/>
    <n v="0"/>
    <s v="Direct Debit 452599 AAMI PI HPL077169729"/>
    <x v="3"/>
    <x v="11"/>
    <x v="1"/>
  </r>
  <r>
    <d v="2018-09-11T00:00:00"/>
    <n v="1473"/>
    <n v="1473"/>
    <n v="0"/>
    <s v="Transfer from GURPINDER KAUR NetBank 70 tyquin st"/>
    <x v="2"/>
    <x v="4"/>
    <x v="1"/>
  </r>
  <r>
    <d v="2018-09-13T00:00:00"/>
    <n v="-55"/>
    <n v="-55"/>
    <n v="0"/>
    <s v="Transfer to CBA A/c NetBank 68 Tyquin St TPM"/>
    <x v="3"/>
    <x v="19"/>
    <x v="2"/>
  </r>
  <r>
    <d v="2018-09-13T00:00:00"/>
    <n v="-55"/>
    <n v="-55"/>
    <n v="0"/>
    <s v="Transfer to CBA A/c NetBank 70TyquinPropertMgt"/>
    <x v="3"/>
    <x v="19"/>
    <x v="2"/>
  </r>
  <r>
    <d v="2018-09-17T00:00:00"/>
    <n v="-87.97"/>
    <n v="-87.97"/>
    <n v="0"/>
    <s v="Direct Debit 452599 AAMI PI HPL071936456"/>
    <x v="3"/>
    <x v="11"/>
    <x v="0"/>
  </r>
  <r>
    <d v="2018-09-17T00:00:00"/>
    <n v="200"/>
    <n v="200"/>
    <n v="0"/>
    <s v="Direct Credit 421520 ANDREW MANOKARAN Mano"/>
    <x v="1"/>
    <x v="5"/>
    <x v="2"/>
  </r>
  <r>
    <d v="2018-09-20T00:00:00"/>
    <n v="200"/>
    <n v="200"/>
    <n v="0"/>
    <s v="Transfer from xx4836 NetBank monthly payment LT"/>
    <x v="1"/>
    <x v="3"/>
    <x v="2"/>
  </r>
  <r>
    <d v="2018-09-22T00:00:00"/>
    <n v="1290"/>
    <n v="1290"/>
    <n v="0"/>
    <s v="Transfer from UTTAMJEET SINGH CommBank app rent 68 tyquin st"/>
    <x v="2"/>
    <x v="4"/>
    <x v="0"/>
  </r>
  <r>
    <d v="2018-09-27T00:00:00"/>
    <n v="-1319.48"/>
    <n v="-1319.48"/>
    <n v="0"/>
    <s v="Direct Debit 012179 Advantedge PTVL ADV"/>
    <x v="3"/>
    <x v="6"/>
    <x v="0"/>
  </r>
  <r>
    <d v="2018-09-28T00:00:00"/>
    <n v="-1621.66"/>
    <n v="-1621.66"/>
    <n v="0"/>
    <s v="Direct Debit 000439 BANK-M S311052458400"/>
    <x v="3"/>
    <x v="6"/>
    <x v="1"/>
  </r>
  <r>
    <d v="2018-09-28T00:00:00"/>
    <n v="-1000"/>
    <n v="-1000"/>
    <n v="0"/>
    <s v="Transfer to CBA A/c CommBank app"/>
    <x v="1"/>
    <x v="3"/>
    <x v="2"/>
  </r>
  <r>
    <d v="2018-09-28T00:00:00"/>
    <n v="1000"/>
    <n v="1000"/>
    <n v="0"/>
    <s v="Transfer from xx4836 NetBank payback"/>
    <x v="1"/>
    <x v="3"/>
    <x v="2"/>
  </r>
  <r>
    <d v="2018-09-30T00:00:00"/>
    <n v="-67.849999999999994"/>
    <n v="-67.849999999999994"/>
    <n v="0"/>
    <s v="HOBSONS BAY COUNCIL  NetBank BPAY 39032 59020007004"/>
    <x v="3"/>
    <x v="7"/>
    <x v="1"/>
  </r>
  <r>
    <d v="2018-09-30T00:00:00"/>
    <n v="-54.5"/>
    <n v="-54.5"/>
    <n v="0"/>
    <s v="HOBSONS BAY COUNCIL  NetBank BPAY 39032 59020006808"/>
    <x v="3"/>
    <x v="7"/>
    <x v="0"/>
  </r>
  <r>
    <d v="2018-10-02T00:00:00"/>
    <n v="-85.7"/>
    <n v="-85.7"/>
    <n v="0"/>
    <s v="Direct Debit 452599 AAMI PI HPL077169729"/>
    <x v="3"/>
    <x v="11"/>
    <x v="1"/>
  </r>
  <r>
    <d v="2018-10-13T00:00:00"/>
    <n v="-55"/>
    <n v="-55"/>
    <n v="0"/>
    <s v="Transfer to CBA A/c NetBank 68 Tyquin St TPM"/>
    <x v="3"/>
    <x v="19"/>
    <x v="2"/>
  </r>
  <r>
    <d v="2018-10-13T00:00:00"/>
    <n v="-55"/>
    <n v="-55"/>
    <n v="0"/>
    <s v="Transfer to CBA A/c NetBank 70TyquinPropertMgt"/>
    <x v="3"/>
    <x v="19"/>
    <x v="2"/>
  </r>
  <r>
    <d v="2018-10-16T00:00:00"/>
    <n v="-87.97"/>
    <n v="-87.97"/>
    <n v="0"/>
    <s v="Direct Debit 452599 AAMI PI HPL071936456"/>
    <x v="3"/>
    <x v="11"/>
    <x v="0"/>
  </r>
  <r>
    <d v="2018-10-16T00:00:00"/>
    <n v="200"/>
    <n v="200"/>
    <n v="0"/>
    <s v="Direct Credit 421520 ANDREW MANOKARAN Mano"/>
    <x v="1"/>
    <x v="5"/>
    <x v="2"/>
  </r>
  <r>
    <d v="2018-10-17T00:00:00"/>
    <n v="1473"/>
    <n v="1473"/>
    <n v="0"/>
    <s v="Transfer from GURPINDER KAUR NetBank 70 tyquin st"/>
    <x v="2"/>
    <x v="4"/>
    <x v="1"/>
  </r>
  <r>
    <d v="2018-10-20T00:00:00"/>
    <n v="200"/>
    <n v="200"/>
    <n v="0"/>
    <s v="Transfer from xx4836 NetBank monthly payment LT"/>
    <x v="1"/>
    <x v="3"/>
    <x v="2"/>
  </r>
  <r>
    <d v="2018-10-22T00:00:00"/>
    <n v="1290"/>
    <n v="1290"/>
    <n v="0"/>
    <s v="Transfer from UTTAMJEET SINGH CommBank app rent 68 tyquin st"/>
    <x v="2"/>
    <x v="4"/>
    <x v="0"/>
  </r>
  <r>
    <d v="2018-10-23T00:00:00"/>
    <n v="-253"/>
    <n v="-253"/>
    <n v="0"/>
    <s v="Transfer to CBA A/c NetBank TyquinStBrokenPipe"/>
    <x v="3"/>
    <x v="18"/>
    <x v="0"/>
  </r>
  <r>
    <d v="2018-10-26T00:00:00"/>
    <n v="-1277.07"/>
    <n v="-1277.07"/>
    <n v="0"/>
    <s v="Direct Debit 012179 Advantedge PTVL ADV"/>
    <x v="3"/>
    <x v="6"/>
    <x v="0"/>
  </r>
  <r>
    <d v="2018-10-29T00:00:00"/>
    <n v="-1597.05"/>
    <n v="-1597.05"/>
    <n v="0"/>
    <s v="Direct Debit 000439 BANK-M S311052458400"/>
    <x v="3"/>
    <x v="6"/>
    <x v="1"/>
  </r>
  <r>
    <d v="2018-10-30T00:00:00"/>
    <n v="-85.7"/>
    <n v="-85.7"/>
    <n v="0"/>
    <s v="Direct Debit 452599 AAMI PI HPL077169729"/>
    <x v="3"/>
    <x v="11"/>
    <x v="1"/>
  </r>
  <r>
    <d v="2018-11-06T00:00:00"/>
    <n v="-700"/>
    <n v="-700"/>
    <n v="0"/>
    <s v="Transfer to xx1274 CommBank app"/>
    <x v="1"/>
    <x v="3"/>
    <x v="2"/>
  </r>
  <r>
    <d v="2018-11-07T00:00:00"/>
    <n v="-147.1"/>
    <n v="-147.1"/>
    <n v="0"/>
    <s v="CITY WEST WATER      NetBank BPAY 8789 121739219120"/>
    <x v="3"/>
    <x v="13"/>
    <x v="1"/>
  </r>
  <r>
    <d v="2018-11-07T00:00:00"/>
    <n v="-147.1"/>
    <n v="-147.1"/>
    <n v="0"/>
    <s v="CITY WEST WATER      NetBank BPAY 8789 121739220138"/>
    <x v="3"/>
    <x v="13"/>
    <x v="0"/>
  </r>
  <r>
    <d v="2018-11-07T00:00:00"/>
    <n v="700"/>
    <n v="700"/>
    <n v="0"/>
    <s v="Transfer from xx4836 NetBank payback"/>
    <x v="1"/>
    <x v="3"/>
    <x v="2"/>
  </r>
  <r>
    <d v="2018-11-08T00:00:00"/>
    <n v="1473"/>
    <n v="1473"/>
    <n v="0"/>
    <s v="Transfer from GURPINDER KAUR NetBank 70 tyquin st"/>
    <x v="2"/>
    <x v="4"/>
    <x v="1"/>
  </r>
  <r>
    <d v="2018-11-13T00:00:00"/>
    <n v="-55"/>
    <n v="-55"/>
    <n v="0"/>
    <s v="Transfer to CBA A/c NetBank 68 Tyquin St TPM"/>
    <x v="3"/>
    <x v="19"/>
    <x v="2"/>
  </r>
  <r>
    <d v="2018-11-13T00:00:00"/>
    <n v="-55"/>
    <n v="-55"/>
    <n v="0"/>
    <s v="Transfer to CBA A/c NetBank 70TyquinPropertMgt"/>
    <x v="3"/>
    <x v="19"/>
    <x v="2"/>
  </r>
  <r>
    <d v="2018-11-15T00:00:00"/>
    <n v="-87.97"/>
    <n v="-87.97"/>
    <n v="0"/>
    <s v="Direct Debit 452599 AAMI PI HPL071936456"/>
    <x v="3"/>
    <x v="11"/>
    <x v="0"/>
  </r>
  <r>
    <d v="2018-11-16T00:00:00"/>
    <n v="200"/>
    <n v="200"/>
    <n v="0"/>
    <s v="Direct Credit 421520 ANDREW MANOKARAN Mano"/>
    <x v="1"/>
    <x v="5"/>
    <x v="2"/>
  </r>
  <r>
    <d v="2018-11-20T00:00:00"/>
    <n v="200"/>
    <n v="200"/>
    <n v="0"/>
    <s v="Transfer from xx4836 NetBank monthly payment LT"/>
    <x v="1"/>
    <x v="3"/>
    <x v="2"/>
  </r>
  <r>
    <d v="2018-11-22T00:00:00"/>
    <n v="1290"/>
    <n v="1290"/>
    <n v="0"/>
    <s v="Transfer from UTTAMJEET SINGH CommBank app rent 68 tyquin st"/>
    <x v="2"/>
    <x v="4"/>
    <x v="0"/>
  </r>
  <r>
    <d v="2018-11-27T00:00:00"/>
    <n v="-1319.16"/>
    <n v="-1319.16"/>
    <n v="0"/>
    <s v="Direct Debit 012179 Advantedge PTVL ADV"/>
    <x v="3"/>
    <x v="6"/>
    <x v="0"/>
  </r>
  <r>
    <d v="2018-11-28T00:00:00"/>
    <n v="-1649.95"/>
    <n v="-1649.95"/>
    <n v="0"/>
    <s v="Direct Debit 000439 BANK-M S311052458400"/>
    <x v="3"/>
    <x v="6"/>
    <x v="1"/>
  </r>
  <r>
    <d v="2018-11-30T00:00:00"/>
    <n v="-85.7"/>
    <n v="-85.7"/>
    <n v="0"/>
    <s v="Direct Debit 452599 AAMI PI HPL077169729"/>
    <x v="3"/>
    <x v="11"/>
    <x v="1"/>
  </r>
  <r>
    <d v="2018-12-01T00:00:00"/>
    <n v="-331"/>
    <n v="-331"/>
    <n v="0"/>
    <s v="HOBSONS BAY COUNCIL  NetBank BPAY 39032 59020007004"/>
    <x v="3"/>
    <x v="7"/>
    <x v="1"/>
  </r>
  <r>
    <d v="2018-12-03T00:00:00"/>
    <n v="1700"/>
    <n v="1700"/>
    <n v="0"/>
    <s v="Transfer from xx4836 NetBank building permit"/>
    <x v="1"/>
    <x v="3"/>
    <x v="2"/>
  </r>
  <r>
    <d v="2018-12-04T00:00:00"/>
    <n v="-2420"/>
    <n v="-2420"/>
    <n v="0"/>
    <s v="Transfer to other Bank NetBank Lloyd Tyquin St"/>
    <x v="4"/>
    <x v="20"/>
    <x v="3"/>
  </r>
  <r>
    <d v="2018-12-04T00:00:00"/>
    <n v="1000"/>
    <n v="1000"/>
    <n v="0"/>
    <s v="Transfer from xx4836 CommBank app Lloyd payment"/>
    <x v="1"/>
    <x v="3"/>
    <x v="2"/>
  </r>
  <r>
    <d v="2018-12-04T00:00:00"/>
    <n v="1000"/>
    <n v="1000"/>
    <n v="0"/>
    <s v="Transfer from xx4836 CommBank app Andrew payment"/>
    <x v="1"/>
    <x v="5"/>
    <x v="2"/>
  </r>
  <r>
    <d v="2018-12-13T00:00:00"/>
    <n v="-55"/>
    <n v="-55"/>
    <n v="0"/>
    <s v="Transfer to CBA A/c NetBank 68 Tyquin St TPM"/>
    <x v="3"/>
    <x v="19"/>
    <x v="2"/>
  </r>
  <r>
    <d v="2018-12-13T00:00:00"/>
    <n v="-55"/>
    <n v="-55"/>
    <n v="0"/>
    <s v="Transfer to CBA A/c NetBank 70TyquinPropertMgt"/>
    <x v="3"/>
    <x v="19"/>
    <x v="2"/>
  </r>
  <r>
    <d v="2018-12-17T00:00:00"/>
    <n v="-87.97"/>
    <n v="-87.97"/>
    <n v="0"/>
    <s v="Direct Debit 452599 AAMI PI HPL071936456"/>
    <x v="3"/>
    <x v="11"/>
    <x v="0"/>
  </r>
  <r>
    <d v="2018-12-17T00:00:00"/>
    <n v="200"/>
    <n v="200"/>
    <n v="0"/>
    <s v="Direct Credit 421520 ANDREW MANOKARAN Mano"/>
    <x v="1"/>
    <x v="5"/>
    <x v="2"/>
  </r>
  <r>
    <d v="2018-12-20T00:00:00"/>
    <n v="200"/>
    <n v="200"/>
    <n v="0"/>
    <s v="Transfer from xx4836 NetBank monthly payment LT"/>
    <x v="1"/>
    <x v="3"/>
    <x v="2"/>
  </r>
  <r>
    <d v="2018-12-21T00:00:00"/>
    <n v="1290"/>
    <n v="1290"/>
    <n v="0"/>
    <s v="Transfer from UTTAMJEET SINGH CommBank app rent 68 tyquin st"/>
    <x v="2"/>
    <x v="4"/>
    <x v="0"/>
  </r>
  <r>
    <d v="2018-12-25T00:00:00"/>
    <n v="1473"/>
    <n v="1473"/>
    <n v="0"/>
    <s v="Transfer from GURPINDER KAUR NetBank 70 tyquin st"/>
    <x v="2"/>
    <x v="4"/>
    <x v="1"/>
  </r>
  <r>
    <d v="2018-12-27T00:00:00"/>
    <n v="-1277.07"/>
    <n v="-1277.07"/>
    <n v="0"/>
    <s v="Direct Debit 012179 Advantedge PTVL ADV"/>
    <x v="3"/>
    <x v="6"/>
    <x v="0"/>
  </r>
  <r>
    <d v="2018-12-28T00:00:00"/>
    <n v="-1574.19"/>
    <n v="-1574.19"/>
    <n v="0"/>
    <s v="Direct Debit 000439 BANK-M S311052458400"/>
    <x v="3"/>
    <x v="6"/>
    <x v="1"/>
  </r>
  <r>
    <d v="2019-01-02T00:00:00"/>
    <n v="-320"/>
    <n v="-320"/>
    <n v="0"/>
    <s v="HOBSONS BAY COUNCIL  NetBank BPAY 39032 59020006808"/>
    <x v="3"/>
    <x v="7"/>
    <x v="0"/>
  </r>
  <r>
    <d v="2019-01-02T00:00:00"/>
    <n v="-85.7"/>
    <n v="-85.7"/>
    <n v="0"/>
    <s v="Direct Debit 452599 AAMI PI HPL077169729"/>
    <x v="3"/>
    <x v="11"/>
    <x v="1"/>
  </r>
  <r>
    <d v="2019-01-13T00:00:00"/>
    <n v="-55"/>
    <n v="-55"/>
    <n v="0"/>
    <s v="Transfer to CBA A/c NetBank 68 Tyquin St TPM"/>
    <x v="3"/>
    <x v="19"/>
    <x v="2"/>
  </r>
  <r>
    <d v="2019-01-13T00:00:00"/>
    <n v="-55"/>
    <n v="-55"/>
    <n v="0"/>
    <s v="Transfer to CBA A/c NetBank 70TyquinPropertMgt"/>
    <x v="3"/>
    <x v="19"/>
    <x v="2"/>
  </r>
  <r>
    <d v="2019-01-15T00:00:00"/>
    <n v="-102.71"/>
    <n v="-102.71"/>
    <n v="0"/>
    <s v="Direct Debit 452599 AAMI PI HPL071936456"/>
    <x v="3"/>
    <x v="11"/>
    <x v="0"/>
  </r>
  <r>
    <d v="2019-01-16T00:00:00"/>
    <n v="200"/>
    <n v="200"/>
    <n v="0"/>
    <s v="Direct Credit 421520 ANDREW MANOKARAN Mano"/>
    <x v="1"/>
    <x v="5"/>
    <x v="2"/>
  </r>
  <r>
    <d v="2019-01-20T00:00:00"/>
    <n v="200"/>
    <n v="200"/>
    <n v="0"/>
    <s v="Transfer from xx4836 NetBank monthly payment LT"/>
    <x v="1"/>
    <x v="3"/>
    <x v="2"/>
  </r>
  <r>
    <d v="2019-01-21T00:00:00"/>
    <n v="1290"/>
    <n v="1290"/>
    <n v="0"/>
    <s v="Transfer from UTTAMJEET SINGH CommBank app rent 68 tyquin st"/>
    <x v="2"/>
    <x v="4"/>
    <x v="0"/>
  </r>
  <r>
    <d v="2019-01-21T00:00:00"/>
    <n v="5000"/>
    <n v="5000"/>
    <n v="0"/>
    <s v="Direct Credit 106600 ANDREW MANOKARAN Tyquin Project"/>
    <x v="1"/>
    <x v="5"/>
    <x v="2"/>
  </r>
  <r>
    <d v="2019-01-23T00:00:00"/>
    <n v="1473"/>
    <n v="1473"/>
    <n v="0"/>
    <s v="Transfer from GURPINDER KAUR NetBank 70 tyquin st"/>
    <x v="2"/>
    <x v="4"/>
    <x v="1"/>
  </r>
  <r>
    <d v="2019-01-25T00:00:00"/>
    <n v="-1319.33"/>
    <n v="-1319.33"/>
    <n v="0"/>
    <s v="Direct Debit 012179 Advantedge PTVL ADV"/>
    <x v="3"/>
    <x v="6"/>
    <x v="0"/>
  </r>
  <r>
    <d v="2019-01-25T00:00:00"/>
    <n v="5000"/>
    <n v="5000"/>
    <n v="0"/>
    <s v="Direct Credit 106600 ANDREW MANOKARAN Tyquin Street Proj"/>
    <x v="1"/>
    <x v="5"/>
    <x v="2"/>
  </r>
  <r>
    <d v="2019-01-29T00:00:00"/>
    <n v="-1396.75"/>
    <n v="-1396.75"/>
    <n v="0"/>
    <s v="Direct Debit 000439 BANK-M S311052458400"/>
    <x v="3"/>
    <x v="6"/>
    <x v="1"/>
  </r>
  <r>
    <d v="2019-01-30T00:00:00"/>
    <n v="-85.7"/>
    <n v="-85.7"/>
    <n v="0"/>
    <s v="Direct Debit 452599 AAMI PI HPL077169729"/>
    <x v="3"/>
    <x v="11"/>
    <x v="1"/>
  </r>
  <r>
    <d v="2019-01-31T00:00:00"/>
    <n v="5000"/>
    <n v="5000"/>
    <n v="0"/>
    <s v="Transfer from xx4836 CommBank app BuildPermitLT"/>
    <x v="1"/>
    <x v="3"/>
    <x v="2"/>
  </r>
  <r>
    <d v="2019-02-01T00:00:00"/>
    <n v="-225"/>
    <n v="-225"/>
    <n v="0"/>
    <s v="Transfer to other Bank NetBank 68Tyq GlassReplace"/>
    <x v="3"/>
    <x v="18"/>
    <x v="0"/>
  </r>
  <r>
    <d v="2019-02-01T00:00:00"/>
    <n v="-147.1"/>
    <n v="-147.1"/>
    <n v="0"/>
    <s v="CITY WEST WATER      NetBank BPAY 8789 121739219120"/>
    <x v="3"/>
    <x v="13"/>
    <x v="1"/>
  </r>
  <r>
    <d v="2019-02-01T00:00:00"/>
    <n v="-147.1"/>
    <n v="-147.1"/>
    <n v="0"/>
    <s v="CITY WEST WATER      NetBank BPAY 8789 121739220138"/>
    <x v="3"/>
    <x v="13"/>
    <x v="0"/>
  </r>
  <r>
    <d v="2019-02-13T00:00:00"/>
    <n v="-55"/>
    <n v="-55"/>
    <n v="0"/>
    <s v="Transfer to CBA A/c NetBank 68 Tyquin St TPM"/>
    <x v="3"/>
    <x v="19"/>
    <x v="2"/>
  </r>
  <r>
    <d v="2019-02-13T00:00:00"/>
    <n v="-55"/>
    <n v="-55"/>
    <n v="0"/>
    <s v="Transfer to CBA A/c NetBank 70TyquinPropertMgt"/>
    <x v="3"/>
    <x v="19"/>
    <x v="2"/>
  </r>
  <r>
    <d v="2019-02-14T00:00:00"/>
    <n v="5000"/>
    <n v="5000"/>
    <n v="0"/>
    <s v="Transfer from xx4836 NetBank BuildPermitLT"/>
    <x v="1"/>
    <x v="3"/>
    <x v="2"/>
  </r>
  <r>
    <d v="2019-02-15T00:00:00"/>
    <n v="-102.71"/>
    <n v="-102.71"/>
    <n v="0"/>
    <s v="Direct Debit 452599 AAMI PI HPL071936456"/>
    <x v="3"/>
    <x v="11"/>
    <x v="0"/>
  </r>
  <r>
    <d v="2019-02-18T00:00:00"/>
    <n v="200"/>
    <n v="200"/>
    <n v="0"/>
    <s v="Direct Credit 421520 ANDREW MANOKARAN Mano"/>
    <x v="1"/>
    <x v="5"/>
    <x v="2"/>
  </r>
  <r>
    <d v="2019-02-20T00:00:00"/>
    <n v="200"/>
    <n v="200"/>
    <n v="0"/>
    <s v="Transfer from xx4836 NetBank monthly payment LT"/>
    <x v="1"/>
    <x v="3"/>
    <x v="2"/>
  </r>
  <r>
    <d v="2019-02-21T00:00:00"/>
    <n v="-440"/>
    <n v="-440"/>
    <n v="0"/>
    <s v="Transfer to other Bank NetBank Q003027 Accounting Advise BCG"/>
    <x v="4"/>
    <x v="20"/>
    <x v="9"/>
  </r>
  <r>
    <d v="2019-02-21T00:00:00"/>
    <n v="1290"/>
    <n v="1290"/>
    <n v="0"/>
    <s v="Transfer from UTTAMJEET SINGH CommBank app rent 68 tyquin st"/>
    <x v="2"/>
    <x v="4"/>
    <x v="0"/>
  </r>
  <r>
    <d v="2019-02-25T00:00:00"/>
    <n v="-1295"/>
    <n v="-1295"/>
    <n v="0"/>
    <s v="Transfer to CBA A/c NetBank Energy Report"/>
    <x v="4"/>
    <x v="20"/>
    <x v="10"/>
  </r>
  <r>
    <d v="2019-02-25T00:00:00"/>
    <n v="-1000"/>
    <n v="-1000"/>
    <n v="0"/>
    <s v="Transfer to xx4836 NetBank"/>
    <x v="1"/>
    <x v="3"/>
    <x v="2"/>
  </r>
  <r>
    <d v="2019-02-27T00:00:00"/>
    <n v="-1319.38"/>
    <n v="-1319.38"/>
    <n v="0"/>
    <s v="Direct Debit 012179 Advantedge PTVL ADV"/>
    <x v="3"/>
    <x v="6"/>
    <x v="1"/>
  </r>
  <r>
    <d v="2019-02-27T00:00:00"/>
    <n v="1473"/>
    <n v="1473"/>
    <n v="0"/>
    <s v="Transfer from GURPINDER KAUR NetBank 70 tyquin st"/>
    <x v="2"/>
    <x v="4"/>
    <x v="1"/>
  </r>
  <r>
    <d v="2019-02-28T00:00:00"/>
    <n v="-9955"/>
    <n v="-9955"/>
    <n v="0"/>
    <s v="Transfer to other Bank NetBank DSP Arch Build Per"/>
    <x v="4"/>
    <x v="20"/>
    <x v="3"/>
  </r>
  <r>
    <d v="2019-02-28T00:00:00"/>
    <n v="-1360.93"/>
    <n v="-1360.93"/>
    <n v="0"/>
    <s v="Direct Debit 000439 BANK-M S311052458400"/>
    <x v="3"/>
    <x v="6"/>
    <x v="1"/>
  </r>
  <r>
    <d v="2019-03-01T00:00:00"/>
    <n v="-85.7"/>
    <n v="-85.7"/>
    <n v="0"/>
    <s v="Direct Debit 452599 AAMI PI HPL077169729"/>
    <x v="3"/>
    <x v="11"/>
    <x v="1"/>
  </r>
  <r>
    <d v="2019-03-05T00:00:00"/>
    <n v="-331"/>
    <n v="-331"/>
    <n v="0"/>
    <s v="HOBSONS BAY COUNCIL  NetBank BPAY 39032 59020007004"/>
    <x v="3"/>
    <x v="7"/>
    <x v="1"/>
  </r>
  <r>
    <d v="2019-03-05T00:00:00"/>
    <n v="-322.7"/>
    <n v="-322.7"/>
    <n v="0"/>
    <s v="HOBSONS BAY COUNCIL  NetBank BPAY 39032 59020006808"/>
    <x v="3"/>
    <x v="7"/>
    <x v="0"/>
  </r>
  <r>
    <d v="2019-03-13T00:00:00"/>
    <n v="-55"/>
    <n v="-55"/>
    <n v="0"/>
    <s v="Transfer to CBA A/c NetBank 68 Tyquin St TPM"/>
    <x v="3"/>
    <x v="19"/>
    <x v="2"/>
  </r>
  <r>
    <d v="2019-03-13T00:00:00"/>
    <n v="-55"/>
    <n v="-55"/>
    <n v="0"/>
    <s v="Transfer to CBA A/c NetBank 70TyquinPropertMgt"/>
    <x v="3"/>
    <x v="19"/>
    <x v="2"/>
  </r>
  <r>
    <d v="2019-03-14T00:00:00"/>
    <n v="1000"/>
    <n v="1000"/>
    <n v="0"/>
    <s v="Transfer from xx8759 CommBank app Payback"/>
    <x v="1"/>
    <x v="3"/>
    <x v="2"/>
  </r>
  <r>
    <d v="2019-03-15T00:00:00"/>
    <n v="-102.71"/>
    <n v="-102.71"/>
    <n v="0"/>
    <s v="Direct Debit 452599 AAMI PI HPL071936456"/>
    <x v="3"/>
    <x v="11"/>
    <x v="0"/>
  </r>
  <r>
    <d v="2019-03-18T00:00:00"/>
    <n v="200"/>
    <n v="200"/>
    <n v="0"/>
    <s v="Direct Credit 421520 ANDREW MANOKARAN Mano"/>
    <x v="1"/>
    <x v="5"/>
    <x v="2"/>
  </r>
  <r>
    <d v="2019-03-20T00:00:00"/>
    <n v="-500"/>
    <n v="-500"/>
    <n v="0"/>
    <s v="Transfer to xx8759 NetBank Payment LT"/>
    <x v="1"/>
    <x v="3"/>
    <x v="2"/>
  </r>
  <r>
    <d v="2019-03-20T00:00:00"/>
    <n v="200"/>
    <n v="200"/>
    <n v="0"/>
    <s v="Transfer from xx4836 NetBank monthly payment LT"/>
    <x v="1"/>
    <x v="3"/>
    <x v="2"/>
  </r>
  <r>
    <d v="2019-03-20T00:00:00"/>
    <n v="1473"/>
    <n v="1473"/>
    <n v="0"/>
    <s v="Transfer From MANJIT SINGH CREDIT TO ACCOUNT"/>
    <x v="2"/>
    <x v="4"/>
    <x v="1"/>
  </r>
  <r>
    <d v="2019-03-22T00:00:00"/>
    <n v="1290"/>
    <n v="1290"/>
    <n v="0"/>
    <s v="Transfer from UTTAMJEET SINGH CommBank app rent 68 tyquin st"/>
    <x v="2"/>
    <x v="4"/>
    <x v="0"/>
  </r>
  <r>
    <d v="2019-03-26T00:00:00"/>
    <n v="-250"/>
    <n v="-250"/>
    <n v="0"/>
    <s v="Transfer to xx1274 NetBank"/>
    <x v="1"/>
    <x v="3"/>
    <x v="2"/>
  </r>
  <r>
    <d v="2019-03-27T00:00:00"/>
    <n v="-1192.71"/>
    <n v="-1192.71"/>
    <n v="0"/>
    <s v="Direct Debit 012179 Advantedge PTVL ADV"/>
    <x v="3"/>
    <x v="6"/>
    <x v="0"/>
  </r>
  <r>
    <d v="2019-03-27T00:00:00"/>
    <n v="-250"/>
    <n v="-250"/>
    <n v="0"/>
    <s v="Transfer to xx1274 NetBank"/>
    <x v="1"/>
    <x v="3"/>
    <x v="2"/>
  </r>
  <r>
    <d v="2019-03-28T00:00:00"/>
    <n v="-1229.23"/>
    <n v="-1229.23"/>
    <n v="0"/>
    <s v="Direct Debit 000439 BANK-M S311052458400"/>
    <x v="3"/>
    <x v="6"/>
    <x v="1"/>
  </r>
  <r>
    <d v="2019-04-01T00:00:00"/>
    <n v="-85.7"/>
    <n v="-85.7"/>
    <n v="0"/>
    <s v="Direct Debit 452599 AAMI PI HPL077169729"/>
    <x v="3"/>
    <x v="11"/>
    <x v="1"/>
  </r>
  <r>
    <d v="2019-04-03T00:00:00"/>
    <n v="500"/>
    <n v="500"/>
    <n v="0"/>
    <s v="Transfer from xx1274 NetBank Payback"/>
    <x v="1"/>
    <x v="3"/>
    <x v="2"/>
  </r>
  <r>
    <d v="2019-04-05T00:00:00"/>
    <n v="5000"/>
    <n v="5000"/>
    <n v="0"/>
    <s v="Direct Credit 106600 ANDREW MANOKARAN Lloyd Thomas CBA"/>
    <x v="1"/>
    <x v="5"/>
    <x v="2"/>
  </r>
  <r>
    <d v="2019-04-08T00:00:00"/>
    <n v="-4000"/>
    <n v="-4000"/>
    <n v="0"/>
    <s v="Transfer to CBA A/c NetBank Thomic"/>
    <x v="6"/>
    <x v="21"/>
    <x v="2"/>
  </r>
  <r>
    <d v="2019-04-09T00:00:00"/>
    <n v="-2000"/>
    <n v="-2000"/>
    <n v="0"/>
    <s v="Transfer to other Bank NetBank Payback LT"/>
    <x v="1"/>
    <x v="3"/>
    <x v="2"/>
  </r>
  <r>
    <d v="2019-04-09T00:00:00"/>
    <n v="10000"/>
    <n v="10000"/>
    <n v="0"/>
    <s v="Transfer from xx4836 NetBank Payment LT"/>
    <x v="1"/>
    <x v="3"/>
    <x v="2"/>
  </r>
  <r>
    <d v="2019-04-10T00:00:00"/>
    <n v="5000"/>
    <n v="5000"/>
    <n v="0"/>
    <s v="Direct Credit 106600 ANDREW MANOKARAN Lloyd Thomas CBA"/>
    <x v="1"/>
    <x v="5"/>
    <x v="2"/>
  </r>
  <r>
    <d v="2019-04-13T00:00:00"/>
    <n v="-55"/>
    <n v="-55"/>
    <n v="0"/>
    <s v="Transfer to CBA A/c NetBank 68 Tyquin St TPM"/>
    <x v="3"/>
    <x v="19"/>
    <x v="2"/>
  </r>
  <r>
    <d v="2019-04-13T00:00:00"/>
    <n v="-55"/>
    <n v="-55"/>
    <n v="0"/>
    <s v="Transfer to CBA A/c NetBank 70TyquinPropertMgt"/>
    <x v="3"/>
    <x v="19"/>
    <x v="2"/>
  </r>
  <r>
    <d v="2019-04-14T00:00:00"/>
    <n v="-3107.5"/>
    <n v="-3107.5"/>
    <n v="0"/>
    <s v="Transfer to other Bank NetBank Legal Advise"/>
    <x v="7"/>
    <x v="22"/>
    <x v="2"/>
  </r>
  <r>
    <d v="2019-04-16T00:00:00"/>
    <n v="-102.71"/>
    <n v="-102.71"/>
    <n v="0"/>
    <s v="Direct Debit 452599 AAMI PI HPL071936456"/>
    <x v="3"/>
    <x v="11"/>
    <x v="0"/>
  </r>
  <r>
    <d v="2019-04-16T00:00:00"/>
    <n v="200"/>
    <n v="200"/>
    <n v="0"/>
    <s v="Direct Credit 421520 ANDREW MANOKARAN Mano"/>
    <x v="1"/>
    <x v="5"/>
    <x v="2"/>
  </r>
  <r>
    <d v="2019-04-17T00:00:00"/>
    <n v="1473"/>
    <n v="1473"/>
    <n v="0"/>
    <s v="Transfer from GURPINDER KAUR NetBank 70 tyquin st"/>
    <x v="2"/>
    <x v="4"/>
    <x v="1"/>
  </r>
  <r>
    <d v="2019-04-20T00:00:00"/>
    <n v="200"/>
    <n v="200"/>
    <n v="0"/>
    <s v="Transfer from xx4836 NetBank monthly payment LT"/>
    <x v="1"/>
    <x v="3"/>
    <x v="2"/>
  </r>
  <r>
    <d v="2019-04-20T00:00:00"/>
    <n v="250"/>
    <n v="250"/>
    <n v="0"/>
    <s v="Transfer from xx4836 NetBank Lloyd"/>
    <x v="1"/>
    <x v="3"/>
    <x v="2"/>
  </r>
  <r>
    <d v="2019-04-23T00:00:00"/>
    <n v="1290"/>
    <n v="1290"/>
    <n v="0"/>
    <s v="Transfer from UTTAMJEET SINGH CommBank app rent 68 tyquin st"/>
    <x v="2"/>
    <x v="4"/>
    <x v="0"/>
  </r>
  <r>
    <d v="2019-04-26T00:00:00"/>
    <n v="-1319.54"/>
    <n v="-1319.54"/>
    <n v="0"/>
    <s v="Direct Debit 012179 Advantedge PTVL ADV"/>
    <x v="3"/>
    <x v="6"/>
    <x v="0"/>
  </r>
  <r>
    <d v="2019-04-29T00:00:00"/>
    <n v="-1360.93"/>
    <n v="-1360.93"/>
    <n v="0"/>
    <s v="Direct Debit 000439 BANK-M S311052458400"/>
    <x v="3"/>
    <x v="6"/>
    <x v="1"/>
  </r>
  <r>
    <d v="2019-04-30T00:00:00"/>
    <n v="-85.7"/>
    <n v="-85.7"/>
    <n v="0"/>
    <s v="Direct Debit 452599 AAMI PI HPL077169729"/>
    <x v="3"/>
    <x v="11"/>
    <x v="1"/>
  </r>
  <r>
    <d v="2019-05-01T00:00:00"/>
    <n v="-147.1"/>
    <n v="-147.1"/>
    <n v="0"/>
    <s v="CITY WEST WATER      NetBank BPAY 8789 121739220138"/>
    <x v="3"/>
    <x v="13"/>
    <x v="0"/>
  </r>
  <r>
    <d v="2019-05-01T00:00:00"/>
    <n v="-147.1"/>
    <n v="-147.1"/>
    <n v="0"/>
    <s v="CITY WEST WATER      NetBank BPAY 8789 121739219120"/>
    <x v="3"/>
    <x v="13"/>
    <x v="1"/>
  </r>
  <r>
    <d v="2019-05-01T00:00:00"/>
    <n v="500"/>
    <n v="500"/>
    <n v="0"/>
    <s v="Transfer from xx1274 NetBank Lloyd Payment"/>
    <x v="1"/>
    <x v="3"/>
    <x v="2"/>
  </r>
  <r>
    <d v="2019-05-02T00:00:00"/>
    <n v="-1500"/>
    <n v="-1500"/>
    <n v="0"/>
    <s v="Transfer to xx4353 CommBank app"/>
    <x v="1"/>
    <x v="3"/>
    <x v="2"/>
  </r>
  <r>
    <d v="2019-05-06T00:00:00"/>
    <n v="-2032"/>
    <n v="-2032"/>
    <n v="0"/>
    <s v="Transfer to other Bank NetBank subdivision"/>
    <x v="8"/>
    <x v="21"/>
    <x v="2"/>
  </r>
  <r>
    <d v="2019-05-07T00:00:00"/>
    <n v="2032"/>
    <n v="2032"/>
    <n v="0"/>
    <s v="Direct Credit 068523 TRANS RECALLED subdivision"/>
    <x v="1"/>
    <x v="3"/>
    <x v="2"/>
  </r>
  <r>
    <d v="2019-05-08T00:00:00"/>
    <n v="-2032"/>
    <n v="-2032"/>
    <n v="0"/>
    <s v="Transfer to other Bank NetBank subdivision"/>
    <x v="1"/>
    <x v="3"/>
    <x v="2"/>
  </r>
  <r>
    <d v="2019-05-13T00:00:00"/>
    <n v="-1600"/>
    <n v="-1600"/>
    <n v="0"/>
    <s v="Transfer to other Bank NetBank Project Management"/>
    <x v="6"/>
    <x v="21"/>
    <x v="2"/>
  </r>
  <r>
    <d v="2019-05-13T00:00:00"/>
    <n v="-55"/>
    <n v="-55"/>
    <n v="0"/>
    <s v="Transfer to CBA A/c NetBank 68 Tyquin St TPM"/>
    <x v="3"/>
    <x v="19"/>
    <x v="2"/>
  </r>
  <r>
    <d v="2019-05-13T00:00:00"/>
    <n v="-55"/>
    <n v="-55"/>
    <n v="0"/>
    <s v="Transfer to CBA A/c NetBank 70TyquinPropertMgt"/>
    <x v="3"/>
    <x v="19"/>
    <x v="2"/>
  </r>
  <r>
    <d v="2019-05-15T00:00:00"/>
    <n v="-102.71"/>
    <n v="-102.71"/>
    <n v="0"/>
    <s v="Direct Debit 452599 AAMI PI HPL071936456"/>
    <x v="3"/>
    <x v="11"/>
    <x v="0"/>
  </r>
  <r>
    <d v="2019-05-15T00:00:00"/>
    <n v="2000"/>
    <n v="2000"/>
    <n v="0"/>
    <s v="Transfer from xx1274 NetBank Lloyd"/>
    <x v="1"/>
    <x v="3"/>
    <x v="2"/>
  </r>
  <r>
    <d v="2019-05-16T00:00:00"/>
    <n v="-3740"/>
    <n v="-3740"/>
    <n v="0"/>
    <s v="Transfer to CBA A/c NetBank 6981Depo"/>
    <x v="4"/>
    <x v="20"/>
    <x v="11"/>
  </r>
  <r>
    <d v="2019-05-16T00:00:00"/>
    <n v="200"/>
    <n v="200"/>
    <n v="0"/>
    <s v="Direct Credit 421520 ANDREW MANOKARAN Mano"/>
    <x v="1"/>
    <x v="5"/>
    <x v="2"/>
  </r>
  <r>
    <d v="2019-05-20T00:00:00"/>
    <n v="200"/>
    <n v="200"/>
    <n v="0"/>
    <s v="Transfer from xx1274 NetBank monthly payment LT"/>
    <x v="1"/>
    <x v="3"/>
    <x v="2"/>
  </r>
  <r>
    <d v="2019-05-21T00:00:00"/>
    <n v="-108.4"/>
    <n v="-108.4"/>
    <n v="0"/>
    <s v="Transfer to xx1274 CommBank app Council ammendment"/>
    <x v="8"/>
    <x v="21"/>
    <x v="2"/>
  </r>
  <r>
    <d v="2019-05-21T00:00:00"/>
    <n v="1290"/>
    <n v="1290"/>
    <n v="0"/>
    <s v="Transfer from UTTAMJEET SINGH CommBank app rent 68 tyquin st"/>
    <x v="2"/>
    <x v="4"/>
    <x v="0"/>
  </r>
  <r>
    <d v="2019-05-21T00:00:00"/>
    <n v="1473"/>
    <n v="1473"/>
    <n v="0"/>
    <s v="Transfer from GURPINDER KAUR NetBank 70 tyquin st"/>
    <x v="2"/>
    <x v="4"/>
    <x v="1"/>
  </r>
  <r>
    <d v="2019-05-26T00:00:00"/>
    <n v="-1425"/>
    <n v="-1425"/>
    <n v="0"/>
    <s v="Transfer to other Bank NetBank 1212 BPA Lloyd"/>
    <x v="4"/>
    <x v="20"/>
    <x v="2"/>
  </r>
  <r>
    <d v="2019-05-26T00:00:00"/>
    <n v="-553"/>
    <n v="-553"/>
    <n v="0"/>
    <s v="Transfer to other Bank NetBank MCS Connect"/>
    <x v="8"/>
    <x v="21"/>
    <x v="2"/>
  </r>
  <r>
    <d v="2019-05-27T00:00:00"/>
    <n v="-1297.81"/>
    <n v="-1297.81"/>
    <n v="0"/>
    <s v="Direct Debit 012179 Advantedge PTVL ADV"/>
    <x v="3"/>
    <x v="6"/>
    <x v="0"/>
  </r>
  <r>
    <d v="2019-05-27T00:00:00"/>
    <n v="-500"/>
    <n v="-500"/>
    <n v="0"/>
    <s v="Transfer to xx4836 NetBank"/>
    <x v="1"/>
    <x v="3"/>
    <x v="2"/>
  </r>
  <r>
    <d v="2019-05-27T00:00:00"/>
    <n v="-500"/>
    <n v="-500"/>
    <n v="0"/>
    <s v="Transfer to xx4549 NetBank"/>
    <x v="1"/>
    <x v="3"/>
    <x v="2"/>
  </r>
  <r>
    <d v="2019-05-27T00:00:00"/>
    <n v="2000"/>
    <n v="2000"/>
    <n v="0"/>
    <s v="Direct Credit 106600 LLOYD THOMAS Lloyd Thomas"/>
    <x v="1"/>
    <x v="3"/>
    <x v="2"/>
  </r>
  <r>
    <d v="2019-05-28T00:00:00"/>
    <n v="-1317.03"/>
    <n v="-1317.03"/>
    <n v="0"/>
    <s v="Direct Debit 000439 BANK-M S311052458400"/>
    <x v="3"/>
    <x v="6"/>
    <x v="1"/>
  </r>
  <r>
    <d v="2019-05-30T00:00:00"/>
    <n v="-85.7"/>
    <n v="-85.7"/>
    <n v="0"/>
    <s v="Direct Debit 452599 AAMI PI HPL077169729"/>
    <x v="3"/>
    <x v="11"/>
    <x v="1"/>
  </r>
  <r>
    <d v="2019-05-31T00:00:00"/>
    <n v="500"/>
    <n v="500"/>
    <n v="0"/>
    <s v="Transfer from xx4549 NetBank"/>
    <x v="1"/>
    <x v="3"/>
    <x v="2"/>
  </r>
  <r>
    <d v="2019-05-31T00:00:00"/>
    <n v="500"/>
    <n v="500"/>
    <n v="0"/>
    <s v="Transfer from xx4836 NetBank"/>
    <x v="1"/>
    <x v="3"/>
    <x v="2"/>
  </r>
  <r>
    <d v="2019-06-03T00:00:00"/>
    <n v="-6600"/>
    <n v="-6600"/>
    <n v="0"/>
    <s v="Transfer to other Bank NetBank Bank Eval"/>
    <x v="9"/>
    <x v="23"/>
    <x v="12"/>
  </r>
  <r>
    <d v="2019-06-03T00:00:00"/>
    <n v="500"/>
    <n v="500"/>
    <n v="0"/>
    <s v="Direct Credit 106600 LLOYD THOMAS Lloyd"/>
    <x v="1"/>
    <x v="3"/>
    <x v="2"/>
  </r>
  <r>
    <d v="2019-06-04T00:00:00"/>
    <n v="1473"/>
    <n v="1473"/>
    <n v="0"/>
    <s v="Transfer from GURPINDER KAUR NetBank 70 tyquin st"/>
    <x v="2"/>
    <x v="4"/>
    <x v="1"/>
  </r>
  <r>
    <d v="2019-06-05T00:00:00"/>
    <n v="-99"/>
    <n v="-99"/>
    <n v="0"/>
    <s v="Transfer to other Bank CommBank app repairTap 68Tyquin"/>
    <x v="3"/>
    <x v="18"/>
    <x v="0"/>
  </r>
  <r>
    <d v="2019-06-13T00:00:00"/>
    <n v="-55"/>
    <n v="-55"/>
    <n v="0"/>
    <s v="Transfer to CBA A/c NetBank 68 Tyquin St TPM"/>
    <x v="3"/>
    <x v="19"/>
    <x v="2"/>
  </r>
  <r>
    <d v="2019-06-13T00:00:00"/>
    <n v="-55"/>
    <n v="-55"/>
    <n v="0"/>
    <s v="Transfer to CBA A/c NetBank 70TyquinPropertMgt"/>
    <x v="3"/>
    <x v="19"/>
    <x v="2"/>
  </r>
  <r>
    <d v="2019-06-15T00:00:00"/>
    <n v="-331"/>
    <n v="-331"/>
    <n v="0"/>
    <s v="HOBSONS BAY COUNCIL  NetBank BPAY 39032 59020007004"/>
    <x v="3"/>
    <x v="7"/>
    <x v="1"/>
  </r>
  <r>
    <d v="2019-06-15T00:00:00"/>
    <n v="-320"/>
    <n v="-320"/>
    <n v="0"/>
    <s v="HOBSONS BAY COUNCIL  NetBank BPAY 39032 59020006808"/>
    <x v="3"/>
    <x v="7"/>
    <x v="0"/>
  </r>
  <r>
    <d v="2019-06-17T00:00:00"/>
    <n v="-102.71"/>
    <n v="-102.71"/>
    <n v="0"/>
    <s v="Direct Debit 452599 AAMI PI HPL071936456"/>
    <x v="3"/>
    <x v="11"/>
    <x v="0"/>
  </r>
  <r>
    <d v="2019-06-17T00:00:00"/>
    <n v="200"/>
    <n v="200"/>
    <n v="0"/>
    <s v="Direct Credit 421520 ANDREW MANOKARAN Mano"/>
    <x v="1"/>
    <x v="5"/>
    <x v="2"/>
  </r>
  <r>
    <d v="2019-06-20T00:00:00"/>
    <n v="200"/>
    <n v="200"/>
    <n v="0"/>
    <s v="Transfer from xx1274 NetBank monthly payment LT"/>
    <x v="1"/>
    <x v="3"/>
    <x v="2"/>
  </r>
  <r>
    <d v="2019-06-21T00:00:00"/>
    <n v="1290"/>
    <n v="1290"/>
    <n v="0"/>
    <s v="Transfer from UTTAMJEET SINGH CommBank app rent 68 tyquin st"/>
    <x v="2"/>
    <x v="4"/>
    <x v="0"/>
  </r>
  <r>
    <d v="2019-06-23T00:00:00"/>
    <n v="-500"/>
    <n v="-500"/>
    <n v="0"/>
    <s v="Transfer to CBA A/c NetBank Estate Masters"/>
    <x v="5"/>
    <x v="24"/>
    <x v="2"/>
  </r>
  <r>
    <d v="2019-06-23T00:00:00"/>
    <n v="-350"/>
    <n v="-350"/>
    <n v="0"/>
    <s v="Transfer to other Bank NetBank Hot water unit"/>
    <x v="3"/>
    <x v="18"/>
    <x v="1"/>
  </r>
  <r>
    <d v="2019-06-24T00:00:00"/>
    <n v="2000"/>
    <n v="2000"/>
    <n v="0"/>
    <s v="Direct Credit 106600 LLOYD THOMAS Lloyd Thomas"/>
    <x v="1"/>
    <x v="3"/>
    <x v="2"/>
  </r>
  <r>
    <d v="2019-06-27T00:00:00"/>
    <n v="-1359.51"/>
    <n v="-1359.51"/>
    <n v="0"/>
    <s v="Direct Debit 012179 Advantedge PTVL ADV"/>
    <x v="3"/>
    <x v="6"/>
    <x v="0"/>
  </r>
  <r>
    <d v="2019-06-28T00:00:00"/>
    <n v="-1328.78"/>
    <n v="-1328.78"/>
    <n v="0"/>
    <s v="Direct Debit 000439 BANK-M S311052458400"/>
    <x v="3"/>
    <x v="6"/>
    <x v="1"/>
  </r>
  <r>
    <d v="2019-06-30T00:00:00"/>
    <n v="-650"/>
    <n v="-650"/>
    <n v="0"/>
    <s v="Transfer to xx4549 NetBank"/>
    <x v="1"/>
    <x v="3"/>
    <x v="2"/>
  </r>
  <r>
    <d v="2019-07-01T00:00:00"/>
    <n v="-770"/>
    <n v="-770"/>
    <n v="0"/>
    <s v="Transfer to CBA A/c NetBank EngineerAmmendBuil"/>
    <x v="4"/>
    <x v="20"/>
    <x v="13"/>
  </r>
  <r>
    <d v="2019-07-01T00:00:00"/>
    <n v="650"/>
    <n v="650"/>
    <n v="0"/>
    <s v="Transfer from xx4836 NetBank lloyd payback"/>
    <x v="1"/>
    <x v="3"/>
    <x v="2"/>
  </r>
  <r>
    <d v="2019-07-02T00:00:00"/>
    <n v="-85.7"/>
    <n v="-85.7"/>
    <n v="0"/>
    <s v="Direct Debit 452599 AAMI PI HPL077169729"/>
    <x v="3"/>
    <x v="11"/>
    <x v="1"/>
  </r>
  <r>
    <d v="2019-07-11T00:00:00"/>
    <n v="1473"/>
    <n v="1473"/>
    <n v="0"/>
    <s v="Transfer from GURPINDER KAUR NetBank 70 tyquin st"/>
    <x v="2"/>
    <x v="4"/>
    <x v="1"/>
  </r>
  <r>
    <d v="2019-07-13T00:00:00"/>
    <n v="-55"/>
    <n v="-55"/>
    <n v="0"/>
    <s v="Transfer to CBA A/c NetBank 68 Tyquin St TPM"/>
    <x v="3"/>
    <x v="19"/>
    <x v="2"/>
  </r>
  <r>
    <d v="2019-07-13T00:00:00"/>
    <n v="-55"/>
    <n v="-55"/>
    <n v="0"/>
    <s v="Transfer to CBA A/c NetBank 70TyquinPropertMgt"/>
    <x v="3"/>
    <x v="19"/>
    <x v="2"/>
  </r>
  <r>
    <d v="2019-07-15T00:00:00"/>
    <n v="-2100"/>
    <n v="-2100"/>
    <n v="0"/>
    <s v="Transfer to other Bank CommBank app section 173"/>
    <x v="8"/>
    <x v="21"/>
    <x v="2"/>
  </r>
  <r>
    <d v="2019-07-15T00:00:00"/>
    <n v="100"/>
    <n v="100"/>
    <n v="0"/>
    <s v="Transfer from xx2863 CommBank app Lloyd"/>
    <x v="1"/>
    <x v="3"/>
    <x v="2"/>
  </r>
  <r>
    <d v="2019-07-15T00:00:00"/>
    <n v="550"/>
    <n v="550"/>
    <n v="0"/>
    <s v="Transfer from xx2863 CommBank app Loan"/>
    <x v="1"/>
    <x v="3"/>
    <x v="2"/>
  </r>
  <r>
    <d v="2019-07-15T00:00:00"/>
    <n v="5000"/>
    <n v="5000"/>
    <n v="0"/>
    <s v="Direct Credit 106600 LLOYD THOMAS Lloyd Thomas"/>
    <x v="1"/>
    <x v="3"/>
    <x v="2"/>
  </r>
  <r>
    <d v="2019-07-16T00:00:00"/>
    <n v="-102.71"/>
    <n v="-102.71"/>
    <n v="0"/>
    <s v="Direct Debit 452599 AAMI PI HPL071936456"/>
    <x v="3"/>
    <x v="11"/>
    <x v="0"/>
  </r>
  <r>
    <d v="2019-07-16T00:00:00"/>
    <n v="200"/>
    <n v="200"/>
    <n v="0"/>
    <s v="Direct Credit 421520 ANDREW MANOKARAN Mano"/>
    <x v="1"/>
    <x v="5"/>
    <x v="2"/>
  </r>
  <r>
    <d v="2019-07-16T00:00:00"/>
    <n v="5000"/>
    <n v="5000"/>
    <n v="0"/>
    <s v="Direct Credit 106600 ANDREW MANOKARAN Tyquin Street"/>
    <x v="1"/>
    <x v="5"/>
    <x v="2"/>
  </r>
  <r>
    <d v="2019-07-17T00:00:00"/>
    <n v="-5365.2"/>
    <n v="-5365.2"/>
    <n v="0"/>
    <s v="Transfer to other Bank NetBank City West Water"/>
    <x v="8"/>
    <x v="21"/>
    <x v="2"/>
  </r>
  <r>
    <d v="2019-07-17T00:00:00"/>
    <n v="-438.8"/>
    <n v="-438.8"/>
    <n v="0"/>
    <s v="Transfer to other Bank NetBank 70 Tyquin St Rudy"/>
    <x v="3"/>
    <x v="18"/>
    <x v="1"/>
  </r>
  <r>
    <d v="2019-07-18T00:00:00"/>
    <n v="5000"/>
    <n v="5000"/>
    <n v="0"/>
    <s v="Direct Credit 106600 ANDREW MANOKARAN Tyquin Street"/>
    <x v="1"/>
    <x v="5"/>
    <x v="2"/>
  </r>
  <r>
    <d v="2019-07-20T00:00:00"/>
    <n v="200"/>
    <n v="200"/>
    <n v="0"/>
    <s v="Transfer from xx1274 NetBank monthly payment LT"/>
    <x v="1"/>
    <x v="3"/>
    <x v="2"/>
  </r>
  <r>
    <d v="2019-07-23T00:00:00"/>
    <n v="-3600"/>
    <n v="-3600"/>
    <n v="0"/>
    <s v="Transfer to other Bank NetBank NBN"/>
    <x v="8"/>
    <x v="21"/>
    <x v="2"/>
  </r>
  <r>
    <d v="2019-07-23T00:00:00"/>
    <n v="1290"/>
    <n v="1290"/>
    <n v="0"/>
    <s v="Transfer from UTTAMJEET SINGH CommBank app rent 68 tyquin st"/>
    <x v="2"/>
    <x v="4"/>
    <x v="0"/>
  </r>
  <r>
    <d v="2019-07-26T00:00:00"/>
    <n v="-1309.67"/>
    <n v="-1309.67"/>
    <n v="0"/>
    <s v="Direct Debit 012179 Advantedge PTVL ADV"/>
    <x v="3"/>
    <x v="6"/>
    <x v="0"/>
  </r>
  <r>
    <d v="2019-07-29T00:00:00"/>
    <n v="-9000"/>
    <n v="-9000"/>
    <n v="0"/>
    <s v="Transfer to other Bank NetBank PowerCorp01"/>
    <x v="8"/>
    <x v="21"/>
    <x v="2"/>
  </r>
  <r>
    <d v="2019-07-29T00:00:00"/>
    <n v="-1187.53"/>
    <n v="-1187.53"/>
    <n v="0"/>
    <s v="Direct Debit 000439 BANK-M S311052458400"/>
    <x v="3"/>
    <x v="6"/>
    <x v="1"/>
  </r>
  <r>
    <d v="2019-07-29T00:00:00"/>
    <n v="5000"/>
    <n v="5000"/>
    <n v="0"/>
    <s v="Direct Credit 106600 LLOYD THOMAS Lloyd Thomas"/>
    <x v="1"/>
    <x v="3"/>
    <x v="2"/>
  </r>
  <r>
    <d v="2019-07-30T00:00:00"/>
    <n v="-225.98"/>
    <n v="-225.98"/>
    <n v="0"/>
    <s v="CITY WEST WATER      NetBank BPAY 8789 121739220138"/>
    <x v="3"/>
    <x v="13"/>
    <x v="0"/>
  </r>
  <r>
    <d v="2019-07-30T00:00:00"/>
    <n v="-225.98"/>
    <n v="-225.98"/>
    <n v="0"/>
    <s v="CITY WEST WATER      NetBank BPAY 8789 121739219120"/>
    <x v="3"/>
    <x v="13"/>
    <x v="1"/>
  </r>
  <r>
    <d v="2019-07-30T00:00:00"/>
    <n v="-92.13"/>
    <n v="-92.13"/>
    <n v="0"/>
    <s v="Direct Debit 452599 AAMI PI HPL077169729"/>
    <x v="3"/>
    <x v="11"/>
    <x v="1"/>
  </r>
  <r>
    <d v="2019-07-31T00:00:00"/>
    <n v="-1000"/>
    <n v="-1000"/>
    <n v="0"/>
    <s v="Transfer to other Bank NetBank PowerCorp02"/>
    <x v="8"/>
    <x v="21"/>
    <x v="2"/>
  </r>
  <r>
    <d v="2019-07-31T00:00:00"/>
    <n v="1000"/>
    <n v="1000"/>
    <n v="0"/>
    <s v="Direct Credit 106600 LLOYD THOMAS Lloyd Thomas"/>
    <x v="1"/>
    <x v="3"/>
    <x v="2"/>
  </r>
  <r>
    <d v="2019-08-05T00:00:00"/>
    <n v="2000"/>
    <n v="2000"/>
    <n v="0"/>
    <s v="Direct Credit 106600 ANDREW MANOKARAN Andrew Tyquin"/>
    <x v="1"/>
    <x v="5"/>
    <x v="2"/>
  </r>
  <r>
    <d v="2019-08-06T00:00:00"/>
    <n v="-1000"/>
    <n v="-1000"/>
    <n v="0"/>
    <s v="Transfer to xx1274 CommBank app"/>
    <x v="1"/>
    <x v="3"/>
    <x v="2"/>
  </r>
  <r>
    <d v="2019-08-06T00:00:00"/>
    <n v="-635"/>
    <n v="-635"/>
    <n v="0"/>
    <s v="Transfer to other Bank CommBank app city west water"/>
    <x v="8"/>
    <x v="21"/>
    <x v="2"/>
  </r>
  <r>
    <d v="2019-08-08T00:00:00"/>
    <n v="-525"/>
    <n v="-525"/>
    <n v="0"/>
    <s v="SROVIC LAND TAX      NetBank BPAY 5249 26934936"/>
    <x v="3"/>
    <x v="25"/>
    <x v="2"/>
  </r>
  <r>
    <d v="2019-08-15T00:00:00"/>
    <n v="-102.71"/>
    <n v="-102.71"/>
    <n v="0"/>
    <s v="Direct Debit 452599 AAMI PI HPL071936456"/>
    <x v="3"/>
    <x v="11"/>
    <x v="0"/>
  </r>
  <r>
    <d v="2019-08-16T00:00:00"/>
    <n v="-5"/>
    <n v="-5"/>
    <n v="0"/>
    <s v="Unpaid Payment Fee Value Date: 15/08/2019"/>
    <x v="5"/>
    <x v="17"/>
    <x v="2"/>
  </r>
  <r>
    <d v="2019-08-16T00:00:00"/>
    <n v="102.71"/>
    <n v="102.71"/>
    <n v="0"/>
    <s v="Return 15/08/19 Direct Debit 452599 AAMI PI HPL071936456 Value Date: 15/08/2019"/>
    <x v="3"/>
    <x v="11"/>
    <x v="0"/>
  </r>
  <r>
    <d v="2019-08-16T00:00:00"/>
    <n v="200"/>
    <n v="200"/>
    <n v="0"/>
    <s v="Direct Credit 421520 ANDREW MANOKARAN Mano"/>
    <x v="1"/>
    <x v="3"/>
    <x v="2"/>
  </r>
  <r>
    <d v="2019-08-16T00:00:00"/>
    <n v="2000"/>
    <n v="2000"/>
    <n v="0"/>
    <s v="Direct Credit 106600 ANDREW MANOKARAN Tyquin Street"/>
    <x v="1"/>
    <x v="5"/>
    <x v="2"/>
  </r>
  <r>
    <d v="2019-08-17T00:00:00"/>
    <n v="-525"/>
    <n v="-525"/>
    <n v="0"/>
    <s v="SROVIC LAND TAX      NetBank BPAY 5249 28871922 Land Tax 68 Tyquin"/>
    <x v="3"/>
    <x v="25"/>
    <x v="2"/>
  </r>
  <r>
    <d v="2019-08-18T00:00:00"/>
    <n v="-55"/>
    <n v="-55"/>
    <n v="0"/>
    <s v="Transfer to CBA A/c NetBank 68 Tyquin St TPM"/>
    <x v="3"/>
    <x v="19"/>
    <x v="2"/>
  </r>
  <r>
    <d v="2019-08-18T00:00:00"/>
    <n v="-55"/>
    <n v="-55"/>
    <n v="0"/>
    <s v="Transfer to CBA A/c NetBank 70TyquinPropertMgt"/>
    <x v="3"/>
    <x v="19"/>
    <x v="2"/>
  </r>
  <r>
    <d v="2019-08-20T00:00:00"/>
    <n v="1473"/>
    <n v="1473"/>
    <n v="0"/>
    <s v="Transfer from GURPINDER KAUR NetBank 70 tyquin st"/>
    <x v="2"/>
    <x v="4"/>
    <x v="1"/>
  </r>
  <r>
    <d v="2019-08-21T00:00:00"/>
    <n v="1290"/>
    <n v="1290"/>
    <n v="0"/>
    <s v="Transfer from UTTAMJEET SINGH CommBank app rent 68 tyquin st"/>
    <x v="2"/>
    <x v="4"/>
    <x v="0"/>
  </r>
  <r>
    <d v="2019-08-27T00:00:00"/>
    <n v="-1293.3800000000001"/>
    <n v="-1293.3800000000001"/>
    <n v="0"/>
    <s v="Direct Debit 012179 Advantedge PTVL ADV"/>
    <x v="3"/>
    <x v="6"/>
    <x v="0"/>
  </r>
  <r>
    <d v="2019-08-28T00:00:00"/>
    <n v="-1175.8599999999999"/>
    <n v="-1175.8599999999999"/>
    <n v="0"/>
    <s v="Direct Debit 000439 BANK-M S311052458400"/>
    <x v="3"/>
    <x v="6"/>
    <x v="1"/>
  </r>
  <r>
    <d v="2019-08-29T00:00:00"/>
    <n v="-102.71"/>
    <n v="-102.71"/>
    <n v="0"/>
    <s v="Direct Debit 452599 AAMI PI HPL071936456"/>
    <x v="3"/>
    <x v="11"/>
    <x v="0"/>
  </r>
  <r>
    <d v="2019-08-30T00:00:00"/>
    <n v="-92.13"/>
    <n v="-92.13"/>
    <n v="0"/>
    <s v="Direct Debit 452599 AAMI PI HPL077169729"/>
    <x v="3"/>
    <x v="11"/>
    <x v="1"/>
  </r>
  <r>
    <d v="2019-09-12T00:00:00"/>
    <n v="-190"/>
    <n v="-190"/>
    <n v="0"/>
    <s v="Transfer to other Bank NetBank PLAN section173"/>
    <x v="8"/>
    <x v="21"/>
    <x v="2"/>
  </r>
  <r>
    <d v="2019-09-12T00:00:00"/>
    <n v="1000"/>
    <n v="1000"/>
    <n v="0"/>
    <s v="Transfer from xx1274 NetBank Tyquin St Project"/>
    <x v="1"/>
    <x v="3"/>
    <x v="2"/>
  </r>
  <r>
    <d v="2019-09-13T00:00:00"/>
    <n v="-55"/>
    <n v="-55"/>
    <n v="0"/>
    <s v="Transfer to CBA A/c NetBank 68 Tyquin St TPM"/>
    <x v="3"/>
    <x v="19"/>
    <x v="2"/>
  </r>
  <r>
    <d v="2019-09-13T00:00:00"/>
    <n v="-55"/>
    <n v="-55"/>
    <n v="0"/>
    <s v="Transfer to CBA A/c NetBank 70TyquinPropertMgt"/>
    <x v="3"/>
    <x v="19"/>
    <x v="2"/>
  </r>
  <r>
    <d v="2019-09-16T00:00:00"/>
    <n v="200"/>
    <n v="200"/>
    <n v="0"/>
    <s v="Direct Credit 421520 ANDREW MANOKARAN Mano"/>
    <x v="1"/>
    <x v="5"/>
    <x v="2"/>
  </r>
  <r>
    <d v="2019-09-17T00:00:00"/>
    <n v="-102.71"/>
    <n v="-102.71"/>
    <n v="0"/>
    <s v="Direct Debit 452599 AAMI PI HPL071936456"/>
    <x v="3"/>
    <x v="11"/>
    <x v="0"/>
  </r>
  <r>
    <d v="2019-09-23T00:00:00"/>
    <n v="1473"/>
    <n v="1473"/>
    <n v="0"/>
    <s v="Transfer from GURPINDER KAUR NetBank 70 tyquin st"/>
    <x v="2"/>
    <x v="4"/>
    <x v="1"/>
  </r>
  <r>
    <d v="2019-09-24T00:00:00"/>
    <n v="-926.5"/>
    <n v="-926.5"/>
    <n v="0"/>
    <s v="Transfer to other Bank NetBank Section 173 Legal"/>
    <x v="7"/>
    <x v="22"/>
    <x v="2"/>
  </r>
  <r>
    <d v="2019-09-26T00:00:00"/>
    <n v="-1244.97"/>
    <n v="-1244.97"/>
    <n v="0"/>
    <s v="Direct Debit 012179 Advantedge PTVL ADV"/>
    <x v="3"/>
    <x v="6"/>
    <x v="0"/>
  </r>
  <r>
    <d v="2019-09-26T00:00:00"/>
    <n v="200"/>
    <n v="200"/>
    <n v="0"/>
    <s v="Transfer from xx1274 NetBank monthly payment LT"/>
    <x v="1"/>
    <x v="3"/>
    <x v="2"/>
  </r>
  <r>
    <d v="2019-09-30T00:00:00"/>
    <n v="-1175.8599999999999"/>
    <n v="-1175.8599999999999"/>
    <n v="0"/>
    <s v="Direct Debit 000439 BANK-M S311052458400"/>
    <x v="3"/>
    <x v="6"/>
    <x v="1"/>
  </r>
  <r>
    <d v="2019-10-01T00:00:00"/>
    <n v="-92.13"/>
    <n v="-92.13"/>
    <n v="0"/>
    <s v="Direct Debit 452599 AAMI PI HPL077169729"/>
    <x v="3"/>
    <x v="11"/>
    <x v="1"/>
  </r>
  <r>
    <d v="2019-10-02T00:00:00"/>
    <n v="848"/>
    <n v="848"/>
    <n v="0"/>
    <s v="Transfer from UTTAMJEET SINGH CommBank app rent 68 tyquin st"/>
    <x v="2"/>
    <x v="4"/>
    <x v="0"/>
  </r>
  <r>
    <d v="2019-10-05T00:00:00"/>
    <n v="-2062.5"/>
    <n v="-1875"/>
    <n v="-187.5"/>
    <s v="Transfer to other Bank NetBank Demolition"/>
    <x v="10"/>
    <x v="26"/>
    <x v="14"/>
  </r>
  <r>
    <d v="2019-10-05T00:00:00"/>
    <n v="50"/>
    <n v="50"/>
    <n v="0"/>
    <s v="Transfer from xx4353 NetBank lloyd deposit"/>
    <x v="1"/>
    <x v="3"/>
    <x v="2"/>
  </r>
  <r>
    <d v="2019-10-05T00:00:00"/>
    <n v="500"/>
    <n v="500"/>
    <n v="0"/>
    <s v="Transfer from xx4353 NetBank lloyd deposit"/>
    <x v="1"/>
    <x v="3"/>
    <x v="2"/>
  </r>
  <r>
    <d v="2019-10-07T00:00:00"/>
    <n v="581"/>
    <n v="581"/>
    <n v="0"/>
    <s v="Transfer from GURPINDER KAUR NetBank 70 tyquin st"/>
    <x v="2"/>
    <x v="4"/>
    <x v="1"/>
  </r>
  <r>
    <d v="2019-10-08T00:00:00"/>
    <n v="15000"/>
    <n v="15000"/>
    <n v="0"/>
    <s v="Direct Credit 106600 ANDREW MANOKARAN Tyquin Street Demo"/>
    <x v="1"/>
    <x v="5"/>
    <x v="2"/>
  </r>
  <r>
    <d v="2019-10-11T00:00:00"/>
    <n v="-500"/>
    <n v="-454.54545454545456"/>
    <n v="-45.454545454545453"/>
    <s v="Transfer to xx1274 CommBank app Remove Aircon"/>
    <x v="10"/>
    <x v="26"/>
    <x v="14"/>
  </r>
  <r>
    <d v="2019-10-13T00:00:00"/>
    <n v="-55"/>
    <n v="-55"/>
    <n v="0"/>
    <s v="Transfer to CBA A/c NetBank 68 Tyquin St TPM"/>
    <x v="3"/>
    <x v="19"/>
    <x v="2"/>
  </r>
  <r>
    <d v="2019-10-13T00:00:00"/>
    <n v="-55"/>
    <n v="-55"/>
    <n v="0"/>
    <s v="Transfer to CBA A/c NetBank 70TyquinPropertMgt"/>
    <x v="3"/>
    <x v="19"/>
    <x v="2"/>
  </r>
  <r>
    <d v="2019-10-15T00:00:00"/>
    <n v="-102.71"/>
    <n v="-102.71"/>
    <n v="0"/>
    <s v="Direct Debit 452599 AAMI PI HPL071936456"/>
    <x v="3"/>
    <x v="11"/>
    <x v="0"/>
  </r>
  <r>
    <d v="2019-10-16T00:00:00"/>
    <n v="200"/>
    <n v="200"/>
    <n v="0"/>
    <s v="Direct Credit 421520 ANDREW MANOKARAN Mano"/>
    <x v="1"/>
    <x v="5"/>
    <x v="2"/>
  </r>
  <r>
    <d v="2019-10-20T00:00:00"/>
    <n v="200"/>
    <n v="200"/>
    <n v="0"/>
    <s v="Transfer from xx1274 NetBank monthly payment LT"/>
    <x v="1"/>
    <x v="3"/>
    <x v="2"/>
  </r>
  <r>
    <d v="2019-10-21T00:00:00"/>
    <n v="1300"/>
    <n v="1300"/>
    <n v="0"/>
    <s v="Direct Credit 106600 ANDREW MANOKARAN Tyquin Street"/>
    <x v="1"/>
    <x v="5"/>
    <x v="2"/>
  </r>
  <r>
    <d v="2019-10-25T00:00:00"/>
    <n v="-1203.06"/>
    <n v="-1203.06"/>
    <n v="0"/>
    <s v="Direct Debit 012179 Advantedge PTVL ADV"/>
    <x v="3"/>
    <x v="6"/>
    <x v="0"/>
  </r>
  <r>
    <d v="2019-10-26T00:00:00"/>
    <n v="-2750"/>
    <n v="-2500"/>
    <n v="-250"/>
    <s v="Transfer to other Bank NetBank subdivision anthon"/>
    <x v="8"/>
    <x v="21"/>
    <x v="2"/>
  </r>
  <r>
    <d v="2019-10-26T00:00:00"/>
    <n v="-1200"/>
    <n v="-1200"/>
    <n v="0"/>
    <s v="Transfer to xx4549 NetBank Lloyd"/>
    <x v="1"/>
    <x v="3"/>
    <x v="2"/>
  </r>
  <r>
    <d v="2019-10-26T00:00:00"/>
    <n v="-1000"/>
    <n v="-1000"/>
    <n v="0"/>
    <s v="Transfer to CBA A/c NetBank Thomic"/>
    <x v="1"/>
    <x v="3"/>
    <x v="2"/>
  </r>
  <r>
    <d v="2019-10-26T00:00:00"/>
    <n v="-340.1"/>
    <n v="-340.1"/>
    <n v="0"/>
    <s v="HOBSONS BAY COUNCIL  NetBank BPAY 39032 59020006808"/>
    <x v="3"/>
    <x v="7"/>
    <x v="0"/>
  </r>
  <r>
    <d v="2019-10-27T00:00:00"/>
    <n v="1000"/>
    <n v="1000"/>
    <n v="0"/>
    <s v="Transfer from xx4836 NetBank lloyd"/>
    <x v="1"/>
    <x v="3"/>
    <x v="2"/>
  </r>
  <r>
    <d v="2019-10-27T00:00:00"/>
    <n v="1300"/>
    <n v="1300"/>
    <n v="0"/>
    <s v="Transfer from xx4836 NetBank lloyd monthly"/>
    <x v="1"/>
    <x v="3"/>
    <x v="2"/>
  </r>
  <r>
    <d v="2019-10-28T00:00:00"/>
    <n v="-1121.4000000000001"/>
    <n v="-1121.4000000000001"/>
    <n v="0"/>
    <s v="Direct Debit 000439 BANK-M S311052458400"/>
    <x v="3"/>
    <x v="6"/>
    <x v="1"/>
  </r>
  <r>
    <d v="2019-10-29T00:00:00"/>
    <n v="-146.96"/>
    <n v="-146.96"/>
    <n v="0"/>
    <s v="CITY WEST WATER      CommBank app BPAY 8789 121739219120"/>
    <x v="3"/>
    <x v="13"/>
    <x v="1"/>
  </r>
  <r>
    <d v="2019-10-29T00:00:00"/>
    <n v="-146"/>
    <n v="-146"/>
    <n v="0"/>
    <s v="CITY WEST WATER      CommBank app BPAY 8789 121739220138"/>
    <x v="3"/>
    <x v="13"/>
    <x v="0"/>
  </r>
  <r>
    <d v="2019-10-29T00:00:00"/>
    <n v="1200"/>
    <n v="1200"/>
    <n v="0"/>
    <s v="Transfer from xx4549 CommBank app Lloyd"/>
    <x v="1"/>
    <x v="3"/>
    <x v="2"/>
  </r>
  <r>
    <d v="2019-10-30T00:00:00"/>
    <n v="-92.13"/>
    <n v="-92.13"/>
    <n v="0"/>
    <s v="Direct Debit 452599 AAMI PI HPL077169729"/>
    <x v="3"/>
    <x v="11"/>
    <x v="1"/>
  </r>
  <r>
    <d v="2019-11-02T00:00:00"/>
    <n v="-353.75"/>
    <n v="-353.75"/>
    <n v="0"/>
    <s v="HOBSONS BAY COUNCIL  NetBank BPAY 39032 59020007004"/>
    <x v="3"/>
    <x v="7"/>
    <x v="1"/>
  </r>
  <r>
    <d v="2019-11-03T00:00:00"/>
    <n v="-850"/>
    <n v="-850"/>
    <n v="0"/>
    <s v="Transfer to xx1274 CommBank app"/>
    <x v="1"/>
    <x v="3"/>
    <x v="2"/>
  </r>
  <r>
    <d v="2019-11-13T00:00:00"/>
    <n v="-55"/>
    <n v="-55"/>
    <n v="0"/>
    <s v="Transfer to CBA A/c NetBank 68 Tyquin St TPM"/>
    <x v="3"/>
    <x v="19"/>
    <x v="2"/>
  </r>
  <r>
    <d v="2019-11-13T00:00:00"/>
    <n v="-55"/>
    <n v="-55"/>
    <n v="0"/>
    <s v="Transfer to CBA A/c NetBank 70TyquinPropertMgt"/>
    <x v="3"/>
    <x v="19"/>
    <x v="2"/>
  </r>
  <r>
    <d v="2019-11-15T00:00:00"/>
    <n v="-102.71"/>
    <n v="-102.71"/>
    <n v="0"/>
    <s v="Direct Debit 452599 AAMI PI HPL071936456"/>
    <x v="3"/>
    <x v="11"/>
    <x v="0"/>
  </r>
  <r>
    <d v="2019-11-16T00:00:00"/>
    <n v="-10312.5"/>
    <n v="-9375"/>
    <n v="-937.5"/>
    <s v="Transfer to other Bank NetBank demolition"/>
    <x v="10"/>
    <x v="26"/>
    <x v="14"/>
  </r>
  <r>
    <d v="2019-11-18T00:00:00"/>
    <n v="200"/>
    <n v="200"/>
    <n v="0"/>
    <s v="Direct Credit 421520 ANDREW MANOKARAN Mano"/>
    <x v="1"/>
    <x v="5"/>
    <x v="2"/>
  </r>
  <r>
    <d v="2019-11-21T00:00:00"/>
    <n v="200"/>
    <n v="200"/>
    <n v="0"/>
    <s v="Transfer from xx1274 NetBank monthly payment LT"/>
    <x v="1"/>
    <x v="3"/>
    <x v="2"/>
  </r>
  <r>
    <d v="2019-11-22T00:00:00"/>
    <n v="1300"/>
    <n v="1300"/>
    <n v="0"/>
    <s v="Transfer from xx4836 NetBank"/>
    <x v="1"/>
    <x v="3"/>
    <x v="2"/>
  </r>
  <r>
    <d v="2019-11-25T00:00:00"/>
    <n v="1300"/>
    <n v="1300"/>
    <n v="0"/>
    <s v="Direct Credit 106600 ANDREW MANOKARAN Tyquin St Project"/>
    <x v="1"/>
    <x v="5"/>
    <x v="2"/>
  </r>
  <r>
    <d v="2019-11-27T00:00:00"/>
    <n v="-1238.9100000000001"/>
    <n v="-1238.9100000000001"/>
    <n v="0"/>
    <s v="Direct Debit 012179 Advantedge PTVL ADV"/>
    <x v="3"/>
    <x v="6"/>
    <x v="0"/>
  </r>
  <r>
    <d v="2019-11-28T00:00:00"/>
    <n v="-1133.1600000000001"/>
    <n v="-1133.1600000000001"/>
    <n v="0"/>
    <s v="Direct Debit 000439 BANK-M S311052458400"/>
    <x v="3"/>
    <x v="6"/>
    <x v="1"/>
  </r>
  <r>
    <d v="2019-12-01T00:00:00"/>
    <n v="-340"/>
    <n v="-340"/>
    <n v="0"/>
    <s v="HOBSONS BAY COUNCIL  NetBank BPAY 39032 59020006808"/>
    <x v="3"/>
    <x v="7"/>
    <x v="0"/>
  </r>
  <r>
    <d v="2019-12-02T00:00:00"/>
    <n v="-92.13"/>
    <n v="-92.13"/>
    <n v="0"/>
    <s v="Direct Debit 452599 AAMI PI HPL077169729"/>
    <x v="3"/>
    <x v="11"/>
    <x v="1"/>
  </r>
  <r>
    <d v="2019-12-03T00:00:00"/>
    <n v="-2750"/>
    <n v="-2500"/>
    <n v="-250"/>
    <s v="Transfer to CBA A/c NetBank Tyquin St Deposit1"/>
    <x v="10"/>
    <x v="27"/>
    <x v="15"/>
  </r>
  <r>
    <d v="2019-12-03T00:00:00"/>
    <n v="-706.75"/>
    <n v="-706.75"/>
    <n v="0"/>
    <s v="HOBSONS BAY COUNCIL  NetBank BPAY 39032 59020007004"/>
    <x v="3"/>
    <x v="7"/>
    <x v="1"/>
  </r>
  <r>
    <d v="2019-12-03T00:00:00"/>
    <n v="8500"/>
    <n v="8500"/>
    <n v="0"/>
    <s v="Transfer from xx4836 NetBank lloyd"/>
    <x v="1"/>
    <x v="3"/>
    <x v="2"/>
  </r>
  <r>
    <d v="2019-12-03T00:00:00"/>
    <n v="9300"/>
    <n v="9300"/>
    <n v="0"/>
    <s v="Direct Credit 106600 ANDREW MANOKARAN Tyquin Street - Bu"/>
    <x v="1"/>
    <x v="5"/>
    <x v="2"/>
  </r>
  <r>
    <d v="2019-12-04T00:00:00"/>
    <n v="-350"/>
    <n v="-318.18181818181819"/>
    <n v="-31.818181818181817"/>
    <s v="Transfer to other Bank NetBank Anthony Ford"/>
    <x v="8"/>
    <x v="21"/>
    <x v="2"/>
  </r>
  <r>
    <d v="2019-12-05T00:00:00"/>
    <n v="-8600"/>
    <n v="-7818.181818181818"/>
    <n v="-781.81818181818187"/>
    <s v="Transfer to other Bank NetBank IV00000001008 Rudy"/>
    <x v="10"/>
    <x v="26"/>
    <x v="14"/>
  </r>
  <r>
    <d v="2019-12-05T00:00:00"/>
    <n v="-3056.9"/>
    <n v="-2779"/>
    <n v="-277.90000000000003"/>
    <s v="Transfer to other Bank NetBank INV0278 Lloyd Thom"/>
    <x v="7"/>
    <x v="22"/>
    <x v="2"/>
  </r>
  <r>
    <d v="2019-12-11T00:00:00"/>
    <n v="-10000"/>
    <n v="-9090.9090909090901"/>
    <n v="-909.09090909090912"/>
    <s v="Transfer to CBA A/c NetBank Deposit"/>
    <x v="10"/>
    <x v="27"/>
    <x v="15"/>
  </r>
  <r>
    <d v="2019-12-11T00:00:00"/>
    <n v="8000"/>
    <n v="8000"/>
    <n v="0"/>
    <s v="Transfer from xx4836 NetBank Lloyd"/>
    <x v="1"/>
    <x v="3"/>
    <x v="2"/>
  </r>
  <r>
    <d v="2019-12-15T00:00:00"/>
    <n v="-110"/>
    <n v="-110"/>
    <n v="0"/>
    <s v="Transfer to CBA A/c NetBank Tyquin St Maintena"/>
    <x v="3"/>
    <x v="19"/>
    <x v="2"/>
  </r>
  <r>
    <d v="2019-12-16T00:00:00"/>
    <n v="200"/>
    <n v="200"/>
    <n v="0"/>
    <s v="Direct Credit 421520 ANDREW MANOKARAN Mano"/>
    <x v="1"/>
    <x v="5"/>
    <x v="2"/>
  </r>
  <r>
    <d v="2019-12-17T00:00:00"/>
    <n v="-102.71"/>
    <n v="-102.71"/>
    <n v="0"/>
    <s v="Direct Debit 452599 AAMI PI HPL071936456"/>
    <x v="3"/>
    <x v="11"/>
    <x v="0"/>
  </r>
  <r>
    <d v="2019-12-18T00:00:00"/>
    <n v="2850"/>
    <n v="2850"/>
    <n v="0"/>
    <s v="Direct Credit 106600 ANDREW MANOKARAN Tyquin Street - Le"/>
    <x v="1"/>
    <x v="5"/>
    <x v="2"/>
  </r>
  <r>
    <d v="2019-12-20T00:00:00"/>
    <n v="200"/>
    <n v="200"/>
    <n v="0"/>
    <s v="Transfer from xx1274 NetBank monthly payment LT"/>
    <x v="1"/>
    <x v="3"/>
    <x v="2"/>
  </r>
  <r>
    <d v="2019-12-27T00:00:00"/>
    <n v="-1164.8800000000001"/>
    <n v="-1164.8800000000001"/>
    <n v="0"/>
    <s v="Direct Debit 012179 Advantedge PTVL ADV"/>
    <x v="3"/>
    <x v="6"/>
    <x v="0"/>
  </r>
  <r>
    <d v="2019-12-30T00:00:00"/>
    <n v="-1096.5999999999999"/>
    <n v="-1096.5999999999999"/>
    <n v="0"/>
    <s v="Direct Debit 000439 BANK-M S311052458400"/>
    <x v="3"/>
    <x v="6"/>
    <x v="1"/>
  </r>
  <r>
    <d v="2019-12-31T00:00:00"/>
    <n v="-92.13"/>
    <n v="-92.13"/>
    <n v="0"/>
    <s v="Direct Debit 452599 AAMI PI HPL077169729"/>
    <x v="3"/>
    <x v="11"/>
    <x v="1"/>
  </r>
  <r>
    <d v="2020-01-13T00:00:00"/>
    <n v="-220"/>
    <n v="-200"/>
    <n v="-20"/>
    <s v="Transfer to other Bank NetBank Subdivision PLAN"/>
    <x v="8"/>
    <x v="21"/>
    <x v="2"/>
  </r>
  <r>
    <d v="2020-01-15T00:00:00"/>
    <n v="-122.07"/>
    <n v="-122.07"/>
    <n v="0"/>
    <s v="Direct Debit 452599 AAMI PI HPL071936456"/>
    <x v="3"/>
    <x v="11"/>
    <x v="0"/>
  </r>
  <r>
    <d v="2020-01-15T00:00:00"/>
    <n v="-110"/>
    <n v="-110"/>
    <n v="0"/>
    <s v="Transfer to CBA A/c NetBank Tyquin St Maintena"/>
    <x v="3"/>
    <x v="19"/>
    <x v="2"/>
  </r>
  <r>
    <d v="2020-01-16T00:00:00"/>
    <n v="200"/>
    <n v="200"/>
    <n v="0"/>
    <s v="Direct Credit 421520 ANDREW MANOKARAN Mano"/>
    <x v="1"/>
    <x v="5"/>
    <x v="2"/>
  </r>
  <r>
    <d v="2020-01-20T00:00:00"/>
    <n v="200"/>
    <n v="200"/>
    <n v="0"/>
    <s v="Transfer from xx1274 NetBank monthly payment LT"/>
    <x v="1"/>
    <x v="3"/>
    <x v="2"/>
  </r>
  <r>
    <d v="2020-01-21T00:00:00"/>
    <n v="-7000"/>
    <n v="-7000"/>
    <n v="0"/>
    <s v="Transfer to xx1274 NetBank project management"/>
    <x v="6"/>
    <x v="21"/>
    <x v="2"/>
  </r>
  <r>
    <d v="2020-01-21T00:00:00"/>
    <n v="10000"/>
    <n v="10000"/>
    <n v="0"/>
    <s v="Transfer from xx1274 NetBank Lloyd"/>
    <x v="1"/>
    <x v="3"/>
    <x v="2"/>
  </r>
  <r>
    <d v="2020-01-23T00:00:00"/>
    <n v="1300"/>
    <n v="1300"/>
    <n v="0"/>
    <s v="Transfer From ANDREW MANOKARAN CREDIT TO ACCOUNT"/>
    <x v="1"/>
    <x v="5"/>
    <x v="2"/>
  </r>
  <r>
    <d v="2020-01-24T00:00:00"/>
    <n v="-1204.43"/>
    <n v="-1204.43"/>
    <n v="0"/>
    <s v="Direct Debit 012179 Advantedge PTVL ADV"/>
    <x v="3"/>
    <x v="6"/>
    <x v="0"/>
  </r>
  <r>
    <d v="2020-01-28T00:00:00"/>
    <n v="-1133.1600000000001"/>
    <n v="-1133.1600000000001"/>
    <n v="0"/>
    <s v="Direct Debit 000439 BANK-M S311052458400"/>
    <x v="3"/>
    <x v="6"/>
    <x v="1"/>
  </r>
  <r>
    <d v="2020-01-30T00:00:00"/>
    <n v="-92.13"/>
    <n v="-92.13"/>
    <n v="0"/>
    <s v="Direct Debit 452599 AAMI PI HPL077169729"/>
    <x v="3"/>
    <x v="11"/>
    <x v="1"/>
  </r>
  <r>
    <d v="2020-02-07T00:00:00"/>
    <n v="-200"/>
    <n v="-200"/>
    <n v="0"/>
    <s v="Transfer To Lloyd Thomas - NAB CommBank App Lloyd"/>
    <x v="1"/>
    <x v="3"/>
    <x v="2"/>
  </r>
  <r>
    <d v="2020-02-08T00:00:00"/>
    <n v="-200"/>
    <n v="-200"/>
    <n v="0"/>
    <s v="Transfer to xx1274 CommBank app"/>
    <x v="1"/>
    <x v="3"/>
    <x v="2"/>
  </r>
  <r>
    <d v="2020-02-09T00:00:00"/>
    <n v="-100"/>
    <n v="-100"/>
    <n v="0"/>
    <s v="Transfer to xx1274 CommBank app Lloyd"/>
    <x v="1"/>
    <x v="3"/>
    <x v="2"/>
  </r>
  <r>
    <d v="2020-02-11T00:00:00"/>
    <n v="-3135"/>
    <n v="-2850"/>
    <n v="-285"/>
    <s v="Transfer to other Bank NetBank Property Eval"/>
    <x v="9"/>
    <x v="23"/>
    <x v="12"/>
  </r>
  <r>
    <d v="2020-02-11T00:00:00"/>
    <n v="-407.53"/>
    <n v="-407.53"/>
    <n v="0"/>
    <s v="CITY WEST WATER      NetBank BPAY 8789 121739219120"/>
    <x v="3"/>
    <x v="13"/>
    <x v="1"/>
  </r>
  <r>
    <d v="2020-02-11T00:00:00"/>
    <n v="650"/>
    <n v="650"/>
    <n v="0"/>
    <s v="Transfer from xx2863 NetBank"/>
    <x v="1"/>
    <x v="3"/>
    <x v="2"/>
  </r>
  <r>
    <d v="2020-02-17T00:00:00"/>
    <n v="-122.07"/>
    <n v="-122.07"/>
    <n v="0"/>
    <s v="Direct Debit 452599 AAMI PI HPL071936456"/>
    <x v="3"/>
    <x v="11"/>
    <x v="0"/>
  </r>
  <r>
    <d v="2020-02-17T00:00:00"/>
    <n v="200"/>
    <n v="200"/>
    <n v="0"/>
    <s v="Direct Credit 421520 ANDREW MANOKARAN Mano"/>
    <x v="1"/>
    <x v="5"/>
    <x v="2"/>
  </r>
  <r>
    <d v="2020-02-20T00:00:00"/>
    <n v="-5"/>
    <n v="-5"/>
    <n v="0"/>
    <s v="Unpaid NetBank Payment Fee"/>
    <x v="5"/>
    <x v="28"/>
    <x v="2"/>
  </r>
  <r>
    <d v="2020-02-24T00:00:00"/>
    <n v="1500"/>
    <n v="1500"/>
    <n v="0"/>
    <s v="Transfer from xx4836 NetBank Lloyd monthly"/>
    <x v="1"/>
    <x v="3"/>
    <x v="2"/>
  </r>
  <r>
    <d v="2020-02-25T00:00:00"/>
    <n v="3000"/>
    <n v="3000"/>
    <n v="0"/>
    <s v="Direct Credit 106600 ANDREW MANOKARAN Andrew Tyquin"/>
    <x v="1"/>
    <x v="5"/>
    <x v="2"/>
  </r>
  <r>
    <d v="2020-02-27T00:00:00"/>
    <n v="-1206.68"/>
    <n v="-1206.68"/>
    <n v="0"/>
    <s v="Direct Debit 012179 Advantedge PTVL ADV"/>
    <x v="3"/>
    <x v="6"/>
    <x v="0"/>
  </r>
  <r>
    <d v="2020-02-28T00:00:00"/>
    <n v="-1133.1600000000001"/>
    <n v="-1133.1600000000001"/>
    <n v="0"/>
    <s v="Direct Debit 000439 BANK-M S311052458400"/>
    <x v="3"/>
    <x v="6"/>
    <x v="1"/>
  </r>
  <r>
    <d v="2020-02-28T00:00:00"/>
    <n v="-261.83"/>
    <n v="-261.83"/>
    <n v="0"/>
    <s v="CITY WEST WATER      NetBank BPAY 8789 121739220138"/>
    <x v="3"/>
    <x v="13"/>
    <x v="0"/>
  </r>
  <r>
    <d v="2020-03-03T00:00:00"/>
    <n v="-92.13"/>
    <n v="-92.13"/>
    <n v="0"/>
    <s v="Direct Debit 452599 AAMI PI HPL077169729"/>
    <x v="3"/>
    <x v="11"/>
    <x v="1"/>
  </r>
  <r>
    <d v="2020-03-04T00:00:00"/>
    <n v="-340"/>
    <n v="-340"/>
    <n v="0"/>
    <s v="HOBSONS BAY COUNCIL  NetBank BPAY 39032 59020006808"/>
    <x v="3"/>
    <x v="7"/>
    <x v="0"/>
  </r>
  <r>
    <d v="2020-03-11T00:00:00"/>
    <n v="-522.5"/>
    <n v="-475"/>
    <n v="-47.5"/>
    <s v="Transfer to other Bank NetBank ReviewBuildContrac"/>
    <x v="7"/>
    <x v="22"/>
    <x v="2"/>
  </r>
  <r>
    <d v="2020-03-15T00:00:00"/>
    <n v="-110"/>
    <n v="-110"/>
    <n v="0"/>
    <s v="Transfer to CBA A/c NetBank Tyquin St Maintena"/>
    <x v="3"/>
    <x v="19"/>
    <x v="2"/>
  </r>
  <r>
    <d v="2020-03-16T00:00:00"/>
    <n v="200"/>
    <n v="200"/>
    <n v="0"/>
    <s v="Direct Credit 421520 ANDREW MANOKARAN Mano"/>
    <x v="1"/>
    <x v="5"/>
    <x v="2"/>
  </r>
  <r>
    <d v="2020-03-17T00:00:00"/>
    <n v="-122.07"/>
    <n v="-122.07"/>
    <n v="0"/>
    <s v="Direct Debit 452599 AAMI PI HPL071936456"/>
    <x v="3"/>
    <x v="11"/>
    <x v="0"/>
  </r>
  <r>
    <d v="2020-03-26T00:00:00"/>
    <n v="1300"/>
    <n v="1300"/>
    <n v="0"/>
    <s v="Transfer From ANDREW MANOKARAN CREDIT TO ACCOUNT"/>
    <x v="1"/>
    <x v="5"/>
    <x v="2"/>
  </r>
  <r>
    <d v="2020-04-02T00:00:00"/>
    <n v="174.08"/>
    <n v="174.08"/>
    <n v="0"/>
    <s v="1880336 AAMI INSURANCE LLOYD THOMAS"/>
    <x v="1"/>
    <x v="3"/>
    <x v="2"/>
  </r>
  <r>
    <d v="2020-04-06T00:00:00"/>
    <n v="-435.25"/>
    <n v="-395.68181818181819"/>
    <n v="-39.56818181818182"/>
    <s v="INTERNET TRANSFER B551 Fencing"/>
    <x v="10"/>
    <x v="26"/>
    <x v="16"/>
  </r>
  <r>
    <d v="2020-04-06T00:00:00"/>
    <n v="-77"/>
    <n v="-70"/>
    <n v="-7"/>
    <s v="INTERNET TRANSFER B551001 Fencing"/>
    <x v="10"/>
    <x v="26"/>
    <x v="16"/>
  </r>
  <r>
    <d v="2020-04-06T00:00:00"/>
    <n v="500"/>
    <n v="500"/>
    <n v="0"/>
    <s v="ONLINE W3887487572 Lloyd THOMAS L"/>
    <x v="1"/>
    <x v="3"/>
    <x v="2"/>
  </r>
  <r>
    <d v="2020-04-21T00:00:00"/>
    <n v="-100"/>
    <n v="-100"/>
    <n v="0"/>
    <s v="INTERNET TRANSFER Lloyd"/>
    <x v="1"/>
    <x v="3"/>
    <x v="2"/>
  </r>
  <r>
    <d v="2020-04-28T00:00:00"/>
    <n v="-2575.7800000000002"/>
    <n v="-2341.6181818181822"/>
    <n v="-234.16181818181821"/>
    <s v="INTERNET TRANSFER Thom6-04"/>
    <x v="7"/>
    <x v="22"/>
    <x v="2"/>
  </r>
  <r>
    <d v="2020-04-28T00:00:00"/>
    <n v="2575"/>
    <n v="2575"/>
    <n v="0"/>
    <s v="ONLINE Y0639755624 Lloyd THOMAS L"/>
    <x v="1"/>
    <x v="3"/>
    <x v="2"/>
  </r>
  <r>
    <d v="2020-05-15T00:00:00"/>
    <n v="-500"/>
    <n v="-500"/>
    <n v="0"/>
    <s v="ONLINE K4659938297 Linked Acc Trns THOMAS L"/>
    <x v="1"/>
    <x v="3"/>
    <x v="2"/>
  </r>
  <r>
    <d v="2020-05-15T00:00:00"/>
    <n v="500"/>
    <n v="500"/>
    <n v="0"/>
    <s v="ONLINE Q4239294297 Linked Acc Trns THOMAS L"/>
    <x v="1"/>
    <x v="3"/>
    <x v="2"/>
  </r>
  <r>
    <d v="2020-05-22T00:00:00"/>
    <n v="-165"/>
    <n v="-150"/>
    <n v="-15"/>
    <s v="INTERNET TRANSFER B551002 Fencing"/>
    <x v="10"/>
    <x v="26"/>
    <x v="16"/>
  </r>
  <r>
    <d v="2020-05-22T00:00:00"/>
    <n v="200"/>
    <n v="200"/>
    <n v="0"/>
    <s v="ONLINE Z7917635046 Linked Acc Trns THOMAS L"/>
    <x v="1"/>
    <x v="3"/>
    <x v="2"/>
  </r>
  <r>
    <d v="2020-05-26T00:00:00"/>
    <n v="200"/>
    <n v="200"/>
    <n v="0"/>
    <s v="Andrew - Tyquin ANDREW MANOKARAN Lloyd Thomas"/>
    <x v="1"/>
    <x v="5"/>
    <x v="2"/>
  </r>
  <r>
    <d v="2020-05-27T00:00:00"/>
    <n v="-100"/>
    <n v="-100"/>
    <n v="0"/>
    <s v="INTERNET TRANSFER Lloyd"/>
    <x v="3"/>
    <x v="19"/>
    <x v="2"/>
  </r>
  <r>
    <d v="2020-06-22T00:00:00"/>
    <n v="-100"/>
    <n v="-100"/>
    <n v="0"/>
    <s v="INTERNET TRANSFER Lloyd"/>
    <x v="3"/>
    <x v="19"/>
    <x v="2"/>
  </r>
  <r>
    <d v="2020-06-25T00:00:00"/>
    <n v="500"/>
    <n v="500"/>
    <n v="0"/>
    <s v="Andrew - Tyquin ANDREW MANOKARAN Lloyd Thomas"/>
    <x v="1"/>
    <x v="5"/>
    <x v="2"/>
  </r>
  <r>
    <d v="2020-06-29T00:00:00"/>
    <n v="-340"/>
    <n v="-340"/>
    <n v="0"/>
    <s v="INTERNET BPAY HOBSONS BAY COUNCIL 59020006808"/>
    <x v="3"/>
    <x v="7"/>
    <x v="0"/>
  </r>
  <r>
    <d v="2020-06-29T00:00:00"/>
    <n v="500"/>
    <n v="500"/>
    <n v="0"/>
    <s v="ONLINE B6752515811 Linked Acc Trns THOMAS L"/>
    <x v="1"/>
    <x v="3"/>
    <x v="2"/>
  </r>
  <r>
    <d v="2020-07-02T00:00:00"/>
    <n v="5000"/>
    <n v="5000"/>
    <n v="0"/>
    <s v="Andrew Manokaran - ANDREW MANOKARAN Lloyd Thomas - P"/>
    <x v="1"/>
    <x v="5"/>
    <x v="2"/>
  </r>
  <r>
    <d v="2020-07-08T00:00:00"/>
    <n v="-5000"/>
    <n v="-5000"/>
    <n v="0"/>
    <s v="ONLINE P1334477389 from Andrew THOMAS L"/>
    <x v="1"/>
    <x v="5"/>
    <x v="2"/>
  </r>
  <r>
    <d v="2020-07-21T00:00:00"/>
    <n v="-100"/>
    <n v="-100"/>
    <n v="0"/>
    <s v="INTERNET TRANSFER Lloyd"/>
    <x v="3"/>
    <x v="19"/>
    <x v="2"/>
  </r>
  <r>
    <d v="2020-07-27T00:00:00"/>
    <n v="200"/>
    <n v="200"/>
    <n v="0"/>
    <s v="Andrew - Tyquin ANDREW MANOKARAN Lloyd Thomas"/>
    <x v="1"/>
    <x v="5"/>
    <x v="2"/>
  </r>
  <r>
    <d v="2020-08-21T00:00:00"/>
    <n v="-100"/>
    <n v="-100"/>
    <n v="0"/>
    <s v="INTERNET TRANSFER Lloyd"/>
    <x v="3"/>
    <x v="19"/>
    <x v="2"/>
  </r>
  <r>
    <d v="2020-08-25T00:00:00"/>
    <n v="200"/>
    <n v="200"/>
    <n v="0"/>
    <s v="Andrew - Tyquin ANDREW MANOKARAN Lloyd Thomas"/>
    <x v="1"/>
    <x v="5"/>
    <x v="2"/>
  </r>
  <r>
    <d v="2020-08-27T00:00:00"/>
    <n v="-380.85"/>
    <n v="-380.85"/>
    <n v="0"/>
    <s v="INTERNET BPAY CITY WEST WATER 121739220138"/>
    <x v="3"/>
    <x v="13"/>
    <x v="0"/>
  </r>
  <r>
    <d v="2020-08-27T00:00:00"/>
    <n v="200"/>
    <n v="200"/>
    <n v="0"/>
    <s v="ONLINE Z1534208556 Lloyd THOMAS L"/>
    <x v="1"/>
    <x v="3"/>
    <x v="2"/>
  </r>
  <r>
    <d v="2020-09-10T00:00:00"/>
    <n v="-346.25"/>
    <n v="-346.25"/>
    <n v="0"/>
    <s v="INTERNET BPAY HOBSONS BAY COUNCIL 59020007004"/>
    <x v="3"/>
    <x v="7"/>
    <x v="1"/>
  </r>
  <r>
    <d v="2020-09-11T00:00:00"/>
    <n v="-367.91"/>
    <n v="-367.91"/>
    <n v="0"/>
    <s v="INTERNET BPAY CITY WEST WATER 121739219120"/>
    <x v="3"/>
    <x v="13"/>
    <x v="1"/>
  </r>
  <r>
    <d v="2020-09-14T00:00:00"/>
    <n v="1250"/>
    <n v="1250"/>
    <n v="0"/>
    <s v="Andrew Manokaran ANDREW MANOKARAN Lloyd Thomas"/>
    <x v="1"/>
    <x v="5"/>
    <x v="2"/>
  </r>
  <r>
    <d v="2020-09-14T00:00:00"/>
    <n v="1250"/>
    <n v="1250"/>
    <n v="0"/>
    <s v="ONLINE D7104234645 sept Lloyd THOMAS L"/>
    <x v="1"/>
    <x v="3"/>
    <x v="2"/>
  </r>
  <r>
    <d v="2020-09-21T00:00:00"/>
    <n v="-100"/>
    <n v="-100"/>
    <n v="0"/>
    <s v="INTERNET TRANSFER Lloyd"/>
    <x v="3"/>
    <x v="19"/>
    <x v="2"/>
  </r>
  <r>
    <d v="2020-09-25T00:00:00"/>
    <n v="200"/>
    <n v="200"/>
    <n v="0"/>
    <s v="Andrew - Tyquin ANDREW MANOKARAN Lloyd Thomas"/>
    <x v="1"/>
    <x v="5"/>
    <x v="2"/>
  </r>
  <r>
    <d v="2020-09-30T00:00:00"/>
    <n v="0.03"/>
    <n v="0.03"/>
    <n v="0"/>
    <s v="INTEREST"/>
    <x v="5"/>
    <x v="17"/>
    <x v="2"/>
  </r>
  <r>
    <d v="2020-10-05T00:00:00"/>
    <n v="-1135.8699999999999"/>
    <n v="-1135.8699999999999"/>
    <n v="0"/>
    <s v="INTERNET BPAY Advantedge 503712481"/>
    <x v="3"/>
    <x v="6"/>
    <x v="0"/>
  </r>
  <r>
    <d v="2020-10-12T00:00:00"/>
    <n v="-706.55"/>
    <n v="-706.55"/>
    <n v="0"/>
    <s v="INTERNET BPAY HOBSONS BAY COUNCIL 59020007004"/>
    <x v="3"/>
    <x v="7"/>
    <x v="1"/>
  </r>
  <r>
    <d v="2020-10-12T00:00:00"/>
    <n v="-337.55"/>
    <n v="-337.55"/>
    <n v="0"/>
    <s v="INTERNET BPAY HOBSONS BAY COUNCIL 59020006808"/>
    <x v="3"/>
    <x v="7"/>
    <x v="0"/>
  </r>
  <r>
    <d v="2020-10-13T00:00:00"/>
    <n v="1250"/>
    <n v="1250"/>
    <n v="0"/>
    <s v="Andrew Manokaran ANDREW MANOKARAN Lloyd Thomas"/>
    <x v="1"/>
    <x v="5"/>
    <x v="2"/>
  </r>
  <r>
    <d v="2020-10-21T00:00:00"/>
    <n v="-100"/>
    <n v="-100"/>
    <n v="0"/>
    <s v="INTERNET TRANSFER Lloyd"/>
    <x v="3"/>
    <x v="19"/>
    <x v="2"/>
  </r>
  <r>
    <d v="2020-10-26T00:00:00"/>
    <n v="-1684.15"/>
    <n v="-1684.15"/>
    <n v="0"/>
    <s v="S311153450600 BANK-M LLOYD EDWARD THO"/>
    <x v="1"/>
    <x v="3"/>
    <x v="2"/>
  </r>
  <r>
    <d v="2020-10-27T00:00:00"/>
    <n v="50"/>
    <n v="50"/>
    <n v="0"/>
    <s v="ONLINE B2318208892 Linked Acc Trns THOMAS L"/>
    <x v="1"/>
    <x v="3"/>
    <x v="2"/>
  </r>
  <r>
    <d v="2020-10-27T00:00:00"/>
    <n v="1500"/>
    <n v="1500"/>
    <n v="0"/>
    <s v="Lloyd Thomas - Pay ANDREW MANOKARAN Lloyd Thomas - P"/>
    <x v="1"/>
    <x v="3"/>
    <x v="2"/>
  </r>
  <r>
    <d v="2020-10-27T00:00:00"/>
    <n v="1684.15"/>
    <n v="1684.15"/>
    <n v="0"/>
    <s v="ONLINE A0178226495 Linked Acc Trns THOMAS L"/>
    <x v="1"/>
    <x v="3"/>
    <x v="2"/>
  </r>
  <r>
    <d v="2020-10-28T00:00:00"/>
    <n v="-3850"/>
    <n v="-3500"/>
    <n v="-350"/>
    <s v="INTERNET TRANSFER Ref27330 HoldenCap"/>
    <x v="9"/>
    <x v="29"/>
    <x v="17"/>
  </r>
  <r>
    <d v="2020-10-28T00:00:00"/>
    <n v="1200"/>
    <n v="1200"/>
    <n v="0"/>
    <s v="ONLINE M8181966844 Linked Acc Trns THOMAS L"/>
    <x v="1"/>
    <x v="3"/>
    <x v="2"/>
  </r>
  <r>
    <d v="2020-11-11T00:00:00"/>
    <n v="-1135.8699999999999"/>
    <n v="-1135.8699999999999"/>
    <n v="0"/>
    <s v="INTERNET BPAY       Advantedge          503712481"/>
    <x v="3"/>
    <x v="6"/>
    <x v="0"/>
  </r>
  <r>
    <d v="2020-11-11T00:00:00"/>
    <n v="1250"/>
    <n v="1250"/>
    <n v="0"/>
    <s v="ONLINE  S6533454987 Linked Acc Trns     THOMAS L"/>
    <x v="1"/>
    <x v="3"/>
    <x v="2"/>
  </r>
  <r>
    <d v="2020-11-13T00:00:00"/>
    <n v="1250"/>
    <n v="1250"/>
    <n v="0"/>
    <s v="Andrew Manokaran   ANDREW MANOKARAN"/>
    <x v="1"/>
    <x v="5"/>
    <x v="2"/>
  </r>
  <r>
    <d v="2020-11-19T00:00:00"/>
    <n v="-2035"/>
    <n v="-1850"/>
    <n v="-185"/>
    <s v="INTERNET TRANSFER 01255256 Charter Check"/>
    <x v="9"/>
    <x v="23"/>
    <x v="12"/>
  </r>
  <r>
    <d v="2020-11-19T00:00:00"/>
    <n v="4000"/>
    <n v="4000"/>
    <n v="0"/>
    <s v="ONLINE F5233545192 Linked Acc Trns THOMAS L"/>
    <x v="1"/>
    <x v="3"/>
    <x v="2"/>
  </r>
  <r>
    <d v="2020-11-19T00:00:00"/>
    <n v="4000"/>
    <n v="4000"/>
    <n v="0"/>
    <s v="Tyquin St Project ANDREW MANOKARAN Lloyd Thomas - P"/>
    <x v="1"/>
    <x v="5"/>
    <x v="2"/>
  </r>
  <r>
    <d v="2020-11-23T00:00:00"/>
    <n v="-100"/>
    <n v="-100"/>
    <n v="0"/>
    <s v="INTERNET TRANSFER Lloyd"/>
    <x v="1"/>
    <x v="3"/>
    <x v="2"/>
  </r>
  <r>
    <d v="2020-11-24T00:00:00"/>
    <n v="-4950"/>
    <n v="-4500"/>
    <n v="-450"/>
    <s v="INTERNET TRANSFER Lloyd Thomas - Trilogy"/>
    <x v="9"/>
    <x v="30"/>
    <x v="18"/>
  </r>
  <r>
    <d v="2020-11-24T00:00:00"/>
    <n v="-70"/>
    <n v="-70"/>
    <n v="0"/>
    <s v="INTERNET TRANSFER Weed Tyquin St"/>
    <x v="3"/>
    <x v="18"/>
    <x v="1"/>
  </r>
  <r>
    <d v="2020-11-24T00:00:00"/>
    <n v="-70"/>
    <n v="-70"/>
    <n v="0"/>
    <s v="INTERNET TRANSFER Weed Tyquin St"/>
    <x v="3"/>
    <x v="18"/>
    <x v="1"/>
  </r>
  <r>
    <d v="2020-12-04T00:00:00"/>
    <n v="-1800.29"/>
    <n v="-1800.29"/>
    <n v="0"/>
    <s v="INTERNET BPAY Advantedge 503712481"/>
    <x v="3"/>
    <x v="6"/>
    <x v="1"/>
  </r>
  <r>
    <d v="2020-12-04T00:00:00"/>
    <n v="5000"/>
    <n v="5000"/>
    <n v="0"/>
    <s v="Lloyd Thomas - Pay ANDREW MANOKARAN Lloyd Thomas - P"/>
    <x v="1"/>
    <x v="5"/>
    <x v="2"/>
  </r>
  <r>
    <d v="2020-12-07T00:00:00"/>
    <n v="-110"/>
    <n v="-110"/>
    <n v="0"/>
    <s v="INTERNET BPAY TAX OFFICE PAYMENTS 001713975272144860"/>
    <x v="5"/>
    <x v="31"/>
    <x v="2"/>
  </r>
  <r>
    <d v="2020-12-09T00:00:00"/>
    <n v="-50"/>
    <n v="-50"/>
    <n v="0"/>
    <s v="ONLINE N1395427213 Linked Acc Trns THOMAS L"/>
    <x v="1"/>
    <x v="3"/>
    <x v="2"/>
  </r>
  <r>
    <d v="2020-12-14T00:00:00"/>
    <n v="1250"/>
    <n v="1250"/>
    <n v="0"/>
    <s v="Andrew Manokaran ANDREW MANOKARAN Lloyd Thomas"/>
    <x v="1"/>
    <x v="5"/>
    <x v="2"/>
  </r>
  <r>
    <d v="2020-12-15T00:00:00"/>
    <n v="-1100"/>
    <n v="-1000"/>
    <n v="-100"/>
    <s v="INTERNET BPAY CHARTER KECK 01258268"/>
    <x v="9"/>
    <x v="23"/>
    <x v="12"/>
  </r>
  <r>
    <d v="2020-12-15T00:00:00"/>
    <n v="-337"/>
    <n v="-337"/>
    <n v="0"/>
    <s v="INTERNET BPAY HOBSONS BAY COUNCIL 59020006808"/>
    <x v="3"/>
    <x v="7"/>
    <x v="0"/>
  </r>
  <r>
    <d v="2020-12-15T00:00:00"/>
    <n v="-141.93"/>
    <n v="-141.93"/>
    <n v="0"/>
    <s v="INTERNET BPAY CITY WEST WATER 121739219120"/>
    <x v="3"/>
    <x v="13"/>
    <x v="1"/>
  </r>
  <r>
    <d v="2020-12-15T00:00:00"/>
    <n v="-141.93"/>
    <n v="-141.93"/>
    <n v="0"/>
    <s v="INTERNET BPAY CITY WEST WATER 121739220138"/>
    <x v="3"/>
    <x v="13"/>
    <x v="0"/>
  </r>
  <r>
    <d v="2020-12-18T00:00:00"/>
    <n v="-726"/>
    <n v="-660"/>
    <n v="-66"/>
    <s v="INTERNET TRANSFER 1212-BPB - Architect"/>
    <x v="4"/>
    <x v="20"/>
    <x v="3"/>
  </r>
  <r>
    <d v="2020-12-21T00:00:00"/>
    <n v="-100"/>
    <n v="-100"/>
    <n v="0"/>
    <s v="INTERNET TRANSFER Lloyd"/>
    <x v="1"/>
    <x v="3"/>
    <x v="2"/>
  </r>
  <r>
    <d v="2020-12-24T00:00:00"/>
    <n v="-1800.29"/>
    <n v="-1800.29"/>
    <n v="0"/>
    <s v="PTVL ADV Advantedge LLOYD THOMAS"/>
    <x v="3"/>
    <x v="6"/>
    <x v="1"/>
  </r>
  <r>
    <d v="2020-12-24T00:00:00"/>
    <n v="1500"/>
    <n v="1500"/>
    <n v="0"/>
    <s v="ONLINE C9592918912 Lloyd THOMAS L"/>
    <x v="1"/>
    <x v="3"/>
    <x v="2"/>
  </r>
  <r>
    <d v="2020-12-31T00:00:00"/>
    <n v="0.06"/>
    <n v="0.06"/>
    <n v="0"/>
    <s v="INTEREST"/>
    <x v="5"/>
    <x v="32"/>
    <x v="2"/>
  </r>
  <r>
    <d v="2021-01-06T00:00:00"/>
    <n v="-14411.1"/>
    <n v="-13101"/>
    <n v="-1310.1000000000001"/>
    <s v="Building Warrenty"/>
    <x v="10"/>
    <x v="33"/>
    <x v="15"/>
  </r>
  <r>
    <d v="2021-01-07T00:00:00"/>
    <n v="-1667.32"/>
    <n v="-1515.7454545454545"/>
    <n v="-151.57454545454544"/>
    <s v="Building Warrenty"/>
    <x v="10"/>
    <x v="33"/>
    <x v="15"/>
  </r>
  <r>
    <d v="2021-01-13T00:00:00"/>
    <n v="1250"/>
    <n v="1250"/>
    <n v="0"/>
    <s v="Andrew Manokaran    ANDREW MANOKARAN"/>
    <x v="1"/>
    <x v="5"/>
    <x v="2"/>
  </r>
  <r>
    <d v="2021-01-21T00:00:00"/>
    <n v="-100"/>
    <n v="-100"/>
    <n v="0"/>
    <s v="INTERNET TRANSFER Lloyd"/>
    <x v="1"/>
    <x v="3"/>
    <x v="2"/>
  </r>
  <r>
    <d v="2021-01-27T00:00:00"/>
    <n v="-1789.83"/>
    <n v="-1789.83"/>
    <n v="0"/>
    <s v="PTVL ADV Advantedge LLOYD THOMAS"/>
    <x v="3"/>
    <x v="6"/>
    <x v="0"/>
  </r>
  <r>
    <d v="2021-01-27T00:00:00"/>
    <n v="500"/>
    <n v="500"/>
    <n v="0"/>
    <s v="Tyquin ANDREW MANOKARAN Lloyd Thomas - P"/>
    <x v="1"/>
    <x v="5"/>
    <x v="2"/>
  </r>
  <r>
    <d v="2021-01-27T00:00:00"/>
    <n v="1000"/>
    <n v="1000"/>
    <n v="0"/>
    <s v="ONLINE H3074958618 Linked Acc Trns THOMAS L"/>
    <x v="1"/>
    <x v="3"/>
    <x v="2"/>
  </r>
  <r>
    <d v="2021-01-28T00:00:00"/>
    <n v="100"/>
    <n v="100"/>
    <n v="0"/>
    <s v="ONLINE P3744404339 Linked Acc Trns THOMAS L"/>
    <x v="1"/>
    <x v="3"/>
    <x v="2"/>
  </r>
  <r>
    <d v="2021-01-29T00:00:00"/>
    <n v="50"/>
    <n v="50"/>
    <n v="0"/>
    <s v="ONLINE N9257695224 Linked Acc Trns THOMAS L"/>
    <x v="1"/>
    <x v="3"/>
    <x v="2"/>
  </r>
  <r>
    <d v="2021-02-03T00:00:00"/>
    <n v="5000"/>
    <n v="5000"/>
    <n v="0"/>
    <s v="Lloyd Thomas - Pay ANDREW MANOKARAN Lloyd Thomas - P"/>
    <x v="1"/>
    <x v="3"/>
    <x v="2"/>
  </r>
  <r>
    <d v="2021-02-05T00:00:00"/>
    <n v="50000"/>
    <n v="50000"/>
    <n v="0"/>
    <s v="Andrew Tyquin Proj ANDREW MANOKARAN Lloyd Thomas - P"/>
    <x v="1"/>
    <x v="5"/>
    <x v="2"/>
  </r>
  <r>
    <d v="2021-02-08T00:00:00"/>
    <n v="-35000"/>
    <n v="-31818.181818181816"/>
    <n v="-3181.818181818182"/>
    <s v="INTERNET TRANSFER Tyquin St Build"/>
    <x v="10"/>
    <x v="27"/>
    <x v="15"/>
  </r>
  <r>
    <d v="2021-02-09T00:00:00"/>
    <n v="-23008"/>
    <n v="-20916.363636363636"/>
    <n v="-2091.6363636363635"/>
    <s v="INTERNET TRANSFER TYQUIN ST BUILD"/>
    <x v="10"/>
    <x v="27"/>
    <x v="15"/>
  </r>
  <r>
    <d v="2021-02-09T00:00:00"/>
    <n v="30000"/>
    <n v="30000"/>
    <n v="0"/>
    <s v="ONLINE Q5082437789 Linked Acc Trns THOMAS L"/>
    <x v="1"/>
    <x v="3"/>
    <x v="2"/>
  </r>
  <r>
    <d v="2021-02-11T00:00:00"/>
    <n v="-9566.4"/>
    <n v="-9566.4"/>
    <n v="0"/>
    <s v="INTERNET BPAY CITY WEST WATER 999141413107"/>
    <x v="10"/>
    <x v="34"/>
    <x v="19"/>
  </r>
  <r>
    <d v="2021-02-11T00:00:00"/>
    <n v="-5729.9"/>
    <n v="-5209"/>
    <n v="-520.9"/>
    <s v="INTERNET TRANSFER 6981BPRema"/>
    <x v="4"/>
    <x v="20"/>
    <x v="11"/>
  </r>
  <r>
    <d v="2021-02-11T00:00:00"/>
    <n v="-605"/>
    <n v="-550"/>
    <n v="-55"/>
    <s v="INTERNET TRANSFER B551003"/>
    <x v="10"/>
    <x v="26"/>
    <x v="2"/>
  </r>
  <r>
    <d v="2021-02-15T00:00:00"/>
    <n v="-1986.2"/>
    <n v="-1986.2"/>
    <n v="0"/>
    <s v="ONLINE V2462705736 VBA Building Permi THOMAS L (VBA Levy)"/>
    <x v="4"/>
    <x v="20"/>
    <x v="20"/>
  </r>
  <r>
    <d v="2021-02-15T00:00:00"/>
    <n v="1250"/>
    <n v="1250"/>
    <n v="0"/>
    <s v="Andrew Manokaran ANDREW MANOKARAN Lloyd Thomas"/>
    <x v="1"/>
    <x v="5"/>
    <x v="2"/>
  </r>
  <r>
    <d v="2021-02-22T00:00:00"/>
    <n v="-100"/>
    <n v="-100"/>
    <n v="0"/>
    <s v="INTERNET TRANSFER Lloyd"/>
    <x v="1"/>
    <x v="3"/>
    <x v="2"/>
  </r>
  <r>
    <d v="2021-02-23T00:00:00"/>
    <n v="30000"/>
    <n v="30000"/>
    <n v="0"/>
    <s v="ANDREW MANOKARAN Andrew Tyquin Projec"/>
    <x v="1"/>
    <x v="3"/>
    <x v="2"/>
  </r>
  <r>
    <d v="2021-02-23T00:00:00"/>
    <n v="45000"/>
    <n v="45000"/>
    <n v="0"/>
    <s v="Tyquin Street Proj ANDREW MANOKARAN Lloyd Thomas - P"/>
    <x v="1"/>
    <x v="5"/>
    <x v="2"/>
  </r>
  <r>
    <d v="2021-02-24T00:00:00"/>
    <n v="-40000"/>
    <n v="-40000"/>
    <n v="0"/>
    <s v="INTERNET TRANSFER TyquinStSettlement"/>
    <x v="0"/>
    <x v="35"/>
    <x v="2"/>
  </r>
  <r>
    <d v="2021-02-25T00:00:00"/>
    <n v="-35000"/>
    <n v="-35000"/>
    <n v="0"/>
    <s v="lloyd thomas L4074936144"/>
    <x v="0"/>
    <x v="35"/>
    <x v="2"/>
  </r>
  <r>
    <d v="2021-02-25T00:00:00"/>
    <n v="-11000"/>
    <n v="-11000"/>
    <n v="0"/>
    <s v="ONLINE Q2142725442 Linked Acc Trns THOMAS L"/>
    <x v="0"/>
    <x v="35"/>
    <x v="2"/>
  </r>
  <r>
    <d v="2021-02-25T00:00:00"/>
    <n v="-1"/>
    <n v="-1"/>
    <n v="0"/>
    <s v="lloyd thomas J6755246344"/>
    <x v="1"/>
    <x v="3"/>
    <x v="2"/>
  </r>
  <r>
    <d v="2021-02-26T00:00:00"/>
    <n v="-6325"/>
    <n v="-6325"/>
    <n v="0"/>
    <s v="Contrcution Settlement (Manual)"/>
    <x v="0"/>
    <x v="35"/>
    <x v="2"/>
  </r>
  <r>
    <d v="2021-02-28T00:00:00"/>
    <n v="-371.11"/>
    <n v="-371.11"/>
    <n v="0"/>
    <s v="Trilogy - Admin and Monitoring"/>
    <x v="9"/>
    <x v="36"/>
    <x v="2"/>
  </r>
  <r>
    <d v="2021-02-28T00:00:00"/>
    <n v="-434.01"/>
    <n v="-434.01"/>
    <n v="0"/>
    <s v="Trilogy - Interest"/>
    <x v="9"/>
    <x v="6"/>
    <x v="2"/>
  </r>
  <r>
    <d v="2021-03-01T00:00:00"/>
    <n v="-1099.07"/>
    <n v="-1099.07"/>
    <n v="0"/>
    <s v="S311052458400 BANK-M ANDREW MANOKARAN"/>
    <x v="3"/>
    <x v="6"/>
    <x v="1"/>
  </r>
  <r>
    <d v="2021-03-02T00:00:00"/>
    <n v="1099.07"/>
    <n v="1099.07"/>
    <n v="0"/>
    <s v="REVERSAL OF DEBIT ST GEORGE MERCHANT AS311052458400"/>
    <x v="3"/>
    <x v="6"/>
    <x v="1"/>
  </r>
  <r>
    <d v="2021-03-03T00:00:00"/>
    <n v="-1000"/>
    <n v="-909.09090909090912"/>
    <n v="-90.909090909090907"/>
    <s v="Lewis OBrien PL Inv 0940 Credit"/>
    <x v="7"/>
    <x v="22"/>
    <x v="2"/>
  </r>
  <r>
    <d v="2021-03-03T00:00:00"/>
    <n v="-45152"/>
    <n v="-45152"/>
    <n v="0"/>
    <s v="Application Fee"/>
    <x v="9"/>
    <x v="37"/>
    <x v="2"/>
  </r>
  <r>
    <d v="2021-03-09T00:00:00"/>
    <n v="-8812.18"/>
    <n v="-8812.18"/>
    <n v="0"/>
    <s v="McCarthy Durie Lawyers"/>
    <x v="9"/>
    <x v="38"/>
    <x v="2"/>
  </r>
  <r>
    <d v="2021-03-09T00:00:00"/>
    <n v="-288.60000000000002"/>
    <n v="-288.60000000000002"/>
    <n v="0"/>
    <s v="McCarthy Durie Lawyers"/>
    <x v="9"/>
    <x v="38"/>
    <x v="2"/>
  </r>
  <r>
    <d v="2021-03-10T00:00:00"/>
    <n v="-1000"/>
    <n v="-909.09090909090912"/>
    <n v="-90.909090909090907"/>
    <s v="INTERNET TRANSFER Lloyd"/>
    <x v="7"/>
    <x v="22"/>
    <x v="2"/>
  </r>
  <r>
    <d v="2021-03-12T00:00:00"/>
    <n v="-13750"/>
    <n v="-12500"/>
    <n v="-1250"/>
    <s v="Build Contract - IBHomes - Variation"/>
    <x v="10"/>
    <x v="39"/>
    <x v="15"/>
  </r>
  <r>
    <d v="2021-03-15T00:00:00"/>
    <n v="-100"/>
    <n v="-100"/>
    <n v="0"/>
    <s v="ONLINE M7557447265 Linked Acc Trns THOMAS L"/>
    <x v="1"/>
    <x v="3"/>
    <x v="2"/>
  </r>
  <r>
    <d v="2021-03-22T00:00:00"/>
    <n v="-100"/>
    <n v="-100"/>
    <n v="0"/>
    <s v="INTERNET TRANSFER Lloyd"/>
    <x v="1"/>
    <x v="3"/>
    <x v="2"/>
  </r>
  <r>
    <d v="2021-03-22T00:00:00"/>
    <n v="700"/>
    <n v="700"/>
    <n v="0"/>
    <s v="ANDREW MANOKARAN Andrew Tyquin ProjecInterest Payment for"/>
    <x v="1"/>
    <x v="5"/>
    <x v="2"/>
  </r>
  <r>
    <d v="2021-03-25T00:00:00"/>
    <n v="-15000"/>
    <n v="-15000"/>
    <n v="0"/>
    <s v="lloyd thomas R0157775229"/>
    <x v="1"/>
    <x v="5"/>
    <x v="2"/>
  </r>
  <r>
    <d v="2021-03-25T00:00:00"/>
    <n v="15000"/>
    <n v="15000"/>
    <n v="0"/>
    <s v="ANDREW MANOKARAN Tyquin St Project"/>
    <x v="1"/>
    <x v="5"/>
    <x v="2"/>
  </r>
  <r>
    <d v="2021-03-31T00:00:00"/>
    <n v="-3834.85"/>
    <n v="-3834.85"/>
    <n v="0"/>
    <s v="Trilogy - Admin and Monitoring"/>
    <x v="9"/>
    <x v="36"/>
    <x v="2"/>
  </r>
  <r>
    <d v="2021-03-31T00:00:00"/>
    <n v="-5031.5"/>
    <n v="-5031.5"/>
    <n v="0"/>
    <s v="Trilogy - Interest"/>
    <x v="9"/>
    <x v="6"/>
    <x v="2"/>
  </r>
  <r>
    <d v="2021-04-07T00:00:00"/>
    <n v="-1100"/>
    <n v="-1000"/>
    <n v="-100"/>
    <s v="QS Report"/>
    <x v="9"/>
    <x v="40"/>
    <x v="21"/>
  </r>
  <r>
    <d v="2021-04-07T00:00:00"/>
    <n v="-300"/>
    <n v="-300"/>
    <n v="0"/>
    <s v="TMIT Drawdown Fee 1"/>
    <x v="9"/>
    <x v="38"/>
    <x v="2"/>
  </r>
  <r>
    <d v="2021-04-13T00:00:00"/>
    <n v="400"/>
    <n v="400"/>
    <n v="0"/>
    <s v="66 Tyquin Gold Build Homes Lloyd Thomas"/>
    <x v="1"/>
    <x v="3"/>
    <x v="2"/>
  </r>
  <r>
    <d v="2021-04-13T00:00:00"/>
    <n v="-54753.49"/>
    <n v="-49775.899999999994"/>
    <n v="-4977.59"/>
    <s v="Build Contract - IBHomes - Base Stage"/>
    <x v="10"/>
    <x v="41"/>
    <x v="15"/>
  </r>
  <r>
    <d v="2021-04-21T00:00:00"/>
    <n v="-100"/>
    <n v="-100"/>
    <n v="0"/>
    <s v="INTERNET TRANSFER Lloyd"/>
    <x v="1"/>
    <x v="3"/>
    <x v="2"/>
  </r>
  <r>
    <d v="2021-04-26T00:00:00"/>
    <n v="750"/>
    <n v="750"/>
    <n v="0"/>
    <s v="ANDREW MANOKARAN Tyquin St Project"/>
    <x v="1"/>
    <x v="5"/>
    <x v="2"/>
  </r>
  <r>
    <d v="2021-04-27T00:00:00"/>
    <n v="-100418.62"/>
    <n v="-91289.654545454541"/>
    <n v="-9128.9654545454541"/>
    <s v="Build Contract - IBhomes - Slab Stage"/>
    <x v="10"/>
    <x v="42"/>
    <x v="15"/>
  </r>
  <r>
    <d v="2021-04-28T00:00:00"/>
    <n v="-300"/>
    <n v="-300"/>
    <n v="0"/>
    <s v="TMIT Drawdown Fee 2"/>
    <x v="9"/>
    <x v="38"/>
    <x v="2"/>
  </r>
  <r>
    <d v="2021-04-28T00:00:00"/>
    <n v="-90"/>
    <n v="-90"/>
    <n v="0"/>
    <m/>
    <x v="9"/>
    <x v="43"/>
    <x v="2"/>
  </r>
  <r>
    <d v="2021-04-28T00:00:00"/>
    <n v="-900"/>
    <n v="-900"/>
    <n v="0"/>
    <s v="Mitchell Brandtman"/>
    <x v="9"/>
    <x v="38"/>
    <x v="2"/>
  </r>
  <r>
    <d v="2021-04-30T00:00:00"/>
    <n v="-3711.15"/>
    <n v="-3711.15"/>
    <n v="0"/>
    <s v="Trilogy - Admin and Monitoring"/>
    <x v="9"/>
    <x v="36"/>
    <x v="2"/>
  </r>
  <r>
    <d v="2021-04-30T00:00:00"/>
    <n v="-5420.71"/>
    <n v="-5420.71"/>
    <n v="0"/>
    <s v="Trilogy - Interest"/>
    <x v="9"/>
    <x v="6"/>
    <x v="2"/>
  </r>
  <r>
    <d v="2021-05-05T00:00:00"/>
    <n v="-1100"/>
    <n v="-1000"/>
    <n v="-100"/>
    <s v="QS Report"/>
    <x v="9"/>
    <x v="40"/>
    <x v="21"/>
  </r>
  <r>
    <d v="2021-05-19T00:00:00"/>
    <n v="-165"/>
    <n v="-165"/>
    <n v="0"/>
    <s v="Transfer from Commitment Fee Account"/>
    <x v="9"/>
    <x v="6"/>
    <x v="2"/>
  </r>
  <r>
    <d v="2021-05-20T00:00:00"/>
    <n v="1750"/>
    <n v="1750"/>
    <n v="0"/>
    <s v="ANDREW MANOKARAN Tyquin Street"/>
    <x v="1"/>
    <x v="5"/>
    <x v="2"/>
  </r>
  <r>
    <d v="2021-05-21T00:00:00"/>
    <n v="-100"/>
    <n v="-100"/>
    <n v="0"/>
    <s v="INTERNET TRANSFER Lloyd"/>
    <x v="1"/>
    <x v="3"/>
    <x v="2"/>
  </r>
  <r>
    <d v="2021-05-24T00:00:00"/>
    <n v="1200"/>
    <n v="1200"/>
    <n v="0"/>
    <s v="ONLINE H2251908184 Linked Acc Trns THOMAS L"/>
    <x v="1"/>
    <x v="3"/>
    <x v="2"/>
  </r>
  <r>
    <d v="2021-05-25T00:00:00"/>
    <n v="-712.65"/>
    <n v="-712.65"/>
    <n v="0"/>
    <s v="INTERNET BPAY HOBSONS BAY COUNCIL 59020007004"/>
    <x v="3"/>
    <x v="7"/>
    <x v="1"/>
  </r>
  <r>
    <d v="2021-05-25T00:00:00"/>
    <n v="-283.86"/>
    <n v="-283.86"/>
    <n v="0"/>
    <s v="INTERNET BPAY CITY WEST WATER 121739220138"/>
    <x v="3"/>
    <x v="13"/>
    <x v="0"/>
  </r>
  <r>
    <d v="2021-05-31T00:00:00"/>
    <n v="-585"/>
    <n v="-585"/>
    <n v="0"/>
    <s v="INTERNET BPAY SROVIC LAND TAX 36952910"/>
    <x v="3"/>
    <x v="25"/>
    <x v="2"/>
  </r>
  <r>
    <d v="2021-05-31T00:00:00"/>
    <n v="-3834.85"/>
    <n v="-3834.85"/>
    <n v="0"/>
    <s v="Trilogy - Admin and Monitoring"/>
    <x v="9"/>
    <x v="36"/>
    <x v="2"/>
  </r>
  <r>
    <d v="2021-05-31T00:00:00"/>
    <n v="-6398.78"/>
    <n v="-6398.78"/>
    <n v="0"/>
    <s v="Trilogy - Interest"/>
    <x v="9"/>
    <x v="6"/>
    <x v="2"/>
  </r>
  <r>
    <d v="2021-06-01T00:00:00"/>
    <n v="-679.6"/>
    <n v="-679.6"/>
    <n v="0"/>
    <s v="INTERNET BPAY HOBSONS BAY COUNCIL 59020006808"/>
    <x v="3"/>
    <x v="7"/>
    <x v="0"/>
  </r>
  <r>
    <d v="2021-06-01T00:00:00"/>
    <n v="-287.19"/>
    <n v="-287.19"/>
    <n v="0"/>
    <s v="INTERNET BPAY CITY WEST WATER 121739219120"/>
    <x v="3"/>
    <x v="13"/>
    <x v="1"/>
  </r>
  <r>
    <d v="2021-06-14T00:00:00"/>
    <n v="-270"/>
    <n v="-270"/>
    <n v="0"/>
    <s v="ONLINE  A7885986138 Linked Acc Trns     THOMAS L"/>
    <x v="1"/>
    <x v="3"/>
    <x v="2"/>
  </r>
  <r>
    <d v="2021-06-14T00:00:00"/>
    <n v="270"/>
    <n v="270"/>
    <n v="0"/>
    <s v="ONLINE  K6015226512 Linked Acc Trns     THOMAS L"/>
    <x v="1"/>
    <x v="3"/>
    <x v="2"/>
  </r>
  <r>
    <d v="2021-06-21T00:00:00"/>
    <n v="-100"/>
    <n v="-100"/>
    <n v="0"/>
    <s v="INTERNET TRANSFER   Lloyd"/>
    <x v="1"/>
    <x v="3"/>
    <x v="2"/>
  </r>
  <r>
    <d v="2021-06-21T00:00:00"/>
    <n v="700"/>
    <n v="700"/>
    <n v="0"/>
    <s v="ONLINE  N5066228851 Linked Acc Trns     THOMAS L"/>
    <x v="1"/>
    <x v="3"/>
    <x v="2"/>
  </r>
  <r>
    <d v="2021-06-21T00:00:00"/>
    <n v="-53728.653000000006"/>
    <n v="-48844.23"/>
    <n v="-4884.4230000000007"/>
    <s v="Build Contract - Ibhomes - Frame Stage"/>
    <x v="10"/>
    <x v="44"/>
    <x v="15"/>
  </r>
  <r>
    <d v="2021-06-21T00:00:00"/>
    <n v="-11844"/>
    <n v="-10767.272727272728"/>
    <n v="-1076.7272727272727"/>
    <s v="Build Contract - IBHomes - Variation"/>
    <x v="10"/>
    <x v="39"/>
    <x v="15"/>
  </r>
  <r>
    <d v="2021-06-22T00:00:00"/>
    <n v="-733.27"/>
    <n v="-733.27"/>
    <n v="0"/>
    <s v="INTERNET BPAY       SROVIC LAND TAX     34867884"/>
    <x v="3"/>
    <x v="25"/>
    <x v="2"/>
  </r>
  <r>
    <d v="2021-06-22T00:00:00"/>
    <n v="-300"/>
    <n v="-300"/>
    <n v="0"/>
    <s v="TMIT Drawdown Fee 3"/>
    <x v="9"/>
    <x v="38"/>
    <x v="2"/>
  </r>
  <r>
    <d v="2021-06-28T00:00:00"/>
    <n v="1100"/>
    <n v="1100"/>
    <n v="0"/>
    <s v="ANDREW MANOKARAN    Tyquin Street"/>
    <x v="1"/>
    <x v="5"/>
    <x v="2"/>
  </r>
  <r>
    <d v="2021-06-28T00:00:00"/>
    <n v="-773.85"/>
    <n v="-703.5"/>
    <n v="-70.350000000000009"/>
    <s v="Services"/>
    <x v="10"/>
    <x v="45"/>
    <x v="19"/>
  </r>
  <r>
    <d v="2021-06-28T00:00:00"/>
    <n v="-1100"/>
    <n v="-1000"/>
    <n v="-100"/>
    <s v="QS Report"/>
    <x v="9"/>
    <x v="40"/>
    <x v="21"/>
  </r>
  <r>
    <d v="2021-06-30T00:00:00"/>
    <n v="-3711.15"/>
    <n v="-3711.15"/>
    <n v="0"/>
    <s v="Trilogy - Admin and Monitoring"/>
    <x v="9"/>
    <x v="36"/>
    <x v="2"/>
  </r>
  <r>
    <d v="2021-06-30T00:00:00"/>
    <n v="-6399.15"/>
    <n v="-6399.15"/>
    <n v="0"/>
    <s v="Trilogy - Interest"/>
    <x v="9"/>
    <x v="6"/>
    <x v="2"/>
  </r>
  <r>
    <d v="2021-07-05T00:00:00"/>
    <n v="-601.32000000000005"/>
    <n v="-601.32000000000005"/>
    <n v="0"/>
    <s v="Utilities"/>
    <x v="3"/>
    <x v="46"/>
    <x v="2"/>
  </r>
  <r>
    <d v="2021-07-31T00:00:00"/>
    <n v="-3834.85"/>
    <n v="-3834.85"/>
    <n v="0"/>
    <s v="Trilogy - Admin and Monitoring"/>
    <x v="9"/>
    <x v="36"/>
    <x v="2"/>
  </r>
  <r>
    <d v="2021-07-31T00:00:00"/>
    <n v="-7007.32"/>
    <n v="-7007.32"/>
    <n v="0"/>
    <s v="Trilogy - Interest"/>
    <x v="9"/>
    <x v="6"/>
    <x v="2"/>
  </r>
  <r>
    <d v="2021-08-30T00:00:00"/>
    <n v="-715"/>
    <n v="-650"/>
    <n v="-65"/>
    <s v="Legal"/>
    <x v="7"/>
    <x v="47"/>
    <x v="2"/>
  </r>
  <r>
    <d v="2021-08-30T00:00:00"/>
    <n v="-700"/>
    <n v="-636.36363636363637"/>
    <n v="-63.636363636363633"/>
    <s v="Legal"/>
    <x v="7"/>
    <x v="47"/>
    <x v="2"/>
  </r>
  <r>
    <d v="2021-08-31T00:00:00"/>
    <n v="-97185.3"/>
    <n v="-88350.272727272735"/>
    <n v="-8835.0272727272732"/>
    <s v="Build Contract - Ibhomes - Frame Stage"/>
    <x v="10"/>
    <x v="44"/>
    <x v="15"/>
  </r>
  <r>
    <d v="2021-08-31T00:00:00"/>
    <n v="-3834.85"/>
    <n v="-3834.85"/>
    <n v="0"/>
    <s v="Trilogy - Admin and Monitoring"/>
    <x v="9"/>
    <x v="36"/>
    <x v="2"/>
  </r>
  <r>
    <d v="2021-08-31T00:00:00"/>
    <n v="-7089.5"/>
    <n v="-7089.5"/>
    <n v="0"/>
    <s v="Trilogy - Interest"/>
    <x v="9"/>
    <x v="6"/>
    <x v="2"/>
  </r>
  <r>
    <d v="2021-09-02T00:00:00"/>
    <n v="-300"/>
    <n v="-300"/>
    <n v="0"/>
    <s v="TMIT Drawdown Fee 4"/>
    <x v="9"/>
    <x v="38"/>
    <x v="2"/>
  </r>
  <r>
    <d v="2021-09-06T00:00:00"/>
    <n v="-1100"/>
    <n v="-1000"/>
    <n v="-100"/>
    <s v="QS Report"/>
    <x v="9"/>
    <x v="40"/>
    <x v="21"/>
  </r>
  <r>
    <d v="2021-09-30T00:00:00"/>
    <n v="-3711.15"/>
    <n v="-3711.15"/>
    <n v="0"/>
    <s v="Trilogy - Admin and Monitoring"/>
    <x v="9"/>
    <x v="36"/>
    <x v="2"/>
  </r>
  <r>
    <d v="2021-09-30T00:00:00"/>
    <n v="-7571.56"/>
    <n v="-7571.56"/>
    <n v="0"/>
    <s v="Trilogy - Interest"/>
    <x v="9"/>
    <x v="6"/>
    <x v="2"/>
  </r>
  <r>
    <d v="2021-10-20T00:00:00"/>
    <n v="-525.70000000000005"/>
    <n v="-525.70000000000005"/>
    <n v="0"/>
    <s v="Land Tax"/>
    <x v="3"/>
    <x v="25"/>
    <x v="2"/>
  </r>
  <r>
    <d v="2021-10-20T00:00:00"/>
    <n v="-221.01"/>
    <n v="-221.01"/>
    <n v="0"/>
    <s v="Utilities"/>
    <x v="3"/>
    <x v="46"/>
    <x v="2"/>
  </r>
  <r>
    <d v="2021-10-20T00:00:00"/>
    <n v="-214.12"/>
    <n v="-214.12"/>
    <n v="0"/>
    <s v="Utilities"/>
    <x v="3"/>
    <x v="46"/>
    <x v="2"/>
  </r>
  <r>
    <d v="2021-10-31T00:00:00"/>
    <n v="-3834.85"/>
    <n v="-3834.85"/>
    <n v="0"/>
    <s v="Trilogy - Admin and Monitoring"/>
    <x v="9"/>
    <x v="36"/>
    <x v="2"/>
  </r>
  <r>
    <d v="2021-10-31T00:00:00"/>
    <n v="-7932.17"/>
    <n v="-7932.17"/>
    <n v="0"/>
    <s v="Trilogy - Interest"/>
    <x v="9"/>
    <x v="6"/>
    <x v="2"/>
  </r>
  <r>
    <d v="2021-11-30T00:00:00"/>
    <n v="-3711.15"/>
    <n v="-3711.15"/>
    <n v="0"/>
    <s v="Trilogy - Admin and Monitoring"/>
    <x v="9"/>
    <x v="36"/>
    <x v="2"/>
  </r>
  <r>
    <d v="2021-11-30T00:00:00"/>
    <n v="-7762.85"/>
    <n v="-7762.85"/>
    <n v="0"/>
    <s v="Trilogy - Interest"/>
    <x v="9"/>
    <x v="6"/>
    <x v="2"/>
  </r>
  <r>
    <d v="2021-12-13T00:00:00"/>
    <n v="-365.2"/>
    <n v="-365.2"/>
    <n v="0"/>
    <s v="Utilities"/>
    <x v="3"/>
    <x v="46"/>
    <x v="2"/>
  </r>
  <r>
    <d v="2021-12-13T00:00:00"/>
    <n v="-348.04"/>
    <n v="-348.04"/>
    <n v="0"/>
    <s v="Utilities"/>
    <x v="3"/>
    <x v="46"/>
    <x v="2"/>
  </r>
  <r>
    <d v="2021-12-31T00:00:00"/>
    <n v="-3834.85"/>
    <n v="-3834.85"/>
    <n v="0"/>
    <s v="Trilogy - Admin and Monitoring"/>
    <x v="9"/>
    <x v="36"/>
    <x v="2"/>
  </r>
  <r>
    <d v="2021-12-31T00:00:00"/>
    <n v="-8108.83"/>
    <n v="-8108.83"/>
    <n v="0"/>
    <s v="Trilogy - Interest"/>
    <x v="9"/>
    <x v="6"/>
    <x v="2"/>
  </r>
  <r>
    <d v="2022-01-10T00:00:00"/>
    <n v="-521.4"/>
    <n v="-474"/>
    <n v="-47.4"/>
    <s v="Legal"/>
    <x v="7"/>
    <x v="48"/>
    <x v="2"/>
  </r>
  <r>
    <d v="2022-01-13T00:00:00"/>
    <n v="-1500"/>
    <n v="-1363.6363636363635"/>
    <n v="-136.36363636363637"/>
    <s v="Legal"/>
    <x v="7"/>
    <x v="49"/>
    <x v="2"/>
  </r>
  <r>
    <d v="2022-01-17T00:00:00"/>
    <n v="-2866.25"/>
    <n v="-2605.681818181818"/>
    <n v="-260.56818181818181"/>
    <s v="Legal"/>
    <x v="7"/>
    <x v="48"/>
    <x v="2"/>
  </r>
  <r>
    <d v="2022-01-17T00:00:00"/>
    <n v="-1500"/>
    <n v="-1363.6363636363635"/>
    <n v="-136.36363636363637"/>
    <s v="Legal"/>
    <x v="7"/>
    <x v="49"/>
    <x v="2"/>
  </r>
  <r>
    <d v="2022-01-17T00:00:00"/>
    <n v="-98198.69"/>
    <n v="-89271.536363636362"/>
    <n v="-8927.1536363636369"/>
    <s v="Build Contract - Ibhomes - Frame Stage"/>
    <x v="10"/>
    <x v="44"/>
    <x v="15"/>
  </r>
  <r>
    <d v="2022-01-21T00:00:00"/>
    <n v="-273.05"/>
    <n v="-273.05"/>
    <n v="0"/>
    <s v="Utilities"/>
    <x v="3"/>
    <x v="46"/>
    <x v="2"/>
  </r>
  <r>
    <d v="2022-01-21T00:00:00"/>
    <n v="-300"/>
    <n v="-300"/>
    <n v="0"/>
    <s v="TMIT Drawdown Fee 5"/>
    <x v="9"/>
    <x v="38"/>
    <x v="2"/>
  </r>
  <r>
    <d v="2022-01-29T00:00:00"/>
    <n v="-1100"/>
    <n v="-1000"/>
    <n v="-100"/>
    <s v="QS Report"/>
    <x v="9"/>
    <x v="40"/>
    <x v="21"/>
  </r>
  <r>
    <d v="2022-01-31T00:00:00"/>
    <n v="-3900"/>
    <n v="-3545.4545454545455"/>
    <n v="-354.54545454545456"/>
    <s v="Expert Report - Darbecca"/>
    <x v="11"/>
    <x v="50"/>
    <x v="22"/>
  </r>
  <r>
    <d v="2022-01-31T00:00:00"/>
    <n v="-3834.85"/>
    <n v="-3834.85"/>
    <n v="0"/>
    <s v="Trilogy - Admin and Monitoring"/>
    <x v="9"/>
    <x v="36"/>
    <x v="2"/>
  </r>
  <r>
    <d v="2022-01-31T00:00:00"/>
    <n v="-8441.2199999999993"/>
    <n v="-8441.2199999999993"/>
    <n v="0"/>
    <s v="Trilogy - Interest"/>
    <x v="9"/>
    <x v="6"/>
    <x v="2"/>
  </r>
  <r>
    <d v="2022-02-10T00:00:00"/>
    <n v="-625"/>
    <n v="-568.18181818181813"/>
    <n v="-56.81818181818182"/>
    <s v="Legal"/>
    <x v="7"/>
    <x v="49"/>
    <x v="2"/>
  </r>
  <r>
    <d v="2022-02-11T00:00:00"/>
    <n v="-2085.6"/>
    <n v="-1896"/>
    <n v="-189.6"/>
    <s v="Legal"/>
    <x v="7"/>
    <x v="48"/>
    <x v="2"/>
  </r>
  <r>
    <d v="2022-02-28T00:00:00"/>
    <n v="-3463.74"/>
    <n v="-3463.74"/>
    <n v="0"/>
    <s v="Trilogy - Admin and Monitoring"/>
    <x v="9"/>
    <x v="36"/>
    <x v="2"/>
  </r>
  <r>
    <d v="2022-02-28T00:00:00"/>
    <n v="-8105.37"/>
    <n v="-8105.37"/>
    <n v="0"/>
    <s v="Trilogy - Interest"/>
    <x v="9"/>
    <x v="6"/>
    <x v="2"/>
  </r>
  <r>
    <d v="2022-03-09T00:00:00"/>
    <n v="-3120"/>
    <n v="-2836.3636363636365"/>
    <n v="-283.63636363636363"/>
    <s v="Expert Report - Darbecca"/>
    <x v="11"/>
    <x v="50"/>
    <x v="22"/>
  </r>
  <r>
    <d v="2022-03-17T00:00:00"/>
    <n v="-2346"/>
    <n v="-2132.7272727272725"/>
    <n v="-213.27272727272728"/>
    <s v="Legal"/>
    <x v="7"/>
    <x v="48"/>
    <x v="2"/>
  </r>
  <r>
    <d v="2022-03-17T00:00:00"/>
    <n v="-67995.25"/>
    <n v="-61813.863636363632"/>
    <n v="-6181.386363636364"/>
    <s v="Build Contract - Ibhomes - Lockup Stage"/>
    <x v="10"/>
    <x v="51"/>
    <x v="15"/>
  </r>
  <r>
    <d v="2022-03-17T00:00:00"/>
    <n v="-300"/>
    <n v="-300"/>
    <n v="0"/>
    <s v="TMIT Drawdown Fee 6"/>
    <x v="9"/>
    <x v="38"/>
    <x v="2"/>
  </r>
  <r>
    <d v="2022-03-31T00:00:00"/>
    <n v="-3834.85"/>
    <n v="-3834.85"/>
    <n v="0"/>
    <s v="Trilogy - Admin and Monitoring"/>
    <x v="9"/>
    <x v="36"/>
    <x v="2"/>
  </r>
  <r>
    <d v="2022-03-31T00:00:00"/>
    <n v="-9290.2000000000007"/>
    <n v="-9290.2000000000007"/>
    <n v="0"/>
    <s v="Trilogy - Interest"/>
    <x v="9"/>
    <x v="6"/>
    <x v="2"/>
  </r>
  <r>
    <d v="2022-04-12T00:00:00"/>
    <n v="-1100"/>
    <n v="-1000"/>
    <n v="-100"/>
    <s v="QS Report"/>
    <x v="9"/>
    <x v="40"/>
    <x v="21"/>
  </r>
  <r>
    <d v="2022-04-20T00:00:00"/>
    <n v="-450"/>
    <n v="-409.09090909090912"/>
    <n v="-40.909090909090907"/>
    <s v="Legal"/>
    <x v="7"/>
    <x v="49"/>
    <x v="2"/>
  </r>
  <r>
    <d v="2022-04-20T00:00:00"/>
    <n v="-2563.5500000000002"/>
    <n v="-2330.5"/>
    <n v="-233.05"/>
    <s v="Legal"/>
    <x v="7"/>
    <x v="48"/>
    <x v="2"/>
  </r>
  <r>
    <d v="2022-04-21T00:00:00"/>
    <n v="-150.91999999999999"/>
    <n v="-137.19999999999999"/>
    <n v="-13.719999999999999"/>
    <s v="Video Survellience"/>
    <x v="11"/>
    <x v="52"/>
    <x v="23"/>
  </r>
  <r>
    <d v="2022-04-21T00:00:00"/>
    <n v="-1023"/>
    <n v="-930"/>
    <n v="-93"/>
    <s v="Temp Fencing"/>
    <x v="11"/>
    <x v="53"/>
    <x v="24"/>
  </r>
  <r>
    <d v="2022-04-27T00:00:00"/>
    <n v="-779.5"/>
    <n v="-708.63636363636363"/>
    <n v="-70.86363636363636"/>
    <s v="Video Survellience"/>
    <x v="11"/>
    <x v="52"/>
    <x v="23"/>
  </r>
  <r>
    <d v="2022-04-30T00:00:00"/>
    <n v="-3711.15"/>
    <n v="-3711.15"/>
    <n v="0"/>
    <s v="Trilogy - Admin and Monitoring"/>
    <x v="9"/>
    <x v="36"/>
    <x v="2"/>
  </r>
  <r>
    <d v="2022-04-30T00:00:00"/>
    <n v="-9322.9"/>
    <n v="-9322.9"/>
    <n v="0"/>
    <s v="Trilogy - Interest"/>
    <x v="9"/>
    <x v="6"/>
    <x v="2"/>
  </r>
  <r>
    <d v="2022-05-04T00:00:00"/>
    <n v="-220"/>
    <n v="-200"/>
    <n v="-20"/>
    <s v="Video Survellience"/>
    <x v="11"/>
    <x v="52"/>
    <x v="23"/>
  </r>
  <r>
    <d v="2022-05-04T00:00:00"/>
    <n v="-3357.2"/>
    <n v="-3052"/>
    <n v="-305.2"/>
    <s v="Exppert Report - Spot On"/>
    <x v="11"/>
    <x v="50"/>
    <x v="25"/>
  </r>
  <r>
    <d v="2022-05-06T00:00:00"/>
    <n v="-77"/>
    <n v="-70"/>
    <n v="-7"/>
    <s v="Mis"/>
    <x v="11"/>
    <x v="54"/>
    <x v="2"/>
  </r>
  <r>
    <d v="2022-05-06T00:00:00"/>
    <n v="-5909.2"/>
    <n v="-5372"/>
    <n v="-537.19999999999993"/>
    <s v="Legal"/>
    <x v="7"/>
    <x v="48"/>
    <x v="2"/>
  </r>
  <r>
    <d v="2022-05-12T00:00:00"/>
    <n v="-1250"/>
    <n v="-1250"/>
    <n v="0"/>
    <s v="Variation Fee"/>
    <x v="9"/>
    <x v="37"/>
    <x v="2"/>
  </r>
  <r>
    <d v="2022-05-27T00:00:00"/>
    <n v="-754.34"/>
    <n v="-685.76363636363635"/>
    <n v="-68.576363636363638"/>
    <s v="Video Survellience"/>
    <x v="11"/>
    <x v="52"/>
    <x v="23"/>
  </r>
  <r>
    <d v="2022-05-31T00:00:00"/>
    <n v="-3992.39"/>
    <n v="-3992.39"/>
    <n v="0"/>
    <s v="Trilogy - Admin and Monitoring"/>
    <x v="9"/>
    <x v="36"/>
    <x v="2"/>
  </r>
  <r>
    <d v="2022-05-31T00:00:00"/>
    <n v="-9739.3799999999992"/>
    <n v="-9739.3799999999992"/>
    <n v="0"/>
    <s v="Trilogy - Interest"/>
    <x v="9"/>
    <x v="6"/>
    <x v="2"/>
  </r>
  <r>
    <d v="2022-05-31T00:00:00"/>
    <n v="-2087.92"/>
    <n v="-2087.92"/>
    <n v="0"/>
    <s v="Extension Fee 1.92% May 2022"/>
    <x v="9"/>
    <x v="37"/>
    <x v="2"/>
  </r>
  <r>
    <d v="2022-06-06T00:00:00"/>
    <n v="-225.95"/>
    <n v="-205.40909090909091"/>
    <n v="-20.540909090909089"/>
    <s v="Temp Fencing"/>
    <x v="11"/>
    <x v="53"/>
    <x v="24"/>
  </r>
  <r>
    <d v="2022-06-15T00:00:00"/>
    <n v="-27.33"/>
    <n v="-27.33"/>
    <n v="0"/>
    <s v="Utilities"/>
    <x v="3"/>
    <x v="46"/>
    <x v="2"/>
  </r>
  <r>
    <d v="2022-06-15T00:00:00"/>
    <n v="-23.73"/>
    <n v="-23.73"/>
    <n v="0"/>
    <s v="Utilities"/>
    <x v="3"/>
    <x v="46"/>
    <x v="2"/>
  </r>
  <r>
    <d v="2022-06-21T00:00:00"/>
    <n v="-1894.2"/>
    <n v="-1722"/>
    <n v="-172.20000000000002"/>
    <s v="Legal"/>
    <x v="7"/>
    <x v="48"/>
    <x v="2"/>
  </r>
  <r>
    <d v="2022-06-24T00:00:00"/>
    <n v="-779.5"/>
    <n v="-708.63636363636363"/>
    <n v="-70.86363636363636"/>
    <s v="Video Survellience"/>
    <x v="11"/>
    <x v="52"/>
    <x v="23"/>
  </r>
  <r>
    <d v="2022-06-28T00:00:00"/>
    <n v="-206.94"/>
    <n v="-206.94"/>
    <n v="0"/>
    <s v="Utilities"/>
    <x v="3"/>
    <x v="46"/>
    <x v="2"/>
  </r>
  <r>
    <d v="2022-06-30T00:00:00"/>
    <n v="-7000"/>
    <n v="-6363.636363636364"/>
    <n v="-636.36363636363637"/>
    <s v="Exppert Report - Spot On"/>
    <x v="11"/>
    <x v="50"/>
    <x v="25"/>
  </r>
  <r>
    <d v="2022-06-30T00:00:00"/>
    <n v="-223.3"/>
    <n v="-203"/>
    <n v="-20.3"/>
    <s v="Temp Fencing"/>
    <x v="11"/>
    <x v="53"/>
    <x v="24"/>
  </r>
  <r>
    <d v="2022-06-30T00:00:00"/>
    <n v="-3916.63"/>
    <n v="-3916.63"/>
    <n v="0"/>
    <s v="Trilogy - Admin and Monitoring"/>
    <x v="9"/>
    <x v="36"/>
    <x v="2"/>
  </r>
  <r>
    <d v="2022-06-30T00:00:00"/>
    <n v="-9544.85"/>
    <n v="-9544.85"/>
    <n v="0"/>
    <s v="Trilogy - Interest"/>
    <x v="9"/>
    <x v="6"/>
    <x v="2"/>
  </r>
  <r>
    <d v="2022-06-30T00:00:00"/>
    <n v="-2047.5"/>
    <n v="-2047.5"/>
    <n v="0"/>
    <s v="Extension Fee 1.92% June 2022"/>
    <x v="9"/>
    <x v="37"/>
    <x v="2"/>
  </r>
  <r>
    <d v="2022-07-05T00:00:00"/>
    <n v="-779.5"/>
    <n v="-708.63636363636363"/>
    <n v="-70.86363636363636"/>
    <s v="iDetect"/>
    <x v="11"/>
    <x v="52"/>
    <x v="2"/>
  </r>
  <r>
    <d v="2022-07-14T00:00:00"/>
    <n v="-856.9"/>
    <n v="-779"/>
    <n v="-77.899999999999991"/>
    <s v="Legals"/>
    <x v="7"/>
    <x v="48"/>
    <x v="2"/>
  </r>
  <r>
    <d v="2022-07-14T00:00:00"/>
    <n v="-7784"/>
    <n v="-7076.363636363636"/>
    <n v="-707.63636363636363"/>
    <s v="Spont on Consulting - Expert Report"/>
    <x v="11"/>
    <x v="50"/>
    <x v="2"/>
  </r>
  <r>
    <d v="2022-07-27T00:00:00"/>
    <n v="-779.5"/>
    <n v="-708.63636363636363"/>
    <n v="-70.86363636363636"/>
    <s v="iDetect"/>
    <x v="11"/>
    <x v="52"/>
    <x v="2"/>
  </r>
  <r>
    <d v="2022-07-29T00:00:00"/>
    <n v="-2141.04"/>
    <n v="-2141.04"/>
    <n v="0"/>
    <s v="Extension Fee 1.92% July 2022"/>
    <x v="9"/>
    <x v="37"/>
    <x v="2"/>
  </r>
  <r>
    <d v="2022-07-31T00:00:00"/>
    <n v="-4047.18"/>
    <n v="-4047.18"/>
    <n v="0"/>
    <s v="Trilogy - Admin and Monitoring"/>
    <x v="9"/>
    <x v="36"/>
    <x v="2"/>
  </r>
  <r>
    <d v="2022-07-31T00:00:00"/>
    <n v="-9981.9599999999991"/>
    <n v="-9981.9599999999991"/>
    <n v="0"/>
    <s v="Trilogy - Interest"/>
    <x v="9"/>
    <x v="6"/>
    <x v="2"/>
  </r>
  <r>
    <d v="2022-08-01T00:00:00"/>
    <n v="-238.7"/>
    <n v="-217"/>
    <n v="-21.7"/>
    <s v="Klem Hire - Fencing"/>
    <x v="11"/>
    <x v="53"/>
    <x v="24"/>
  </r>
  <r>
    <d v="2022-08-15T00:00:00"/>
    <n v="-389.75"/>
    <n v="-354.31818181818181"/>
    <n v="-35.43181818181818"/>
    <s v="iDetect"/>
    <x v="11"/>
    <x v="52"/>
    <x v="2"/>
  </r>
  <r>
    <d v="2022-08-16T00:00:00"/>
    <n v="-586.29999999999995"/>
    <n v="-533"/>
    <n v="-53.3"/>
    <s v="Legals"/>
    <x v="7"/>
    <x v="48"/>
    <x v="2"/>
  </r>
  <r>
    <d v="2022-08-31T00:00:00"/>
    <n v="-4047.18"/>
    <n v="-4047.18"/>
    <n v="0"/>
    <s v="Trilogy - Admin and Monitoring"/>
    <x v="9"/>
    <x v="36"/>
    <x v="2"/>
  </r>
  <r>
    <d v="2022-08-31T00:00:00"/>
    <n v="-10103.83"/>
    <n v="-10103.83"/>
    <n v="0"/>
    <s v="Trilogy - Interest"/>
    <x v="9"/>
    <x v="6"/>
    <x v="2"/>
  </r>
  <r>
    <d v="2022-08-31T00:00:00"/>
    <n v="-2167.41"/>
    <n v="-2167.41"/>
    <n v="0"/>
    <s v="Extension Fee 1.92% August 2022"/>
    <x v="9"/>
    <x v="37"/>
    <x v="2"/>
  </r>
  <r>
    <d v="2022-09-01T00:00:00"/>
    <n v="-231"/>
    <n v="-210"/>
    <n v="-21"/>
    <s v="Klem Hire - Fencing"/>
    <x v="11"/>
    <x v="53"/>
    <x v="24"/>
  </r>
  <r>
    <d v="2022-09-06T00:00:00"/>
    <n v="-377.17"/>
    <n v="-342.88181818181818"/>
    <n v="-34.288181818181819"/>
    <s v="iDetect"/>
    <x v="11"/>
    <x v="52"/>
    <x v="2"/>
  </r>
  <r>
    <d v="2022-09-15T00:00:00"/>
    <n v="-195.25"/>
    <n v="-177.5"/>
    <n v="-17.75"/>
    <s v="Klem Hire - Fencing"/>
    <x v="11"/>
    <x v="53"/>
    <x v="24"/>
  </r>
  <r>
    <d v="2022-09-30T00:00:00"/>
    <n v="-3916.63"/>
    <n v="-3916.63"/>
    <n v="0"/>
    <s v="Trilogy - Admin and Monitoring"/>
    <x v="9"/>
    <x v="36"/>
    <x v="2"/>
  </r>
  <r>
    <d v="2022-09-30T00:00:00"/>
    <n v="-9897.9500000000007"/>
    <n v="-9897.9500000000007"/>
    <n v="0"/>
    <s v="Trilogy - Interest"/>
    <x v="9"/>
    <x v="6"/>
    <x v="2"/>
  </r>
  <r>
    <d v="2022-09-30T00:00:00"/>
    <n v="-2123.25"/>
    <n v="-2123.25"/>
    <n v="0"/>
    <s v="Extension Fee 1.92% September 2022"/>
    <x v="9"/>
    <x v="37"/>
    <x v="2"/>
  </r>
  <r>
    <d v="2022-10-27T00:00:00"/>
    <n v="-300"/>
    <n v="-300"/>
    <n v="0"/>
    <s v="TMIT Drawdown fee 7"/>
    <x v="9"/>
    <x v="38"/>
    <x v="2"/>
  </r>
  <r>
    <d v="2022-10-31T00:00:00"/>
    <n v="-4047.18"/>
    <n v="-4047.18"/>
    <n v="0"/>
    <s v="Trilogy - Admin and Monitoring"/>
    <x v="9"/>
    <x v="36"/>
    <x v="2"/>
  </r>
  <r>
    <d v="2022-10-31T00:00:00"/>
    <n v="10460.950000000001"/>
    <n v="10460.950000000001"/>
    <n v="0"/>
    <s v="Trilogy - Interest"/>
    <x v="9"/>
    <x v="6"/>
    <x v="2"/>
  </r>
  <r>
    <d v="2022-10-31T00:00:00"/>
    <n v="-2220.0100000000002"/>
    <n v="-2220.0100000000002"/>
    <n v="0"/>
    <s v="Extension Fee 1.92% October 2022"/>
    <x v="9"/>
    <x v="37"/>
    <x v="2"/>
  </r>
  <r>
    <d v="2022-11-14T00:00:00"/>
    <n v="-225.95"/>
    <n v="-225.95"/>
    <n v="0"/>
    <s v="Utilities"/>
    <x v="3"/>
    <x v="46"/>
    <x v="2"/>
  </r>
  <r>
    <d v="2022-11-14T00:00:00"/>
    <n v="-222.5"/>
    <n v="-222.5"/>
    <n v="0"/>
    <s v="Utilities"/>
    <x v="3"/>
    <x v="46"/>
    <x v="2"/>
  </r>
  <r>
    <d v="2022-11-17T00:00:00"/>
    <n v="-300"/>
    <n v="-300"/>
    <n v="0"/>
    <s v="TMIT Drawdown Fee 2"/>
    <x v="9"/>
    <x v="38"/>
    <x v="2"/>
  </r>
  <r>
    <d v="2022-11-18T00:00:00"/>
    <n v="-290"/>
    <n v="290"/>
    <n v="0"/>
    <s v="ASIC"/>
    <x v="5"/>
    <x v="55"/>
    <x v="2"/>
  </r>
  <r>
    <d v="2022-11-18T00:00:00"/>
    <n v="-1000"/>
    <n v="-909.09090909090912"/>
    <n v="-90.909090909090907"/>
    <s v="Legals"/>
    <x v="7"/>
    <x v="48"/>
    <x v="2"/>
  </r>
  <r>
    <d v="2022-11-21T00:00:00"/>
    <n v="-1100"/>
    <n v="-1000"/>
    <n v="-100"/>
    <s v="QS Report"/>
    <x v="9"/>
    <x v="40"/>
    <x v="21"/>
  </r>
  <r>
    <d v="2022-11-23T00:00:00"/>
    <n v="-500"/>
    <n v="-454.54545454545456"/>
    <n v="-45.454545454545453"/>
    <s v="Legals"/>
    <x v="7"/>
    <x v="48"/>
    <x v="2"/>
  </r>
  <r>
    <d v="2022-11-30T00:00:00"/>
    <n v="-3916.63"/>
    <n v="-3916.63"/>
    <n v="0"/>
    <s v="Trilogy - Admin and Monitoring"/>
    <x v="9"/>
    <x v="36"/>
    <x v="2"/>
  </r>
  <r>
    <d v="2022-11-30T00:00:00"/>
    <n v="-11026.83"/>
    <n v="-11026.83"/>
    <n v="0"/>
    <s v="Trilogy - Interest"/>
    <x v="9"/>
    <x v="6"/>
    <x v="2"/>
  </r>
  <r>
    <d v="2022-11-30T00:00:00"/>
    <n v="-2318.86"/>
    <n v="-2318.86"/>
    <n v="0"/>
    <s v="Extension Fee 1.92% November 2022"/>
    <x v="9"/>
    <x v="37"/>
    <x v="2"/>
  </r>
  <r>
    <d v="2022-12-12T00:00:00"/>
    <n v="-400"/>
    <n v="-363.63636363636363"/>
    <n v="-36.363636363636367"/>
    <s v="Barrister"/>
    <x v="7"/>
    <x v="49"/>
    <x v="2"/>
  </r>
  <r>
    <d v="2022-12-12T00:00:00"/>
    <n v="-1000"/>
    <n v="-909.09090909090912"/>
    <n v="-90.909090909090907"/>
    <s v="Legal"/>
    <x v="7"/>
    <x v="48"/>
    <x v="2"/>
  </r>
  <r>
    <d v="2022-12-19T00:00:00"/>
    <n v="-750"/>
    <n v="-681.81818181818176"/>
    <n v="-68.181818181818187"/>
    <s v="Legals"/>
    <x v="7"/>
    <x v="48"/>
    <x v="2"/>
  </r>
  <r>
    <d v="2022-12-22T00:00:00"/>
    <n v="-300"/>
    <n v="-300"/>
    <n v="0"/>
    <s v="TMIT Drawdown Fee 9"/>
    <x v="9"/>
    <x v="38"/>
    <x v="2"/>
  </r>
  <r>
    <d v="2022-12-30T00:00:00"/>
    <n v="-2527.39"/>
    <n v="-2527.39"/>
    <n v="0"/>
    <s v="Extension Fee 1.92% December 2022"/>
    <x v="9"/>
    <x v="37"/>
    <x v="2"/>
  </r>
  <r>
    <d v="2022-12-31T00:00:00"/>
    <n v="-43450"/>
    <n v="-39500"/>
    <n v="-3950"/>
    <s v="Build Contract - Clancy - Defects 3"/>
    <x v="10"/>
    <x v="56"/>
    <x v="26"/>
  </r>
  <r>
    <d v="2022-12-31T00:00:00"/>
    <n v="-1100"/>
    <n v="-1000"/>
    <n v="-100"/>
    <s v="QS Report"/>
    <x v="9"/>
    <x v="40"/>
    <x v="21"/>
  </r>
  <r>
    <d v="2022-12-31T00:00:00"/>
    <n v="-4047.18"/>
    <n v="-4047.18"/>
    <n v="0"/>
    <s v="Trilogy - Admin and Monitoring"/>
    <x v="9"/>
    <x v="36"/>
    <x v="2"/>
  </r>
  <r>
    <d v="2022-12-31T00:00:00"/>
    <n v="-11880.14"/>
    <n v="-11880.14"/>
    <n v="0"/>
    <s v="Trilogy - Interest"/>
    <x v="9"/>
    <x v="6"/>
    <x v="2"/>
  </r>
  <r>
    <d v="2023-01-31T00:00:00"/>
    <n v="-4047.18"/>
    <n v="-4047.18"/>
    <n v="0"/>
    <s v="Trilogy - Admin and Monitoring"/>
    <x v="9"/>
    <x v="36"/>
    <x v="2"/>
  </r>
  <r>
    <d v="2023-01-31T00:00:00"/>
    <n v="-12224.77"/>
    <n v="-12224.77"/>
    <n v="0"/>
    <s v="Trilogy - Interest"/>
    <x v="9"/>
    <x v="6"/>
    <x v="2"/>
  </r>
  <r>
    <d v="2023-01-31T00:00:00"/>
    <n v="-2622.38"/>
    <n v="-2622.38"/>
    <n v="0"/>
    <s v="Extension Fee 1.92% January 2023"/>
    <x v="9"/>
    <x v="37"/>
    <x v="2"/>
  </r>
  <r>
    <d v="2023-02-03T00:00:00"/>
    <n v="-111.25"/>
    <n v="-111.25"/>
    <n v="0"/>
    <s v="Utilities"/>
    <x v="3"/>
    <x v="46"/>
    <x v="2"/>
  </r>
  <r>
    <d v="2023-02-03T00:00:00"/>
    <n v="-111.25"/>
    <n v="-111.25"/>
    <n v="0"/>
    <s v="Utilities"/>
    <x v="3"/>
    <x v="46"/>
    <x v="2"/>
  </r>
  <r>
    <d v="2023-02-03T00:00:00"/>
    <n v="-1000"/>
    <n v="-909.09090909090912"/>
    <n v="-90.909090909090907"/>
    <s v="Legals"/>
    <x v="7"/>
    <x v="48"/>
    <x v="2"/>
  </r>
  <r>
    <d v="2023-02-20T00:00:00"/>
    <n v="-300"/>
    <n v="-300"/>
    <n v="0"/>
    <s v="TMIT Drawdown Fee 10"/>
    <x v="9"/>
    <x v="38"/>
    <x v="2"/>
  </r>
  <r>
    <d v="2023-02-28T00:00:00"/>
    <n v="-3655.52"/>
    <n v="-3655.52"/>
    <n v="0"/>
    <s v="Trilogy - Admin and Monitoring"/>
    <x v="9"/>
    <x v="36"/>
    <x v="2"/>
  </r>
  <r>
    <d v="2023-02-28T00:00:00"/>
    <n v="-11299.74"/>
    <n v="-11299.74"/>
    <n v="0"/>
    <s v="Trilogy - Interest"/>
    <x v="9"/>
    <x v="6"/>
    <x v="2"/>
  </r>
  <r>
    <d v="2023-02-28T00:00:00"/>
    <n v="-2496.2800000000002"/>
    <n v="-2496.2800000000002"/>
    <n v="0"/>
    <s v="Extension Fee 2% February 2023"/>
    <x v="9"/>
    <x v="57"/>
    <x v="2"/>
  </r>
  <r>
    <d v="2023-03-29T00:00:00"/>
    <n v="-300"/>
    <n v="-300"/>
    <n v="0"/>
    <s v="TMIT Drawdown Fee 11"/>
    <x v="9"/>
    <x v="38"/>
    <x v="2"/>
  </r>
  <r>
    <d v="2023-03-31T00:00:00"/>
    <n v="-4047.18"/>
    <n v="-4047.18"/>
    <n v="0"/>
    <s v="Trilogy - Admin and Monitoring"/>
    <x v="9"/>
    <x v="36"/>
    <x v="2"/>
  </r>
  <r>
    <d v="2023-03-31T00:00:00"/>
    <n v="-12985.27"/>
    <n v="-12985.27"/>
    <n v="0"/>
    <s v="Trilogy - Interest"/>
    <x v="9"/>
    <x v="6"/>
    <x v="2"/>
  </r>
  <r>
    <d v="2023-03-31T00:00:00"/>
    <n v="-2892.11"/>
    <n v="-2892.11"/>
    <n v="0"/>
    <s v="Extension Fee 2% March 2023"/>
    <x v="9"/>
    <x v="57"/>
    <x v="2"/>
  </r>
  <r>
    <d v="2023-04-28T00:00:00"/>
    <n v="-2926.25"/>
    <n v="-2926.25"/>
    <n v="0"/>
    <s v="Extension Fee 2% April 2023"/>
    <x v="9"/>
    <x v="57"/>
    <x v="2"/>
  </r>
  <r>
    <d v="2023-04-30T00:00:00"/>
    <n v="-3916.63"/>
    <n v="-3916.63"/>
    <n v="0"/>
    <s v="Trilogy - Admin and Monitoring"/>
    <x v="9"/>
    <x v="36"/>
    <x v="2"/>
  </r>
  <r>
    <d v="2023-04-30T00:00:00"/>
    <n v="-13901.99"/>
    <n v="-13901.99"/>
    <n v="0"/>
    <s v="Trilogy - Interest"/>
    <x v="9"/>
    <x v="6"/>
    <x v="2"/>
  </r>
  <r>
    <d v="2023-05-02T00:00:00"/>
    <n v="-1788.31"/>
    <n v="-1625.7363636363636"/>
    <n v="-162.57363636363635"/>
    <s v="Sales Advertising"/>
    <x v="12"/>
    <x v="58"/>
    <x v="27"/>
  </r>
  <r>
    <d v="2023-05-04T00:00:00"/>
    <n v="-300"/>
    <n v="-300"/>
    <n v="0"/>
    <s v="TMIT Drawdown Fee 12"/>
    <x v="9"/>
    <x v="38"/>
    <x v="2"/>
  </r>
  <r>
    <d v="2023-05-04T00:00:00"/>
    <n v="-4950"/>
    <n v="-4950"/>
    <n v="0"/>
    <s v="Charter Keck Cramer"/>
    <x v="9"/>
    <x v="59"/>
    <x v="2"/>
  </r>
  <r>
    <d v="2023-05-10T00:00:00"/>
    <n v="-2000"/>
    <n v="-1818.1818181818182"/>
    <n v="-181.81818181818181"/>
    <s v="JCL"/>
    <x v="7"/>
    <x v="48"/>
    <x v="2"/>
  </r>
  <r>
    <d v="2023-05-11T00:00:00"/>
    <n v="-218.64"/>
    <n v="-198.76363636363635"/>
    <n v="-19.876363636363635"/>
    <s v="Electricity"/>
    <x v="3"/>
    <x v="46"/>
    <x v="2"/>
  </r>
  <r>
    <d v="2023-05-11T00:00:00"/>
    <n v="-111.25"/>
    <n v="-111.25"/>
    <n v="0"/>
    <s v="Water"/>
    <x v="3"/>
    <x v="46"/>
    <x v="2"/>
  </r>
  <r>
    <d v="2023-05-11T00:00:00"/>
    <n v="-111.25"/>
    <n v="-111.25"/>
    <n v="0"/>
    <s v="Water"/>
    <x v="3"/>
    <x v="46"/>
    <x v="2"/>
  </r>
  <r>
    <d v="2023-05-22T00:00:00"/>
    <n v="-855.6"/>
    <n v="-777.81818181818187"/>
    <n v="-77.781818181818181"/>
    <s v="Barrister"/>
    <x v="7"/>
    <x v="49"/>
    <x v="2"/>
  </r>
  <r>
    <d v="2023-05-22T00:00:00"/>
    <n v="-410"/>
    <n v="-372.72727272727275"/>
    <n v="-37.272727272727273"/>
    <s v="Barrister"/>
    <x v="7"/>
    <x v="49"/>
    <x v="2"/>
  </r>
  <r>
    <d v="2023-05-22T00:00:00"/>
    <n v="-2029"/>
    <n v="-1844.5454545454545"/>
    <n v="-184.45454545454547"/>
    <s v="JCL"/>
    <x v="7"/>
    <x v="48"/>
    <x v="2"/>
  </r>
  <r>
    <d v="2023-05-30T00:00:00"/>
    <n v="-68817.58"/>
    <n v="-62561.436363636363"/>
    <n v="-6256.1436363636367"/>
    <s v="Build Contract - Clancy - Defects 7"/>
    <x v="10"/>
    <x v="56"/>
    <x v="26"/>
  </r>
  <r>
    <d v="2023-05-31T00:00:00"/>
    <n v="-4047.18"/>
    <n v="-4047.18"/>
    <n v="0"/>
    <s v="Trilogy - Admin and Monitoring"/>
    <x v="9"/>
    <x v="36"/>
    <x v="2"/>
  </r>
  <r>
    <d v="2023-05-31T00:00:00"/>
    <n v="-15269.77"/>
    <n v="-15269.77"/>
    <n v="0"/>
    <s v="Trilogy - Interest"/>
    <x v="9"/>
    <x v="6"/>
    <x v="2"/>
  </r>
  <r>
    <d v="2023-05-31T00:00:00"/>
    <n v="-3059.03"/>
    <n v="-3059.03"/>
    <n v="0"/>
    <s v="Extension Fee 2% May 2023"/>
    <x v="9"/>
    <x v="57"/>
    <x v="2"/>
  </r>
  <r>
    <d v="2023-06-06T00:00:00"/>
    <n v="-111.25"/>
    <n v="-101.13636363636364"/>
    <n v="-10.113636363636363"/>
    <m/>
    <x v="3"/>
    <x v="46"/>
    <x v="2"/>
  </r>
  <r>
    <d v="2023-06-16T00:00:00"/>
    <n v="-300"/>
    <n v="-300"/>
    <n v="0"/>
    <s v="TMIT Drawdown Fee 13"/>
    <x v="9"/>
    <x v="38"/>
    <x v="2"/>
  </r>
  <r>
    <d v="2023-06-21T00:00:00"/>
    <n v="-4028"/>
    <n v="-3661.818181818182"/>
    <n v="-366.18181818181819"/>
    <s v="JCL"/>
    <x v="7"/>
    <x v="48"/>
    <x v="2"/>
  </r>
  <r>
    <d v="2023-06-30T00:00:00"/>
    <n v="-3916.63"/>
    <n v="-3916.63"/>
    <n v="0"/>
    <s v="Trilogy - Admin and Monitoring"/>
    <x v="9"/>
    <x v="36"/>
    <x v="2"/>
  </r>
  <r>
    <d v="2023-06-30T00:00:00"/>
    <n v="-15273.97"/>
    <n v="-15273.97"/>
    <n v="0"/>
    <s v="Trilogy - Interest"/>
    <x v="9"/>
    <x v="6"/>
    <x v="2"/>
  </r>
  <r>
    <d v="2023-06-30T00:00:00"/>
    <n v="-3163.73"/>
    <n v="-3163.73"/>
    <n v="0"/>
    <s v="Extension Fee 2% June 2023"/>
    <x v="9"/>
    <x v="57"/>
    <x v="2"/>
  </r>
  <r>
    <d v="2023-07-03T00:00:00"/>
    <n v="-63601.59"/>
    <n v="-57819.627272727274"/>
    <n v="-5781.9627272727266"/>
    <s v="Build Contract - Clancy - Defects 4"/>
    <x v="10"/>
    <x v="56"/>
    <x v="26"/>
  </r>
  <r>
    <d v="2023-10-01T00:00:00"/>
    <n v="-860"/>
    <n v="-781.81818181818176"/>
    <n v="-78.181818181818187"/>
    <s v="Legals"/>
    <x v="7"/>
    <x v="48"/>
    <x v="2"/>
  </r>
  <r>
    <d v="2023-11-04T00:00:00"/>
    <n v="-2000"/>
    <n v="-1818.1818181818182"/>
    <n v="-181.81818181818181"/>
    <s v="JCL"/>
    <x v="7"/>
    <x v="48"/>
    <x v="2"/>
  </r>
  <r>
    <d v="2023-12-04T00:00:00"/>
    <n v="-3000"/>
    <n v="-2727.272727272727"/>
    <n v="-272.72727272727275"/>
    <s v="JCL"/>
    <x v="7"/>
    <x v="48"/>
    <x v="2"/>
  </r>
  <r>
    <s v="15/3/2023"/>
    <n v="-525"/>
    <n v="-477.27272727272725"/>
    <n v="-47.727272727272727"/>
    <s v="Barrister"/>
    <x v="7"/>
    <x v="49"/>
    <x v="2"/>
  </r>
  <r>
    <s v="15/3/2023"/>
    <n v="-1100"/>
    <n v="-1000"/>
    <n v="-100"/>
    <s v="QS Report"/>
    <x v="9"/>
    <x v="40"/>
    <x v="21"/>
  </r>
  <r>
    <s v="15/3/2023"/>
    <n v="-1100"/>
    <n v="-1000"/>
    <n v="-100"/>
    <s v="QS Report"/>
    <x v="9"/>
    <x v="40"/>
    <x v="21"/>
  </r>
  <r>
    <s v="16/2/2023"/>
    <n v="-710"/>
    <n v="-645.4545454545455"/>
    <n v="-64.545454545454547"/>
    <s v="Barrister"/>
    <x v="7"/>
    <x v="49"/>
    <x v="2"/>
  </r>
  <r>
    <s v="16/2/2023"/>
    <n v="-1500"/>
    <n v="-1363.6363636363635"/>
    <n v="-136.36363636363637"/>
    <s v="Legals"/>
    <x v="7"/>
    <x v="48"/>
    <x v="2"/>
  </r>
  <r>
    <s v="21/10/2022"/>
    <n v="-200"/>
    <n v="-181.81818181818181"/>
    <n v="-18.181818181818183"/>
    <s v="Barrister"/>
    <x v="7"/>
    <x v="49"/>
    <x v="2"/>
  </r>
  <r>
    <s v="21/22/2022"/>
    <n v="-62480"/>
    <n v="-56800"/>
    <n v="-5680"/>
    <s v="Build Contract - Clancy - Defects 2"/>
    <x v="10"/>
    <x v="56"/>
    <x v="26"/>
  </r>
  <r>
    <s v="23/01/2023"/>
    <n v="-1000"/>
    <n v="-909.09090909090912"/>
    <n v="-90.909090909090907"/>
    <s v="Legals"/>
    <x v="7"/>
    <x v="48"/>
    <x v="2"/>
  </r>
  <r>
    <s v="24/10/2022"/>
    <n v="-150"/>
    <n v="-136.36363636363637"/>
    <n v="-13.636363636363637"/>
    <s v="Barrister"/>
    <x v="7"/>
    <x v="49"/>
    <x v="2"/>
  </r>
  <r>
    <s v="24/10/2023"/>
    <n v="-150"/>
    <n v="-136.36363636363637"/>
    <n v="-13.636363636363637"/>
    <s v="Barrister"/>
    <x v="7"/>
    <x v="49"/>
    <x v="2"/>
  </r>
  <r>
    <s v="24/3/2023"/>
    <n v="-575"/>
    <n v="-522.72727272727275"/>
    <n v="-52.272727272727273"/>
    <s v="Barrister"/>
    <x v="7"/>
    <x v="49"/>
    <x v="2"/>
  </r>
  <r>
    <s v="24/3/2023"/>
    <n v="-2000"/>
    <n v="-1818.1818181818182"/>
    <n v="-181.81818181818181"/>
    <s v="JCL"/>
    <x v="7"/>
    <x v="48"/>
    <x v="2"/>
  </r>
  <r>
    <s v="25/3/2023"/>
    <n v="-1600"/>
    <n v="-1454.5454545454545"/>
    <n v="-145.45454545454547"/>
    <s v="Sales Advertising"/>
    <x v="12"/>
    <x v="58"/>
    <x v="27"/>
  </r>
  <r>
    <s v="25/3/2023"/>
    <n v="-63030"/>
    <n v="-57300"/>
    <n v="-5730"/>
    <s v="Build Contract - Clancy - Defects 5"/>
    <x v="10"/>
    <x v="56"/>
    <x v="26"/>
  </r>
  <r>
    <s v="26/10/2022"/>
    <n v="1100"/>
    <n v="1000"/>
    <n v="100"/>
    <s v="QS Report"/>
    <x v="9"/>
    <x v="40"/>
    <x v="21"/>
  </r>
  <r>
    <s v="27/10/2022"/>
    <n v="-108.28"/>
    <n v="-108.28"/>
    <n v="0"/>
    <s v="Electricity"/>
    <x v="3"/>
    <x v="46"/>
    <x v="2"/>
  </r>
  <r>
    <s v="27/10/2022"/>
    <n v="-100086.833"/>
    <n v="-90988.03"/>
    <n v="-9098.8029999999999"/>
    <s v="Build Contract - Clancy - Defects 1"/>
    <x v="10"/>
    <x v="56"/>
    <x v="26"/>
  </r>
  <r>
    <s v="30/4/23"/>
    <n v="-108347.92"/>
    <n v="-98498.109090909085"/>
    <n v="-9849.8109090909093"/>
    <s v="Build Contract - Clancy - Defects 6"/>
    <x v="10"/>
    <x v="56"/>
    <x v="26"/>
  </r>
  <r>
    <s v="30/4/23"/>
    <n v="-1100"/>
    <n v="-1000"/>
    <n v="-100"/>
    <s v="QS Report"/>
    <x v="9"/>
    <x v="40"/>
    <x v="21"/>
  </r>
  <r>
    <m/>
    <m/>
    <m/>
    <m/>
    <m/>
    <x v="13"/>
    <x v="21"/>
    <x v="2"/>
  </r>
  <r>
    <m/>
    <m/>
    <m/>
    <m/>
    <m/>
    <x v="13"/>
    <x v="2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31D71-9E34-9746-B907-AC57B86A456B}" name="Dash - Profitability" cacheId="1160" applyNumberFormats="0" applyBorderFormats="0" applyFontFormats="0" applyPatternFormats="0" applyAlignmentFormats="0" applyWidthHeightFormats="0" dataCaption="" updatedVersion="8" compact="0" compactData="0">
  <location ref="A3:F14" firstHeaderRow="1" firstDataRow="2" firstDataCol="3"/>
  <pivotFields count="8">
    <pivotField name="Date" compact="0" outline="0" multipleItemSelectionAllowed="1" showAll="0"/>
    <pivotField name="Amount" dataField="1" compact="0" numFmtId="4" outline="0" multipleItemSelectionAllowed="1" showAll="0"/>
    <pivotField name="Ex GST" dataField="1" compact="0" numFmtId="4" outline="0" multipleItemSelectionAllowed="1" showAll="0"/>
    <pivotField name="GST" dataField="1" compact="0" numFmtId="4" outline="0" multipleItemSelectionAllowed="1" showAll="0"/>
    <pivotField name="Description" compact="0" outline="0" multipleItemSelectionAllowed="1" showAll="0"/>
    <pivotField name="Category " axis="axisRow" compact="0" outline="0" multipleItemSelectionAllowed="1" showAll="0" sortType="ascending">
      <items count="15">
        <item sd="0" x="0"/>
        <item sd="0" x="4"/>
        <item sd="0" x="10"/>
        <item sd="0" x="9"/>
        <item sd="0" x="7"/>
        <item h="1" sd="0" x="3"/>
        <item sd="0" x="8"/>
        <item h="1" x="1"/>
        <item h="1" sd="0" x="2"/>
        <item h="1" x="5"/>
        <item sd="0" x="6"/>
        <item sd="0" x="12"/>
        <item sd="0" x="11"/>
        <item h="1" x="13"/>
        <item t="default"/>
      </items>
    </pivotField>
    <pivotField name="Sub Cat 1" axis="axisRow" compact="0" outline="0" multipleItemSelectionAllowed="1" showAll="0" sortType="ascending">
      <items count="61">
        <item x="30"/>
        <item x="36"/>
        <item x="58"/>
        <item x="5"/>
        <item x="37"/>
        <item x="32"/>
        <item x="17"/>
        <item sd="0" x="49"/>
        <item sd="0" x="41"/>
        <item x="29"/>
        <item x="20"/>
        <item sd="0" x="33"/>
        <item x="55"/>
        <item x="14"/>
        <item sd="0" x="56"/>
        <item sd="0" x="27"/>
        <item x="0"/>
        <item x="24"/>
        <item sd="0" x="23"/>
        <item x="50"/>
        <item x="57"/>
        <item x="28"/>
        <item x="53"/>
        <item sd="0" x="44"/>
        <item x="10"/>
        <item x="43"/>
        <item x="31"/>
        <item x="9"/>
        <item x="11"/>
        <item x="6"/>
        <item sd="0" x="48"/>
        <item x="25"/>
        <item sd="0" x="22"/>
        <item x="3"/>
        <item x="2"/>
        <item x="54"/>
        <item sd="0" x="51"/>
        <item x="18"/>
        <item sd="0" x="45"/>
        <item sd="0" x="26"/>
        <item x="19"/>
        <item x="59"/>
        <item x="38"/>
        <item sd="0" x="40"/>
        <item x="7"/>
        <item x="15"/>
        <item x="4"/>
        <item sd="0" x="34"/>
        <item x="12"/>
        <item sd="0" x="35"/>
        <item x="1"/>
        <item sd="0" x="42"/>
        <item x="8"/>
        <item sd="0" x="47"/>
        <item x="46"/>
        <item x="16"/>
        <item x="13"/>
        <item sd="0" x="39"/>
        <item x="52"/>
        <item x="21"/>
        <item t="default"/>
      </items>
    </pivotField>
    <pivotField name="Sub Cat 2" axis="axisRow" compact="0" outline="0" multipleItemSelectionAllowed="1" showAll="0" sortType="ascending">
      <items count="29">
        <item x="0"/>
        <item x="1"/>
        <item x="9"/>
        <item x="3"/>
        <item x="27"/>
        <item x="12"/>
        <item x="19"/>
        <item x="26"/>
        <item x="24"/>
        <item x="5"/>
        <item x="14"/>
        <item x="22"/>
        <item x="10"/>
        <item x="13"/>
        <item x="16"/>
        <item x="17"/>
        <item x="15"/>
        <item x="23"/>
        <item x="4"/>
        <item x="21"/>
        <item x="11"/>
        <item x="8"/>
        <item x="25"/>
        <item x="6"/>
        <item x="7"/>
        <item x="18"/>
        <item x="20"/>
        <item x="2"/>
        <item t="default"/>
      </items>
    </pivotField>
  </pivotFields>
  <rowFields count="3">
    <field x="5"/>
    <field x="6"/>
    <field x="7"/>
  </rowFields>
  <rowItems count="10">
    <i>
      <x/>
    </i>
    <i>
      <x v="1"/>
    </i>
    <i>
      <x v="2"/>
    </i>
    <i>
      <x v="3"/>
    </i>
    <i>
      <x v="4"/>
    </i>
    <i>
      <x v="6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x GST" fld="2" baseField="0"/>
    <dataField name="Sum of GST" fld="3" baseField="0"/>
    <dataField name="Sum of Amount" fld="1" baseField="0"/>
  </dataFields>
  <formats count="23">
    <format dxfId="22">
      <pivotArea outline="0" fieldPosition="0"/>
    </format>
    <format dxfId="21">
      <pivotArea field="5" type="button" dataOnly="0" labelOnly="1" outline="0" axis="axisRow" fieldPosition="0"/>
    </format>
    <format dxfId="20">
      <pivotArea field="6" type="button" dataOnly="0" labelOnly="1" outline="0" axis="axisRow" fieldPosition="1"/>
    </format>
    <format dxfId="19">
      <pivotArea field="7" type="button" dataOnly="0" labelOnly="1" outline="0" axis="axisRow" fieldPosition="2"/>
    </format>
    <format dxfId="18">
      <pivotArea dataOnly="0" labelOnly="1" outline="0" fieldPosition="0">
        <references count="1">
          <reference field="5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">
      <pivotArea outline="0" fieldPosition="0"/>
    </format>
    <format dxfId="14">
      <pivotArea field="5" type="button" dataOnly="0" labelOnly="1" outline="0" axis="axisRow" fieldPosition="0"/>
    </format>
    <format dxfId="13">
      <pivotArea field="6" type="button" dataOnly="0" labelOnly="1" outline="0" axis="axisRow" fieldPosition="1"/>
    </format>
    <format dxfId="12">
      <pivotArea field="7" type="button" dataOnly="0" labelOnly="1" outline="0" axis="axisRow" fieldPosition="2"/>
    </format>
    <format dxfId="11">
      <pivotArea dataOnly="0" labelOnly="1" outline="0" fieldPosition="0">
        <references count="1">
          <reference field="5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dataOnly="0" labelOnly="1" outline="0" offset="B256:IV256" fieldPosition="0">
        <references count="1">
          <reference field="5" count="1">
            <x v="0"/>
          </reference>
        </references>
      </pivotArea>
    </format>
    <format dxfId="7">
      <pivotArea dataOnly="0" labelOnly="1" outline="0" offset="B256:IV256" fieldPosition="0">
        <references count="1">
          <reference field="5" count="1">
            <x v="1"/>
          </reference>
        </references>
      </pivotArea>
    </format>
    <format dxfId="6">
      <pivotArea dataOnly="0" labelOnly="1" outline="0" offset="B256:IV256" fieldPosition="0">
        <references count="1">
          <reference field="5" count="1">
            <x v="2"/>
          </reference>
        </references>
      </pivotArea>
    </format>
    <format dxfId="5">
      <pivotArea dataOnly="0" labelOnly="1" outline="0" offset="B256:IV256" fieldPosition="0">
        <references count="1">
          <reference field="5" count="1">
            <x v="3"/>
          </reference>
        </references>
      </pivotArea>
    </format>
    <format dxfId="4">
      <pivotArea dataOnly="0" labelOnly="1" outline="0" offset="B256:IV256" fieldPosition="0">
        <references count="1">
          <reference field="5" count="1">
            <x v="4"/>
          </reference>
        </references>
      </pivotArea>
    </format>
    <format dxfId="3">
      <pivotArea dataOnly="0" labelOnly="1" outline="0" offset="B256:IV256" fieldPosition="0">
        <references count="1">
          <reference field="5" count="1">
            <x v="6"/>
          </reference>
        </references>
      </pivotArea>
    </format>
    <format dxfId="2">
      <pivotArea dataOnly="0" labelOnly="1" outline="0" offset="B256:IV256" fieldPosition="0">
        <references count="1">
          <reference field="5" count="1">
            <x v="10"/>
          </reference>
        </references>
      </pivotArea>
    </format>
    <format dxfId="1">
      <pivotArea dataOnly="0" labelOnly="1" outline="0" offset="B256:IV256" fieldPosition="0">
        <references count="1">
          <reference field="5" count="1">
            <x v="11"/>
          </reference>
        </references>
      </pivotArea>
    </format>
    <format dxfId="0">
      <pivotArea dataOnly="0" labelOnly="1" outline="0" offset="B256:IV256" fieldPosition="0">
        <references count="1">
          <reference field="5" count="1">
            <x v="1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A8570-0601-AE42-9494-C4FC60469A3C}" name="PivotTable8" cacheId="1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15" firstHeaderRow="0" firstDataRow="1" firstDataCol="1"/>
  <pivotFields count="8">
    <pivotField showAll="0"/>
    <pivotField dataField="1" numFmtId="4" showAll="0"/>
    <pivotField dataField="1" numFmtId="4" showAll="0"/>
    <pivotField dataField="1" showAll="0"/>
    <pivotField showAll="0"/>
    <pivotField axis="axisRow" multipleItemSelectionAllowed="1" showAll="0">
      <items count="14">
        <item sd="0" x="0"/>
        <item sd="0" x="4"/>
        <item sd="0" x="10"/>
        <item sd="0" x="9"/>
        <item sd="0" x="7"/>
        <item h="1" sd="0" x="3"/>
        <item sd="0" x="8"/>
        <item h="1" x="1"/>
        <item h="1" sd="0" x="2"/>
        <item h="1" x="5"/>
        <item sd="0" x="6"/>
        <item sd="0" x="12"/>
        <item sd="0" x="11"/>
        <item t="default"/>
      </items>
    </pivotField>
    <pivotField axis="axisRow" showAll="0">
      <items count="55">
        <item h="1" x="30"/>
        <item x="53"/>
        <item x="5"/>
        <item x="32"/>
        <item x="17"/>
        <item x="45"/>
        <item h="1" x="38"/>
        <item x="29"/>
        <item sd="0" x="20"/>
        <item x="33"/>
        <item x="52"/>
        <item x="14"/>
        <item h="1" x="51"/>
        <item x="27"/>
        <item x="0"/>
        <item x="24"/>
        <item x="23"/>
        <item x="46"/>
        <item x="28"/>
        <item x="49"/>
        <item h="1" x="40"/>
        <item x="10"/>
        <item x="31"/>
        <item x="9"/>
        <item x="11"/>
        <item x="6"/>
        <item x="44"/>
        <item x="25"/>
        <item x="22"/>
        <item x="3"/>
        <item h="1" sd="0" x="2"/>
        <item x="50"/>
        <item h="1" x="47"/>
        <item x="18"/>
        <item x="41"/>
        <item x="26"/>
        <item x="19"/>
        <item x="37"/>
        <item x="7"/>
        <item x="15"/>
        <item x="4"/>
        <item x="34"/>
        <item x="12"/>
        <item x="35"/>
        <item x="1"/>
        <item h="1" x="39"/>
        <item sd="0" x="8"/>
        <item x="43"/>
        <item x="42"/>
        <item x="16"/>
        <item x="13"/>
        <item h="1" x="36"/>
        <item x="48"/>
        <item x="21"/>
        <item t="default"/>
      </items>
    </pivotField>
    <pivotField axis="axisRow" showAll="0">
      <items count="29">
        <item x="0"/>
        <item x="1"/>
        <item x="9"/>
        <item x="3"/>
        <item x="27"/>
        <item x="12"/>
        <item x="19"/>
        <item x="26"/>
        <item x="24"/>
        <item x="5"/>
        <item x="14"/>
        <item x="22"/>
        <item x="10"/>
        <item x="13"/>
        <item x="16"/>
        <item x="17"/>
        <item x="15"/>
        <item x="23"/>
        <item x="4"/>
        <item x="21"/>
        <item x="11"/>
        <item x="8"/>
        <item x="25"/>
        <item x="6"/>
        <item x="7"/>
        <item x="18"/>
        <item x="20"/>
        <item x="2"/>
        <item t="default"/>
      </items>
    </pivotField>
  </pivotFields>
  <rowFields count="3">
    <field x="5"/>
    <field x="6"/>
    <field x="7"/>
  </rowFields>
  <rowItems count="10">
    <i>
      <x/>
    </i>
    <i>
      <x v="1"/>
    </i>
    <i>
      <x v="2"/>
    </i>
    <i>
      <x v="3"/>
    </i>
    <i>
      <x v="4"/>
    </i>
    <i>
      <x v="6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1" baseField="0" baseItem="0"/>
    <dataField name="Sum of Ex GST" fld="2" baseField="0" baseItem="0"/>
    <dataField name="Sum of GS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F29" sqref="F29"/>
    </sheetView>
  </sheetViews>
  <sheetFormatPr baseColWidth="10" defaultColWidth="10.140625" defaultRowHeight="15" customHeight="1" x14ac:dyDescent="0.2"/>
  <cols>
    <col min="1" max="1" width="22" customWidth="1"/>
    <col min="2" max="2" width="22.140625" bestFit="1" customWidth="1"/>
    <col min="3" max="3" width="10.5703125" customWidth="1"/>
    <col min="4" max="4" width="13.5703125" customWidth="1"/>
    <col min="5" max="5" width="12.5703125" customWidth="1"/>
    <col min="6" max="6" width="17.42578125" customWidth="1"/>
    <col min="7" max="7" width="10.42578125" customWidth="1"/>
    <col min="8" max="8" width="19" bestFit="1" customWidth="1"/>
    <col min="9" max="9" width="12" bestFit="1" customWidth="1"/>
    <col min="10" max="10" width="12.85546875" bestFit="1" customWidth="1"/>
  </cols>
  <sheetData>
    <row r="1" spans="1:9" ht="15.75" customHeight="1" x14ac:dyDescent="0.2">
      <c r="B1" s="1"/>
    </row>
    <row r="2" spans="1:9" ht="15.75" customHeight="1" x14ac:dyDescent="0.2">
      <c r="A2" s="138" t="s">
        <v>789</v>
      </c>
      <c r="B2" s="1"/>
    </row>
    <row r="3" spans="1:9" ht="15.75" customHeight="1" x14ac:dyDescent="0.2">
      <c r="A3" s="133"/>
      <c r="B3" s="134"/>
      <c r="C3" s="134"/>
      <c r="D3" s="135" t="s">
        <v>684</v>
      </c>
      <c r="E3" s="134"/>
      <c r="F3" s="136"/>
    </row>
    <row r="4" spans="1:9" ht="16" x14ac:dyDescent="0.2">
      <c r="A4" s="142" t="s">
        <v>13</v>
      </c>
      <c r="B4" s="142" t="s">
        <v>14</v>
      </c>
      <c r="C4" s="142" t="s">
        <v>15</v>
      </c>
      <c r="D4" s="143" t="s">
        <v>16</v>
      </c>
      <c r="E4" s="143" t="s">
        <v>17</v>
      </c>
      <c r="F4" s="143" t="s">
        <v>18</v>
      </c>
      <c r="H4" s="148" t="s">
        <v>4</v>
      </c>
      <c r="I4" s="148" t="s">
        <v>3</v>
      </c>
    </row>
    <row r="5" spans="1:9" ht="16" x14ac:dyDescent="0.2">
      <c r="A5" s="143" t="s">
        <v>27</v>
      </c>
      <c r="B5" s="134"/>
      <c r="C5" s="134"/>
      <c r="D5" s="143">
        <v>-807443</v>
      </c>
      <c r="E5" s="143">
        <v>0</v>
      </c>
      <c r="F5" s="143">
        <v>-807443</v>
      </c>
      <c r="H5" s="145" t="s">
        <v>685</v>
      </c>
      <c r="I5" s="155">
        <f>GETPIVOTDATA("Sum of Ex GST",$A$3)</f>
        <v>-2512850.9554545451</v>
      </c>
    </row>
    <row r="6" spans="1:9" ht="17" customHeight="1" x14ac:dyDescent="0.2">
      <c r="A6" s="143" t="s">
        <v>48</v>
      </c>
      <c r="B6" s="134"/>
      <c r="C6" s="134"/>
      <c r="D6" s="143">
        <v>-61982.619999999995</v>
      </c>
      <c r="E6" s="143">
        <v>-586.9</v>
      </c>
      <c r="F6" s="143">
        <v>-62569.52</v>
      </c>
      <c r="H6" s="184" t="s">
        <v>788</v>
      </c>
      <c r="I6" s="155">
        <v>-150000</v>
      </c>
    </row>
    <row r="7" spans="1:9" ht="16" x14ac:dyDescent="0.2">
      <c r="A7" s="143" t="s">
        <v>251</v>
      </c>
      <c r="B7" s="134"/>
      <c r="C7" s="134"/>
      <c r="D7" s="143">
        <v>-1025980.4418181815</v>
      </c>
      <c r="E7" s="143">
        <v>-101641.40418181817</v>
      </c>
      <c r="F7" s="143">
        <v>-1127621.8460000001</v>
      </c>
      <c r="H7" s="145" t="s">
        <v>703</v>
      </c>
      <c r="I7" s="155">
        <v>-1405119</v>
      </c>
    </row>
    <row r="8" spans="1:9" ht="16" x14ac:dyDescent="0.2">
      <c r="A8" s="143" t="s">
        <v>696</v>
      </c>
      <c r="B8" s="134"/>
      <c r="C8" s="134"/>
      <c r="D8" s="143">
        <v>-486217.22999999986</v>
      </c>
      <c r="E8" s="143">
        <v>-2370</v>
      </c>
      <c r="F8" s="143">
        <v>-488587.22999999986</v>
      </c>
      <c r="H8" s="145" t="s">
        <v>687</v>
      </c>
      <c r="I8" s="155">
        <v>-50000</v>
      </c>
    </row>
    <row r="9" spans="1:9" ht="16" x14ac:dyDescent="0.2">
      <c r="A9" s="143" t="s">
        <v>697</v>
      </c>
      <c r="B9" s="134"/>
      <c r="C9" s="134"/>
      <c r="D9" s="143">
        <v>-58504.163636363635</v>
      </c>
      <c r="E9" s="143">
        <v>-5447.0163636363641</v>
      </c>
      <c r="F9" s="143">
        <v>-63951.18</v>
      </c>
      <c r="H9" s="148" t="s">
        <v>0</v>
      </c>
      <c r="I9" s="158">
        <f>SUM(I5:I8)</f>
        <v>-4117969.9554545451</v>
      </c>
    </row>
    <row r="10" spans="1:9" ht="16" x14ac:dyDescent="0.2">
      <c r="A10" s="143" t="s">
        <v>701</v>
      </c>
      <c r="B10" s="134"/>
      <c r="C10" s="134"/>
      <c r="D10" s="143">
        <v>-27601.781818181818</v>
      </c>
      <c r="E10" s="143">
        <v>-301.81818181818181</v>
      </c>
      <c r="F10" s="143">
        <v>-27903.600000000002</v>
      </c>
      <c r="H10" s="157"/>
      <c r="I10" s="140"/>
    </row>
    <row r="11" spans="1:9" ht="16" x14ac:dyDescent="0.2">
      <c r="A11" s="143" t="s">
        <v>198</v>
      </c>
      <c r="B11" s="134"/>
      <c r="C11" s="134"/>
      <c r="D11" s="143">
        <v>-12600</v>
      </c>
      <c r="E11" s="143">
        <v>0</v>
      </c>
      <c r="F11" s="143">
        <v>-12600</v>
      </c>
      <c r="H11" s="137"/>
      <c r="I11" s="140"/>
    </row>
    <row r="12" spans="1:9" ht="16" x14ac:dyDescent="0.2">
      <c r="A12" s="143" t="s">
        <v>689</v>
      </c>
      <c r="B12" s="134"/>
      <c r="C12" s="134"/>
      <c r="D12" s="143">
        <v>-3080.2818181818184</v>
      </c>
      <c r="E12" s="143">
        <v>-308.02818181818179</v>
      </c>
      <c r="F12" s="143">
        <v>-3388.31</v>
      </c>
      <c r="H12" s="148" t="s">
        <v>8</v>
      </c>
      <c r="I12" s="145"/>
    </row>
    <row r="13" spans="1:9" ht="16" x14ac:dyDescent="0.2">
      <c r="A13" s="143" t="s">
        <v>396</v>
      </c>
      <c r="B13" s="134"/>
      <c r="C13" s="134"/>
      <c r="D13" s="143">
        <v>-29441.436363636367</v>
      </c>
      <c r="E13" s="143">
        <v>-2944.1436363636358</v>
      </c>
      <c r="F13" s="143">
        <v>-32385.579999999998</v>
      </c>
      <c r="H13" s="145" t="s">
        <v>9</v>
      </c>
      <c r="I13" s="149">
        <v>600000</v>
      </c>
    </row>
    <row r="14" spans="1:9" ht="16" x14ac:dyDescent="0.2">
      <c r="A14" s="143" t="s">
        <v>21</v>
      </c>
      <c r="B14" s="143"/>
      <c r="C14" s="143"/>
      <c r="D14" s="143">
        <v>-2512850.9554545451</v>
      </c>
      <c r="E14" s="143">
        <v>-113599.31054545451</v>
      </c>
      <c r="F14" s="143">
        <v>-2626450.2660000003</v>
      </c>
      <c r="H14" s="145" t="s">
        <v>10</v>
      </c>
      <c r="I14" s="149">
        <f>I13*6</f>
        <v>3600000</v>
      </c>
    </row>
    <row r="15" spans="1:9" ht="16" x14ac:dyDescent="0.2">
      <c r="E15" s="257">
        <v>-157000</v>
      </c>
      <c r="H15" s="145" t="s">
        <v>2</v>
      </c>
      <c r="I15" s="159">
        <v>-252000</v>
      </c>
    </row>
    <row r="16" spans="1:9" ht="16" x14ac:dyDescent="0.2">
      <c r="E16" s="272">
        <f>SUM(E14:E15)</f>
        <v>-270599.3105454545</v>
      </c>
      <c r="H16" s="145" t="s">
        <v>11</v>
      </c>
      <c r="I16" s="149"/>
    </row>
    <row r="17" spans="1:9" ht="16" x14ac:dyDescent="0.2">
      <c r="H17" s="148" t="s">
        <v>0</v>
      </c>
      <c r="I17" s="150">
        <f>SUM(I14:I16)</f>
        <v>3348000</v>
      </c>
    </row>
    <row r="18" spans="1:9" ht="16" x14ac:dyDescent="0.2">
      <c r="H18" s="145"/>
      <c r="I18" s="145"/>
    </row>
    <row r="19" spans="1:9" ht="16" x14ac:dyDescent="0.2">
      <c r="H19" s="145"/>
      <c r="I19" s="145"/>
    </row>
    <row r="20" spans="1:9" ht="16" x14ac:dyDescent="0.2">
      <c r="H20" s="161" t="s">
        <v>704</v>
      </c>
      <c r="I20" s="162">
        <f>I17+I9</f>
        <v>-769969.9554545451</v>
      </c>
    </row>
    <row r="21" spans="1:9" ht="16" x14ac:dyDescent="0.2">
      <c r="H21" s="144"/>
      <c r="I21" s="174"/>
    </row>
    <row r="22" spans="1:9" ht="16" x14ac:dyDescent="0.2">
      <c r="A22" s="138"/>
    </row>
    <row r="23" spans="1:9" ht="16" x14ac:dyDescent="0.2">
      <c r="A23" s="187"/>
    </row>
    <row r="24" spans="1:9" ht="15.75" customHeight="1" x14ac:dyDescent="0.2">
      <c r="A24" s="187"/>
      <c r="H24" s="144"/>
      <c r="I24" s="160"/>
    </row>
    <row r="25" spans="1:9" ht="15.75" customHeight="1" x14ac:dyDescent="0.2">
      <c r="A25" s="187"/>
    </row>
    <row r="26" spans="1:9" ht="15.75" customHeight="1" x14ac:dyDescent="0.2">
      <c r="A26" s="187"/>
      <c r="D26">
        <f>750000+550000</f>
        <v>1300000</v>
      </c>
      <c r="H26" s="137"/>
    </row>
    <row r="27" spans="1:9" ht="15.75" customHeight="1" x14ac:dyDescent="0.2">
      <c r="D27">
        <f>D26*0.05</f>
        <v>65000</v>
      </c>
      <c r="E27">
        <f>1200*52</f>
        <v>62400</v>
      </c>
      <c r="H27" s="137"/>
    </row>
    <row r="28" spans="1:9" ht="15.75" customHeight="1" x14ac:dyDescent="0.2">
      <c r="H28" s="137"/>
      <c r="I28" s="139"/>
    </row>
    <row r="29" spans="1:9" ht="15.75" customHeight="1" x14ac:dyDescent="0.2">
      <c r="H29" s="137"/>
      <c r="I29" s="139"/>
    </row>
    <row r="30" spans="1:9" ht="15.75" customHeight="1" x14ac:dyDescent="0.2">
      <c r="H30" s="137"/>
      <c r="I30" s="160"/>
    </row>
    <row r="31" spans="1:9" ht="15.75" customHeight="1" x14ac:dyDescent="0.2">
      <c r="H31" s="137"/>
      <c r="I31" s="160"/>
    </row>
    <row r="32" spans="1:9" ht="15.75" customHeight="1" x14ac:dyDescent="0.2"/>
    <row r="33" spans="10:10" ht="15.75" customHeight="1" x14ac:dyDescent="0.2"/>
    <row r="34" spans="10:10" ht="15.75" customHeight="1" x14ac:dyDescent="0.2"/>
    <row r="35" spans="10:10" ht="15.75" customHeight="1" x14ac:dyDescent="0.2"/>
    <row r="36" spans="10:10" ht="15.75" customHeight="1" x14ac:dyDescent="0.2"/>
    <row r="37" spans="10:10" ht="15.75" customHeight="1" x14ac:dyDescent="0.2"/>
    <row r="38" spans="10:10" ht="15.75" customHeight="1" x14ac:dyDescent="0.2"/>
    <row r="39" spans="10:10" ht="15.75" customHeight="1" x14ac:dyDescent="0.2"/>
    <row r="40" spans="10:10" ht="15.75" customHeight="1" x14ac:dyDescent="0.2">
      <c r="J40" s="160"/>
    </row>
    <row r="41" spans="10:10" ht="15.75" customHeight="1" x14ac:dyDescent="0.2"/>
    <row r="42" spans="10:10" ht="15.75" customHeight="1" x14ac:dyDescent="0.2">
      <c r="J42" s="160"/>
    </row>
    <row r="43" spans="10:10" ht="15.75" customHeight="1" x14ac:dyDescent="0.2">
      <c r="J43" s="160"/>
    </row>
    <row r="44" spans="10:10" ht="15.75" customHeight="1" x14ac:dyDescent="0.2"/>
    <row r="45" spans="10:10" ht="15.75" customHeight="1" x14ac:dyDescent="0.2">
      <c r="J45" s="160"/>
    </row>
    <row r="46" spans="10:10" ht="15.75" customHeight="1" x14ac:dyDescent="0.2"/>
    <row r="47" spans="10:10" ht="15.75" customHeight="1" x14ac:dyDescent="0.2"/>
    <row r="48" spans="10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6" x14ac:dyDescent="0.2"/>
    <row r="75" ht="16" x14ac:dyDescent="0.2"/>
    <row r="76" ht="16" x14ac:dyDescent="0.2"/>
    <row r="77" ht="16" x14ac:dyDescent="0.2"/>
    <row r="78" ht="16" x14ac:dyDescent="0.2"/>
    <row r="79" ht="16" x14ac:dyDescent="0.2"/>
    <row r="80" ht="16" x14ac:dyDescent="0.2"/>
    <row r="81" spans="2:2" ht="16" x14ac:dyDescent="0.2"/>
    <row r="82" spans="2:2" ht="16" x14ac:dyDescent="0.2"/>
    <row r="83" spans="2:2" ht="16" x14ac:dyDescent="0.2"/>
    <row r="84" spans="2:2" ht="16" x14ac:dyDescent="0.2"/>
    <row r="85" spans="2:2" ht="16" x14ac:dyDescent="0.2"/>
    <row r="86" spans="2:2" ht="16" x14ac:dyDescent="0.2"/>
    <row r="87" spans="2:2" ht="16" x14ac:dyDescent="0.2"/>
    <row r="88" spans="2:2" ht="16" x14ac:dyDescent="0.2"/>
    <row r="89" spans="2:2" ht="16" x14ac:dyDescent="0.2"/>
    <row r="90" spans="2:2" ht="16" x14ac:dyDescent="0.2"/>
    <row r="91" spans="2:2" ht="16" x14ac:dyDescent="0.2"/>
    <row r="92" spans="2:2" ht="16" x14ac:dyDescent="0.2"/>
    <row r="93" spans="2:2" ht="16" x14ac:dyDescent="0.2"/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pageMargins left="0.7" right="0.7" top="0.75" bottom="0.75" header="0" footer="0"/>
  <pageSetup orientation="landscape"/>
  <headerFooter>
    <oddFooter>&amp;C_x000D_&amp;1#&amp;"Arial"&amp;8&amp;K000000 Information Security Classification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1CF3-4247-2546-962C-C2DA0BFC1B5D}">
  <dimension ref="A5:D15"/>
  <sheetViews>
    <sheetView workbookViewId="0">
      <selection activeCell="A14" sqref="A14"/>
    </sheetView>
  </sheetViews>
  <sheetFormatPr baseColWidth="10" defaultRowHeight="16" x14ac:dyDescent="0.2"/>
  <cols>
    <col min="1" max="1" width="19.85546875" bestFit="1" customWidth="1"/>
    <col min="2" max="2" width="13.5703125" bestFit="1" customWidth="1"/>
    <col min="3" max="3" width="13.140625" bestFit="1" customWidth="1"/>
    <col min="4" max="4" width="12.5703125" bestFit="1" customWidth="1"/>
    <col min="5" max="5" width="8.42578125" bestFit="1" customWidth="1"/>
    <col min="6" max="6" width="9.5703125" bestFit="1" customWidth="1"/>
    <col min="7" max="7" width="11.140625" bestFit="1" customWidth="1"/>
    <col min="8" max="8" width="13.42578125" bestFit="1" customWidth="1"/>
    <col min="9" max="9" width="15.5703125" bestFit="1" customWidth="1"/>
    <col min="10" max="10" width="6" bestFit="1" customWidth="1"/>
    <col min="11" max="11" width="11.5703125" bestFit="1" customWidth="1"/>
    <col min="12" max="12" width="7.28515625" bestFit="1" customWidth="1"/>
    <col min="13" max="13" width="12.7109375" bestFit="1" customWidth="1"/>
    <col min="14" max="14" width="6.5703125" bestFit="1" customWidth="1"/>
    <col min="15" max="15" width="12.42578125" bestFit="1" customWidth="1"/>
    <col min="16" max="16" width="7.5703125" bestFit="1" customWidth="1"/>
    <col min="17" max="17" width="11.5703125" bestFit="1" customWidth="1"/>
    <col min="18" max="18" width="12.5703125" bestFit="1" customWidth="1"/>
    <col min="19" max="19" width="9.140625" bestFit="1" customWidth="1"/>
    <col min="20" max="20" width="10.5703125" bestFit="1" customWidth="1"/>
    <col min="21" max="22" width="8.5703125" bestFit="1" customWidth="1"/>
    <col min="23" max="23" width="9.5703125" bestFit="1" customWidth="1"/>
    <col min="24" max="24" width="10" bestFit="1" customWidth="1"/>
    <col min="25" max="25" width="7.5703125" bestFit="1" customWidth="1"/>
    <col min="26" max="26" width="6" bestFit="1" customWidth="1"/>
    <col min="27" max="27" width="9.5703125" bestFit="1" customWidth="1"/>
    <col min="28" max="28" width="11.42578125" bestFit="1" customWidth="1"/>
    <col min="29" max="29" width="18.28515625" bestFit="1" customWidth="1"/>
    <col min="30" max="30" width="9.5703125" bestFit="1" customWidth="1"/>
    <col min="31" max="31" width="20.28515625" bestFit="1" customWidth="1"/>
    <col min="32" max="32" width="9.42578125" bestFit="1" customWidth="1"/>
    <col min="33" max="33" width="8.5703125" bestFit="1" customWidth="1"/>
    <col min="34" max="34" width="5.5703125" bestFit="1" customWidth="1"/>
    <col min="35" max="35" width="9" bestFit="1" customWidth="1"/>
    <col min="36" max="36" width="8.28515625" bestFit="1" customWidth="1"/>
    <col min="37" max="37" width="9.85546875" bestFit="1" customWidth="1"/>
    <col min="38" max="38" width="22.140625" bestFit="1" customWidth="1"/>
    <col min="39" max="39" width="15.28515625" bestFit="1" customWidth="1"/>
    <col min="40" max="40" width="10.5703125" bestFit="1" customWidth="1"/>
    <col min="41" max="41" width="12.7109375" bestFit="1" customWidth="1"/>
    <col min="42" max="42" width="8.85546875" bestFit="1" customWidth="1"/>
    <col min="43" max="43" width="11.28515625" bestFit="1" customWidth="1"/>
    <col min="44" max="44" width="15.42578125" bestFit="1" customWidth="1"/>
    <col min="45" max="45" width="12" bestFit="1" customWidth="1"/>
    <col min="46" max="46" width="8.28515625" bestFit="1" customWidth="1"/>
    <col min="47" max="47" width="13.5703125" bestFit="1" customWidth="1"/>
    <col min="48" max="48" width="8.5703125" bestFit="1" customWidth="1"/>
    <col min="49" max="49" width="13.140625" bestFit="1" customWidth="1"/>
    <col min="50" max="50" width="12.5703125" bestFit="1" customWidth="1"/>
    <col min="51" max="51" width="7.28515625" bestFit="1" customWidth="1"/>
    <col min="52" max="52" width="12.5703125" bestFit="1" customWidth="1"/>
    <col min="53" max="53" width="8.5703125" bestFit="1" customWidth="1"/>
    <col min="54" max="54" width="11.140625" bestFit="1" customWidth="1"/>
    <col min="55" max="55" width="13.42578125" bestFit="1" customWidth="1"/>
    <col min="56" max="56" width="15.5703125" bestFit="1" customWidth="1"/>
    <col min="57" max="57" width="6" bestFit="1" customWidth="1"/>
    <col min="58" max="59" width="12.5703125" bestFit="1" customWidth="1"/>
    <col min="60" max="60" width="12.7109375" bestFit="1" customWidth="1"/>
    <col min="61" max="61" width="6.5703125" bestFit="1" customWidth="1"/>
    <col min="62" max="65" width="12.5703125" bestFit="1" customWidth="1"/>
    <col min="66" max="66" width="9.140625" bestFit="1" customWidth="1"/>
    <col min="67" max="67" width="10.5703125" bestFit="1" customWidth="1"/>
    <col min="68" max="68" width="12.5703125" bestFit="1" customWidth="1"/>
    <col min="69" max="70" width="8.5703125" bestFit="1" customWidth="1"/>
    <col min="71" max="71" width="10" bestFit="1" customWidth="1"/>
    <col min="72" max="72" width="7.5703125" bestFit="1" customWidth="1"/>
    <col min="73" max="73" width="6" bestFit="1" customWidth="1"/>
    <col min="74" max="74" width="12.5703125" bestFit="1" customWidth="1"/>
    <col min="75" max="75" width="11.42578125" bestFit="1" customWidth="1"/>
    <col min="76" max="76" width="18.28515625" bestFit="1" customWidth="1"/>
    <col min="77" max="77" width="12.5703125" bestFit="1" customWidth="1"/>
    <col min="78" max="78" width="20.28515625" bestFit="1" customWidth="1"/>
    <col min="79" max="79" width="9.42578125" bestFit="1" customWidth="1"/>
    <col min="80" max="80" width="8.5703125" bestFit="1" customWidth="1"/>
    <col min="81" max="81" width="5.5703125" bestFit="1" customWidth="1"/>
    <col min="82" max="82" width="9" bestFit="1" customWidth="1"/>
    <col min="83" max="83" width="8.28515625" bestFit="1" customWidth="1"/>
    <col min="84" max="84" width="9.85546875" bestFit="1" customWidth="1"/>
    <col min="85" max="85" width="22.140625" bestFit="1" customWidth="1"/>
    <col min="86" max="86" width="15.28515625" bestFit="1" customWidth="1"/>
    <col min="87" max="87" width="12.5703125" bestFit="1" customWidth="1"/>
    <col min="88" max="88" width="12.7109375" bestFit="1" customWidth="1"/>
    <col min="89" max="89" width="12.5703125" bestFit="1" customWidth="1"/>
    <col min="90" max="90" width="11.28515625" bestFit="1" customWidth="1"/>
    <col min="91" max="91" width="15.42578125" bestFit="1" customWidth="1"/>
    <col min="92" max="92" width="12" bestFit="1" customWidth="1"/>
    <col min="93" max="93" width="12.5703125" bestFit="1" customWidth="1"/>
    <col min="94" max="94" width="13.5703125" bestFit="1" customWidth="1"/>
    <col min="95" max="95" width="12.5703125" bestFit="1" customWidth="1"/>
    <col min="96" max="96" width="12.28515625" bestFit="1" customWidth="1"/>
    <col min="97" max="97" width="12.5703125" bestFit="1" customWidth="1"/>
    <col min="98" max="98" width="7.28515625" bestFit="1" customWidth="1"/>
    <col min="99" max="99" width="12.5703125" bestFit="1" customWidth="1"/>
    <col min="100" max="100" width="8.5703125" bestFit="1" customWidth="1"/>
    <col min="101" max="101" width="11.140625" bestFit="1" customWidth="1"/>
    <col min="102" max="102" width="13.42578125" bestFit="1" customWidth="1"/>
    <col min="103" max="103" width="15.5703125" bestFit="1" customWidth="1"/>
    <col min="104" max="104" width="6" bestFit="1" customWidth="1"/>
    <col min="105" max="106" width="12.5703125" bestFit="1" customWidth="1"/>
    <col min="107" max="107" width="12.7109375" bestFit="1" customWidth="1"/>
    <col min="108" max="108" width="4.5703125" bestFit="1" customWidth="1"/>
    <col min="109" max="112" width="12.5703125" bestFit="1" customWidth="1"/>
    <col min="113" max="113" width="9.140625" bestFit="1" customWidth="1"/>
    <col min="114" max="114" width="7.28515625" bestFit="1" customWidth="1"/>
    <col min="115" max="115" width="12.5703125" bestFit="1" customWidth="1"/>
    <col min="116" max="116" width="8.42578125" bestFit="1" customWidth="1"/>
    <col min="117" max="117" width="7.5703125" bestFit="1" customWidth="1"/>
    <col min="118" max="118" width="5.42578125" bestFit="1" customWidth="1"/>
    <col min="119" max="119" width="5" bestFit="1" customWidth="1"/>
    <col min="120" max="120" width="6" bestFit="1" customWidth="1"/>
    <col min="121" max="121" width="12.5703125" bestFit="1" customWidth="1"/>
    <col min="122" max="122" width="11.42578125" bestFit="1" customWidth="1"/>
    <col min="123" max="123" width="18.28515625" bestFit="1" customWidth="1"/>
    <col min="124" max="124" width="12.5703125" bestFit="1" customWidth="1"/>
    <col min="125" max="125" width="20.28515625" bestFit="1" customWidth="1"/>
    <col min="126" max="126" width="9.42578125" bestFit="1" customWidth="1"/>
    <col min="127" max="127" width="5.85546875" bestFit="1" customWidth="1"/>
    <col min="128" max="128" width="5.28515625" bestFit="1" customWidth="1"/>
    <col min="129" max="129" width="4.85546875" bestFit="1" customWidth="1"/>
    <col min="130" max="130" width="8.28515625" bestFit="1" customWidth="1"/>
    <col min="131" max="131" width="9.85546875" bestFit="1" customWidth="1"/>
    <col min="132" max="132" width="22.140625" bestFit="1" customWidth="1"/>
    <col min="133" max="133" width="15.28515625" bestFit="1" customWidth="1"/>
    <col min="134" max="134" width="12.5703125" bestFit="1" customWidth="1"/>
    <col min="135" max="135" width="12.7109375" bestFit="1" customWidth="1"/>
    <col min="136" max="136" width="12.5703125" bestFit="1" customWidth="1"/>
    <col min="137" max="137" width="11.28515625" bestFit="1" customWidth="1"/>
    <col min="138" max="138" width="15.42578125" bestFit="1" customWidth="1"/>
    <col min="139" max="139" width="12" bestFit="1" customWidth="1"/>
    <col min="140" max="140" width="12.5703125" bestFit="1" customWidth="1"/>
    <col min="141" max="141" width="13.5703125" bestFit="1" customWidth="1"/>
    <col min="142" max="142" width="12.5703125" bestFit="1" customWidth="1"/>
    <col min="143" max="143" width="18.140625" bestFit="1" customWidth="1"/>
    <col min="144" max="144" width="17.7109375" bestFit="1" customWidth="1"/>
    <col min="145" max="145" width="15" bestFit="1" customWidth="1"/>
  </cols>
  <sheetData>
    <row r="5" spans="1:4" x14ac:dyDescent="0.2">
      <c r="A5" s="172" t="s">
        <v>758</v>
      </c>
      <c r="B5" t="s">
        <v>18</v>
      </c>
      <c r="C5" t="s">
        <v>16</v>
      </c>
      <c r="D5" t="s">
        <v>17</v>
      </c>
    </row>
    <row r="6" spans="1:4" x14ac:dyDescent="0.2">
      <c r="A6" s="173" t="s">
        <v>27</v>
      </c>
      <c r="B6">
        <v>-202193</v>
      </c>
      <c r="C6">
        <v>-202193</v>
      </c>
      <c r="D6">
        <v>0</v>
      </c>
    </row>
    <row r="7" spans="1:4" x14ac:dyDescent="0.2">
      <c r="A7" s="173" t="s">
        <v>48</v>
      </c>
      <c r="B7">
        <v>-62569.52</v>
      </c>
      <c r="C7">
        <v>-61982.619999999995</v>
      </c>
      <c r="D7">
        <v>-586.9</v>
      </c>
    </row>
    <row r="8" spans="1:4" x14ac:dyDescent="0.2">
      <c r="A8" s="173" t="s">
        <v>251</v>
      </c>
      <c r="B8">
        <v>-119933.92000000001</v>
      </c>
      <c r="C8">
        <v>-109900.50909090909</v>
      </c>
      <c r="D8">
        <v>-10033.41090909091</v>
      </c>
    </row>
    <row r="9" spans="1:4" x14ac:dyDescent="0.2">
      <c r="A9" s="173" t="s">
        <v>696</v>
      </c>
      <c r="B9">
        <v>-27720</v>
      </c>
      <c r="C9">
        <v>-25800</v>
      </c>
      <c r="D9">
        <v>-1920</v>
      </c>
    </row>
    <row r="10" spans="1:4" x14ac:dyDescent="0.2">
      <c r="A10" s="173" t="s">
        <v>697</v>
      </c>
      <c r="B10">
        <v>-63951.18</v>
      </c>
      <c r="C10">
        <v>-58504.163636363628</v>
      </c>
      <c r="D10">
        <v>-5447.0163636363641</v>
      </c>
    </row>
    <row r="11" spans="1:4" x14ac:dyDescent="0.2">
      <c r="A11" s="173" t="s">
        <v>701</v>
      </c>
      <c r="B11">
        <v>-27903.600000000002</v>
      </c>
      <c r="C11">
        <v>-27601.781818181818</v>
      </c>
      <c r="D11">
        <v>-301.81818181818181</v>
      </c>
    </row>
    <row r="12" spans="1:4" x14ac:dyDescent="0.2">
      <c r="A12" s="173" t="s">
        <v>198</v>
      </c>
      <c r="B12">
        <v>-12600</v>
      </c>
      <c r="C12">
        <v>-12600</v>
      </c>
      <c r="D12">
        <v>0</v>
      </c>
    </row>
    <row r="13" spans="1:4" x14ac:dyDescent="0.2">
      <c r="A13" s="173" t="s">
        <v>689</v>
      </c>
      <c r="B13">
        <v>-3388.31</v>
      </c>
      <c r="C13">
        <v>-3080.2818181818184</v>
      </c>
      <c r="D13">
        <v>-308.02818181818179</v>
      </c>
    </row>
    <row r="14" spans="1:4" x14ac:dyDescent="0.2">
      <c r="A14" s="173" t="s">
        <v>396</v>
      </c>
      <c r="B14">
        <v>-32385.579999999998</v>
      </c>
      <c r="C14">
        <v>-29441.436363636367</v>
      </c>
      <c r="D14">
        <v>-2944.1436363636358</v>
      </c>
    </row>
    <row r="15" spans="1:4" x14ac:dyDescent="0.2">
      <c r="A15" s="173" t="s">
        <v>21</v>
      </c>
      <c r="B15">
        <v>-552645.11</v>
      </c>
      <c r="C15">
        <v>-531103.79272727272</v>
      </c>
      <c r="D15">
        <v>-21541.317272727272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2"/>
  <sheetViews>
    <sheetView topLeftCell="A981" zoomScaleNormal="90" workbookViewId="0">
      <selection activeCell="A1002" sqref="A599:XFD1002"/>
    </sheetView>
  </sheetViews>
  <sheetFormatPr baseColWidth="10" defaultColWidth="10.140625" defaultRowHeight="15" customHeight="1" x14ac:dyDescent="0.15"/>
  <cols>
    <col min="1" max="1" width="11.28515625" style="223" customWidth="1"/>
    <col min="2" max="2" width="10.85546875" style="223" customWidth="1"/>
    <col min="3" max="3" width="11.5703125" style="223" bestFit="1" customWidth="1"/>
    <col min="4" max="4" width="10.85546875" style="223" customWidth="1"/>
    <col min="5" max="5" width="58.7109375" style="223" customWidth="1"/>
    <col min="6" max="6" width="19.140625" style="223" customWidth="1"/>
    <col min="7" max="7" width="19.42578125" style="223" customWidth="1"/>
    <col min="8" max="8" width="15.85546875" style="223" customWidth="1"/>
    <col min="9" max="9" width="10.140625" style="223"/>
    <col min="10" max="10" width="11" style="223" customWidth="1"/>
    <col min="11" max="11" width="58" style="223" customWidth="1"/>
    <col min="12" max="16384" width="10.140625" style="223"/>
  </cols>
  <sheetData>
    <row r="1" spans="1:26" ht="15.75" customHeight="1" x14ac:dyDescent="0.2">
      <c r="A1" s="219" t="s">
        <v>23</v>
      </c>
      <c r="B1" s="220" t="s">
        <v>24</v>
      </c>
      <c r="C1" s="220" t="s">
        <v>1</v>
      </c>
      <c r="D1" s="221" t="s">
        <v>2</v>
      </c>
      <c r="E1" s="219" t="s">
        <v>25</v>
      </c>
      <c r="F1" s="219" t="s">
        <v>13</v>
      </c>
      <c r="G1" s="219" t="s">
        <v>14</v>
      </c>
      <c r="H1" s="219" t="s">
        <v>15</v>
      </c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</row>
    <row r="2" spans="1:26" ht="15.75" customHeight="1" x14ac:dyDescent="0.2">
      <c r="A2" s="224">
        <v>42513</v>
      </c>
      <c r="B2" s="225">
        <v>-30000</v>
      </c>
      <c r="C2" s="225">
        <f>B2</f>
        <v>-30000</v>
      </c>
      <c r="D2" s="225">
        <v>0</v>
      </c>
      <c r="E2" s="226" t="s">
        <v>26</v>
      </c>
      <c r="F2" s="227" t="s">
        <v>27</v>
      </c>
      <c r="G2" s="227" t="s">
        <v>28</v>
      </c>
      <c r="H2" s="228">
        <v>68</v>
      </c>
      <c r="I2" s="267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</row>
    <row r="3" spans="1:26" ht="15.75" customHeight="1" x14ac:dyDescent="0.2">
      <c r="A3" s="224">
        <v>42513</v>
      </c>
      <c r="B3" s="225">
        <v>-15656</v>
      </c>
      <c r="C3" s="225">
        <f>B3</f>
        <v>-15656</v>
      </c>
      <c r="D3" s="225">
        <v>0</v>
      </c>
      <c r="E3" s="226" t="s">
        <v>29</v>
      </c>
      <c r="F3" s="227" t="s">
        <v>27</v>
      </c>
      <c r="G3" s="227" t="s">
        <v>30</v>
      </c>
      <c r="H3" s="228">
        <v>68</v>
      </c>
      <c r="I3" s="267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</row>
    <row r="4" spans="1:26" ht="15.75" customHeight="1" x14ac:dyDescent="0.2">
      <c r="A4" s="224">
        <v>42513</v>
      </c>
      <c r="B4" s="225">
        <v>-37250</v>
      </c>
      <c r="C4" s="225">
        <f>B4</f>
        <v>-37250</v>
      </c>
      <c r="D4" s="225">
        <v>0</v>
      </c>
      <c r="E4" s="226" t="s">
        <v>31</v>
      </c>
      <c r="F4" s="227" t="s">
        <v>27</v>
      </c>
      <c r="G4" s="227" t="s">
        <v>28</v>
      </c>
      <c r="H4" s="228">
        <v>70</v>
      </c>
      <c r="I4" s="267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</row>
    <row r="5" spans="1:26" ht="15.75" customHeight="1" x14ac:dyDescent="0.2">
      <c r="A5" s="224">
        <v>42513</v>
      </c>
      <c r="B5" s="225">
        <v>-26962</v>
      </c>
      <c r="C5" s="225">
        <f>B5</f>
        <v>-26962</v>
      </c>
      <c r="D5" s="225">
        <v>0</v>
      </c>
      <c r="E5" s="226" t="s">
        <v>29</v>
      </c>
      <c r="F5" s="227" t="s">
        <v>27</v>
      </c>
      <c r="G5" s="227" t="s">
        <v>30</v>
      </c>
      <c r="H5" s="228">
        <v>70</v>
      </c>
      <c r="I5" s="267"/>
      <c r="J5" s="267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</row>
    <row r="6" spans="1:26" ht="15.75" customHeight="1" x14ac:dyDescent="0.2">
      <c r="A6" s="224">
        <v>42513</v>
      </c>
      <c r="B6" s="225">
        <v>-270000</v>
      </c>
      <c r="C6" s="225">
        <f>B6</f>
        <v>-270000</v>
      </c>
      <c r="D6" s="225">
        <v>0</v>
      </c>
      <c r="E6" s="226" t="s">
        <v>32</v>
      </c>
      <c r="F6" s="227" t="s">
        <v>27</v>
      </c>
      <c r="G6" s="227" t="s">
        <v>20</v>
      </c>
      <c r="H6" s="228"/>
      <c r="I6" s="267"/>
      <c r="J6" s="267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</row>
    <row r="7" spans="1:26" ht="15.75" customHeight="1" x14ac:dyDescent="0.2">
      <c r="A7" s="224">
        <v>42513</v>
      </c>
      <c r="B7" s="225">
        <f>(372500-(372500*0.1))*-1</f>
        <v>-335250</v>
      </c>
      <c r="C7" s="225">
        <f>B7</f>
        <v>-335250</v>
      </c>
      <c r="D7" s="225">
        <v>0</v>
      </c>
      <c r="E7" s="226" t="s">
        <v>33</v>
      </c>
      <c r="F7" s="227" t="s">
        <v>27</v>
      </c>
      <c r="G7" s="227" t="s">
        <v>20</v>
      </c>
      <c r="H7" s="228"/>
      <c r="I7" s="267"/>
      <c r="J7" s="267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</row>
    <row r="8" spans="1:26" ht="15.75" customHeight="1" x14ac:dyDescent="0.2">
      <c r="A8" s="224">
        <v>42513</v>
      </c>
      <c r="B8" s="225">
        <v>250</v>
      </c>
      <c r="C8" s="225">
        <f>B8</f>
        <v>250</v>
      </c>
      <c r="D8" s="225">
        <v>0</v>
      </c>
      <c r="E8" s="226" t="s">
        <v>34</v>
      </c>
      <c r="F8" s="227" t="s">
        <v>702</v>
      </c>
      <c r="G8" s="227" t="s">
        <v>19</v>
      </c>
      <c r="H8" s="228"/>
      <c r="I8" s="267"/>
      <c r="J8" s="267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</row>
    <row r="9" spans="1:26" ht="15.75" customHeight="1" x14ac:dyDescent="0.2">
      <c r="A9" s="224">
        <v>42513</v>
      </c>
      <c r="B9" s="225">
        <v>1150.07</v>
      </c>
      <c r="C9" s="225">
        <f>B9</f>
        <v>1150.07</v>
      </c>
      <c r="D9" s="225">
        <v>0</v>
      </c>
      <c r="E9" s="226" t="s">
        <v>35</v>
      </c>
      <c r="F9" s="227" t="s">
        <v>36</v>
      </c>
      <c r="G9" s="227" t="s">
        <v>37</v>
      </c>
      <c r="H9" s="228">
        <v>68</v>
      </c>
      <c r="I9" s="267"/>
      <c r="J9" s="267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</row>
    <row r="10" spans="1:26" ht="15.75" customHeight="1" x14ac:dyDescent="0.2">
      <c r="A10" s="224">
        <v>42515</v>
      </c>
      <c r="B10" s="225">
        <v>250</v>
      </c>
      <c r="C10" s="225">
        <f>B10</f>
        <v>250</v>
      </c>
      <c r="D10" s="225">
        <v>0</v>
      </c>
      <c r="E10" s="226" t="s">
        <v>38</v>
      </c>
      <c r="F10" s="227" t="s">
        <v>702</v>
      </c>
      <c r="G10" s="227" t="s">
        <v>39</v>
      </c>
      <c r="H10" s="228"/>
      <c r="I10" s="267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</row>
    <row r="11" spans="1:26" ht="15.75" customHeight="1" x14ac:dyDescent="0.2">
      <c r="A11" s="224">
        <v>42517</v>
      </c>
      <c r="B11" s="225">
        <v>-931.14</v>
      </c>
      <c r="C11" s="225">
        <f>B11</f>
        <v>-931.14</v>
      </c>
      <c r="D11" s="225">
        <v>0</v>
      </c>
      <c r="E11" s="226" t="s">
        <v>40</v>
      </c>
      <c r="F11" s="227" t="s">
        <v>698</v>
      </c>
      <c r="G11" s="227" t="s">
        <v>6</v>
      </c>
      <c r="H11" s="228">
        <v>68</v>
      </c>
      <c r="I11" s="267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</row>
    <row r="12" spans="1:26" ht="15.75" customHeight="1" x14ac:dyDescent="0.2">
      <c r="A12" s="224">
        <v>42517</v>
      </c>
      <c r="B12" s="225">
        <v>-501.27</v>
      </c>
      <c r="C12" s="225">
        <f>B12</f>
        <v>-501.27</v>
      </c>
      <c r="D12" s="225">
        <v>0</v>
      </c>
      <c r="E12" s="226" t="s">
        <v>40</v>
      </c>
      <c r="F12" s="227" t="s">
        <v>698</v>
      </c>
      <c r="G12" s="227" t="s">
        <v>6</v>
      </c>
      <c r="H12" s="228">
        <v>68</v>
      </c>
      <c r="I12" s="267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</row>
    <row r="13" spans="1:26" ht="15.75" customHeight="1" x14ac:dyDescent="0.2">
      <c r="A13" s="224">
        <v>42523</v>
      </c>
      <c r="B13" s="225">
        <v>5000</v>
      </c>
      <c r="C13" s="225">
        <f>B13</f>
        <v>5000</v>
      </c>
      <c r="D13" s="225">
        <v>0</v>
      </c>
      <c r="E13" s="226" t="s">
        <v>41</v>
      </c>
      <c r="F13" s="227" t="s">
        <v>702</v>
      </c>
      <c r="G13" s="227" t="s">
        <v>39</v>
      </c>
      <c r="H13" s="228"/>
      <c r="I13" s="267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</row>
    <row r="14" spans="1:26" ht="15.75" customHeight="1" x14ac:dyDescent="0.2">
      <c r="A14" s="224">
        <v>42524</v>
      </c>
      <c r="B14" s="225">
        <v>5000</v>
      </c>
      <c r="C14" s="225">
        <f>B14</f>
        <v>5000</v>
      </c>
      <c r="D14" s="225">
        <v>0</v>
      </c>
      <c r="E14" s="226" t="s">
        <v>42</v>
      </c>
      <c r="F14" s="227" t="s">
        <v>702</v>
      </c>
      <c r="G14" s="227" t="s">
        <v>39</v>
      </c>
      <c r="H14" s="228"/>
      <c r="I14" s="267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</row>
    <row r="15" spans="1:26" ht="15.75" customHeight="1" x14ac:dyDescent="0.2">
      <c r="A15" s="224">
        <v>42524</v>
      </c>
      <c r="B15" s="225">
        <v>10000</v>
      </c>
      <c r="C15" s="225">
        <f>B15</f>
        <v>10000</v>
      </c>
      <c r="D15" s="225">
        <v>0</v>
      </c>
      <c r="E15" s="226" t="s">
        <v>43</v>
      </c>
      <c r="F15" s="227" t="s">
        <v>702</v>
      </c>
      <c r="G15" s="227" t="s">
        <v>19</v>
      </c>
      <c r="H15" s="228"/>
      <c r="I15" s="267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</row>
    <row r="16" spans="1:26" ht="15.75" customHeight="1" x14ac:dyDescent="0.2">
      <c r="A16" s="224">
        <v>42528</v>
      </c>
      <c r="B16" s="225">
        <v>1500</v>
      </c>
      <c r="C16" s="225">
        <f>B16</f>
        <v>1500</v>
      </c>
      <c r="D16" s="225">
        <v>0</v>
      </c>
      <c r="E16" s="226" t="s">
        <v>42</v>
      </c>
      <c r="F16" s="227" t="s">
        <v>702</v>
      </c>
      <c r="G16" s="227" t="s">
        <v>39</v>
      </c>
      <c r="H16" s="228"/>
      <c r="I16" s="267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</row>
    <row r="17" spans="1:26" ht="15.75" customHeight="1" x14ac:dyDescent="0.2">
      <c r="A17" s="224">
        <v>42528</v>
      </c>
      <c r="B17" s="225">
        <v>1500</v>
      </c>
      <c r="C17" s="225">
        <f>B17</f>
        <v>1500</v>
      </c>
      <c r="D17" s="225">
        <v>0</v>
      </c>
      <c r="E17" s="226" t="s">
        <v>44</v>
      </c>
      <c r="F17" s="227" t="s">
        <v>702</v>
      </c>
      <c r="G17" s="227" t="s">
        <v>19</v>
      </c>
      <c r="H17" s="228"/>
      <c r="I17" s="267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</row>
    <row r="18" spans="1:26" ht="15.75" customHeight="1" x14ac:dyDescent="0.2">
      <c r="A18" s="224">
        <v>42530</v>
      </c>
      <c r="B18" s="225">
        <v>-279</v>
      </c>
      <c r="C18" s="225">
        <f>B18</f>
        <v>-279</v>
      </c>
      <c r="D18" s="225">
        <v>0</v>
      </c>
      <c r="E18" s="226" t="s">
        <v>45</v>
      </c>
      <c r="F18" s="227" t="s">
        <v>698</v>
      </c>
      <c r="G18" s="227" t="s">
        <v>46</v>
      </c>
      <c r="H18" s="228">
        <v>68</v>
      </c>
      <c r="I18" s="267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</row>
    <row r="19" spans="1:26" ht="15.75" customHeight="1" x14ac:dyDescent="0.2">
      <c r="A19" s="224">
        <v>42533</v>
      </c>
      <c r="B19" s="225">
        <v>-550</v>
      </c>
      <c r="C19" s="225">
        <f>B19</f>
        <v>-550</v>
      </c>
      <c r="D19" s="225">
        <v>0</v>
      </c>
      <c r="E19" s="226" t="s">
        <v>47</v>
      </c>
      <c r="F19" s="227" t="s">
        <v>48</v>
      </c>
      <c r="G19" s="227" t="s">
        <v>49</v>
      </c>
      <c r="H19" s="228" t="s">
        <v>50</v>
      </c>
      <c r="I19" s="267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</row>
    <row r="20" spans="1:26" ht="15.75" customHeight="1" x14ac:dyDescent="0.2">
      <c r="A20" s="224">
        <v>42533</v>
      </c>
      <c r="B20" s="225">
        <v>-500</v>
      </c>
      <c r="C20" s="225">
        <f>B20</f>
        <v>-500</v>
      </c>
      <c r="D20" s="225">
        <v>0</v>
      </c>
      <c r="E20" s="226" t="s">
        <v>51</v>
      </c>
      <c r="F20" s="227" t="s">
        <v>702</v>
      </c>
      <c r="G20" s="227" t="s">
        <v>52</v>
      </c>
      <c r="H20" s="228"/>
      <c r="I20" s="267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</row>
    <row r="21" spans="1:26" ht="15.75" customHeight="1" x14ac:dyDescent="0.2">
      <c r="A21" s="224">
        <v>42537</v>
      </c>
      <c r="B21" s="225">
        <v>400</v>
      </c>
      <c r="C21" s="225">
        <f>B21</f>
        <v>400</v>
      </c>
      <c r="D21" s="225">
        <v>0</v>
      </c>
      <c r="E21" s="226" t="s">
        <v>38</v>
      </c>
      <c r="F21" s="227" t="s">
        <v>702</v>
      </c>
      <c r="G21" s="227" t="s">
        <v>39</v>
      </c>
      <c r="H21" s="228"/>
      <c r="I21" s="267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</row>
    <row r="22" spans="1:26" ht="15.75" customHeight="1" x14ac:dyDescent="0.2">
      <c r="A22" s="224">
        <v>42542</v>
      </c>
      <c r="B22" s="225">
        <v>1139.07</v>
      </c>
      <c r="C22" s="225">
        <f>B22</f>
        <v>1139.07</v>
      </c>
      <c r="D22" s="225">
        <v>0</v>
      </c>
      <c r="E22" s="226" t="s">
        <v>35</v>
      </c>
      <c r="F22" s="227" t="s">
        <v>36</v>
      </c>
      <c r="G22" s="227" t="s">
        <v>37</v>
      </c>
      <c r="H22" s="228">
        <v>68</v>
      </c>
      <c r="I22" s="267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</row>
    <row r="23" spans="1:26" ht="15.75" customHeight="1" x14ac:dyDescent="0.2">
      <c r="A23" s="224">
        <v>42548</v>
      </c>
      <c r="B23" s="225">
        <v>-518.23</v>
      </c>
      <c r="C23" s="225">
        <f>B23</f>
        <v>-518.23</v>
      </c>
      <c r="D23" s="225">
        <v>0</v>
      </c>
      <c r="E23" s="226" t="s">
        <v>40</v>
      </c>
      <c r="F23" s="227" t="s">
        <v>698</v>
      </c>
      <c r="G23" s="227" t="s">
        <v>6</v>
      </c>
      <c r="H23" s="228">
        <v>68</v>
      </c>
      <c r="I23" s="267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</row>
    <row r="24" spans="1:26" ht="15.75" customHeight="1" x14ac:dyDescent="0.2">
      <c r="A24" s="224">
        <v>42548</v>
      </c>
      <c r="B24" s="225">
        <v>-502.69</v>
      </c>
      <c r="C24" s="225">
        <f>B24</f>
        <v>-502.69</v>
      </c>
      <c r="D24" s="225">
        <v>0</v>
      </c>
      <c r="E24" s="226" t="s">
        <v>40</v>
      </c>
      <c r="F24" s="227" t="s">
        <v>698</v>
      </c>
      <c r="G24" s="227" t="s">
        <v>6</v>
      </c>
      <c r="H24" s="228">
        <v>68</v>
      </c>
      <c r="I24" s="267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</row>
    <row r="25" spans="1:26" ht="15.75" customHeight="1" x14ac:dyDescent="0.2">
      <c r="A25" s="224">
        <v>42550</v>
      </c>
      <c r="B25" s="225">
        <v>400</v>
      </c>
      <c r="C25" s="225">
        <f>B25</f>
        <v>400</v>
      </c>
      <c r="D25" s="225">
        <v>0</v>
      </c>
      <c r="E25" s="226" t="s">
        <v>53</v>
      </c>
      <c r="F25" s="227" t="s">
        <v>702</v>
      </c>
      <c r="G25" s="227" t="s">
        <v>19</v>
      </c>
      <c r="H25" s="228"/>
      <c r="I25" s="267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</row>
    <row r="26" spans="1:26" ht="15.75" customHeight="1" x14ac:dyDescent="0.2">
      <c r="A26" s="224">
        <v>42551</v>
      </c>
      <c r="B26" s="225">
        <v>-1210</v>
      </c>
      <c r="C26" s="225">
        <f>B26</f>
        <v>-1210</v>
      </c>
      <c r="D26" s="225">
        <v>0</v>
      </c>
      <c r="E26" s="226" t="s">
        <v>54</v>
      </c>
      <c r="F26" s="227" t="s">
        <v>48</v>
      </c>
      <c r="G26" s="227" t="s">
        <v>49</v>
      </c>
      <c r="H26" s="228" t="s">
        <v>50</v>
      </c>
      <c r="I26" s="267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</row>
    <row r="27" spans="1:26" ht="15.75" customHeight="1" x14ac:dyDescent="0.2">
      <c r="A27" s="224">
        <v>42555</v>
      </c>
      <c r="B27" s="225">
        <v>600</v>
      </c>
      <c r="C27" s="225">
        <f>B27</f>
        <v>600</v>
      </c>
      <c r="D27" s="225">
        <v>0</v>
      </c>
      <c r="E27" s="226" t="s">
        <v>55</v>
      </c>
      <c r="F27" s="227" t="s">
        <v>702</v>
      </c>
      <c r="G27" s="227" t="s">
        <v>39</v>
      </c>
      <c r="H27" s="228"/>
      <c r="I27" s="267"/>
      <c r="J27" s="222" t="s">
        <v>56</v>
      </c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</row>
    <row r="28" spans="1:26" ht="15.75" customHeight="1" x14ac:dyDescent="0.2">
      <c r="A28" s="224">
        <v>42559</v>
      </c>
      <c r="B28" s="225">
        <v>-70</v>
      </c>
      <c r="C28" s="225">
        <f>B28</f>
        <v>-70</v>
      </c>
      <c r="D28" s="225">
        <v>0</v>
      </c>
      <c r="E28" s="226" t="s">
        <v>57</v>
      </c>
      <c r="F28" s="227" t="s">
        <v>11</v>
      </c>
      <c r="G28" s="227" t="s">
        <v>58</v>
      </c>
      <c r="H28" s="228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</row>
    <row r="29" spans="1:26" ht="15.75" customHeight="1" x14ac:dyDescent="0.2">
      <c r="A29" s="224">
        <v>42559</v>
      </c>
      <c r="B29" s="225">
        <v>600</v>
      </c>
      <c r="C29" s="225">
        <f>B29</f>
        <v>600</v>
      </c>
      <c r="D29" s="225">
        <v>0</v>
      </c>
      <c r="E29" s="226" t="s">
        <v>59</v>
      </c>
      <c r="F29" s="227" t="s">
        <v>702</v>
      </c>
      <c r="G29" s="227" t="s">
        <v>19</v>
      </c>
      <c r="H29" s="228"/>
      <c r="I29" s="267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</row>
    <row r="30" spans="1:26" ht="15.75" customHeight="1" x14ac:dyDescent="0.2">
      <c r="A30" s="224">
        <v>42566</v>
      </c>
      <c r="B30" s="225">
        <v>-62.79</v>
      </c>
      <c r="C30" s="225">
        <f>B30</f>
        <v>-62.79</v>
      </c>
      <c r="D30" s="225">
        <v>0</v>
      </c>
      <c r="E30" s="226" t="s">
        <v>60</v>
      </c>
      <c r="F30" s="227" t="s">
        <v>698</v>
      </c>
      <c r="G30" s="227" t="s">
        <v>61</v>
      </c>
      <c r="H30" s="228">
        <v>68</v>
      </c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</row>
    <row r="31" spans="1:26" ht="15.75" customHeight="1" x14ac:dyDescent="0.2">
      <c r="A31" s="224">
        <v>42569</v>
      </c>
      <c r="B31" s="225">
        <v>400</v>
      </c>
      <c r="C31" s="225">
        <f>B31</f>
        <v>400</v>
      </c>
      <c r="D31" s="225">
        <v>0</v>
      </c>
      <c r="E31" s="226" t="s">
        <v>38</v>
      </c>
      <c r="F31" s="227" t="s">
        <v>702</v>
      </c>
      <c r="G31" s="227" t="s">
        <v>39</v>
      </c>
      <c r="H31" s="228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</row>
    <row r="32" spans="1:26" ht="15.75" customHeight="1" x14ac:dyDescent="0.2">
      <c r="A32" s="224">
        <v>42572</v>
      </c>
      <c r="B32" s="225">
        <v>1150.07</v>
      </c>
      <c r="C32" s="225">
        <f>B32</f>
        <v>1150.07</v>
      </c>
      <c r="D32" s="225">
        <v>0</v>
      </c>
      <c r="E32" s="226" t="s">
        <v>35</v>
      </c>
      <c r="F32" s="227" t="s">
        <v>36</v>
      </c>
      <c r="G32" s="227" t="s">
        <v>37</v>
      </c>
      <c r="H32" s="228">
        <v>68</v>
      </c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</row>
    <row r="33" spans="1:26" ht="15.75" customHeight="1" x14ac:dyDescent="0.2">
      <c r="A33" s="224">
        <v>42577</v>
      </c>
      <c r="B33" s="225">
        <v>2500</v>
      </c>
      <c r="C33" s="225">
        <f>B33</f>
        <v>2500</v>
      </c>
      <c r="D33" s="225">
        <v>0</v>
      </c>
      <c r="E33" s="226" t="s">
        <v>62</v>
      </c>
      <c r="F33" s="227" t="s">
        <v>702</v>
      </c>
      <c r="G33" s="227" t="s">
        <v>39</v>
      </c>
      <c r="H33" s="228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</row>
    <row r="34" spans="1:26" ht="15.75" customHeight="1" x14ac:dyDescent="0.2">
      <c r="A34" s="224">
        <v>42578</v>
      </c>
      <c r="B34" s="225">
        <v>-486.49</v>
      </c>
      <c r="C34" s="225">
        <f>B34</f>
        <v>-486.49</v>
      </c>
      <c r="D34" s="225">
        <v>0</v>
      </c>
      <c r="E34" s="226" t="s">
        <v>40</v>
      </c>
      <c r="F34" s="227" t="s">
        <v>698</v>
      </c>
      <c r="G34" s="227" t="s">
        <v>6</v>
      </c>
      <c r="H34" s="228">
        <v>68</v>
      </c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</row>
    <row r="35" spans="1:26" ht="15.75" customHeight="1" x14ac:dyDescent="0.2">
      <c r="A35" s="224">
        <v>42578</v>
      </c>
      <c r="B35" s="225">
        <v>-473.09</v>
      </c>
      <c r="C35" s="225">
        <f>B35</f>
        <v>-473.09</v>
      </c>
      <c r="D35" s="225">
        <v>0</v>
      </c>
      <c r="E35" s="226" t="s">
        <v>40</v>
      </c>
      <c r="F35" s="227" t="s">
        <v>698</v>
      </c>
      <c r="G35" s="227" t="s">
        <v>6</v>
      </c>
      <c r="H35" s="228">
        <v>68</v>
      </c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</row>
    <row r="36" spans="1:26" ht="15.75" customHeight="1" x14ac:dyDescent="0.2">
      <c r="A36" s="224">
        <v>42579</v>
      </c>
      <c r="B36" s="225">
        <v>-28000</v>
      </c>
      <c r="C36" s="225">
        <f>B36</f>
        <v>-28000</v>
      </c>
      <c r="D36" s="225">
        <v>0</v>
      </c>
      <c r="E36" s="226" t="s">
        <v>63</v>
      </c>
      <c r="F36" s="227" t="s">
        <v>702</v>
      </c>
      <c r="G36" s="227" t="s">
        <v>64</v>
      </c>
      <c r="H36" s="228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</row>
    <row r="37" spans="1:26" ht="15.75" customHeight="1" x14ac:dyDescent="0.2">
      <c r="A37" s="224">
        <v>42579</v>
      </c>
      <c r="B37" s="225">
        <v>2500</v>
      </c>
      <c r="C37" s="225">
        <f>B37</f>
        <v>2500</v>
      </c>
      <c r="D37" s="225">
        <v>0</v>
      </c>
      <c r="E37" s="226" t="s">
        <v>65</v>
      </c>
      <c r="F37" s="227" t="s">
        <v>702</v>
      </c>
      <c r="G37" s="227" t="s">
        <v>19</v>
      </c>
      <c r="H37" s="22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</row>
    <row r="38" spans="1:26" ht="15.75" customHeight="1" x14ac:dyDescent="0.2">
      <c r="A38" s="224">
        <v>42583</v>
      </c>
      <c r="B38" s="225">
        <v>-64.69</v>
      </c>
      <c r="C38" s="225">
        <f>B38</f>
        <v>-64.69</v>
      </c>
      <c r="D38" s="225">
        <v>0</v>
      </c>
      <c r="E38" s="226" t="s">
        <v>66</v>
      </c>
      <c r="F38" s="227" t="s">
        <v>698</v>
      </c>
      <c r="G38" s="227" t="s">
        <v>61</v>
      </c>
      <c r="H38" s="228">
        <v>70</v>
      </c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</row>
    <row r="39" spans="1:26" ht="15.75" customHeight="1" x14ac:dyDescent="0.2">
      <c r="A39" s="224">
        <v>42584</v>
      </c>
      <c r="B39" s="225">
        <v>-601</v>
      </c>
      <c r="C39" s="225">
        <f>B39</f>
        <v>-601</v>
      </c>
      <c r="D39" s="225">
        <v>0</v>
      </c>
      <c r="E39" s="226" t="s">
        <v>67</v>
      </c>
      <c r="F39" s="227" t="s">
        <v>698</v>
      </c>
      <c r="G39" s="227" t="s">
        <v>6</v>
      </c>
      <c r="H39" s="228">
        <v>70</v>
      </c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</row>
    <row r="40" spans="1:26" ht="15.75" customHeight="1" x14ac:dyDescent="0.2">
      <c r="A40" s="224">
        <v>42584</v>
      </c>
      <c r="B40" s="225">
        <v>21</v>
      </c>
      <c r="C40" s="225">
        <f>B40</f>
        <v>21</v>
      </c>
      <c r="D40" s="225">
        <v>0</v>
      </c>
      <c r="E40" s="226" t="s">
        <v>68</v>
      </c>
      <c r="F40" s="227" t="s">
        <v>702</v>
      </c>
      <c r="G40" s="227" t="s">
        <v>19</v>
      </c>
      <c r="H40" s="228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</row>
    <row r="41" spans="1:26" ht="15.75" customHeight="1" x14ac:dyDescent="0.2">
      <c r="A41" s="224">
        <v>42584</v>
      </c>
      <c r="B41" s="225">
        <v>400</v>
      </c>
      <c r="C41" s="225">
        <f>B41</f>
        <v>400</v>
      </c>
      <c r="D41" s="225">
        <v>0</v>
      </c>
      <c r="E41" s="226" t="s">
        <v>69</v>
      </c>
      <c r="F41" s="227" t="s">
        <v>702</v>
      </c>
      <c r="G41" s="227" t="s">
        <v>19</v>
      </c>
      <c r="H41" s="228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</row>
    <row r="42" spans="1:26" ht="15.75" customHeight="1" x14ac:dyDescent="0.2">
      <c r="A42" s="224">
        <v>42586</v>
      </c>
      <c r="B42" s="225">
        <v>2500</v>
      </c>
      <c r="C42" s="225">
        <f>B42</f>
        <v>2500</v>
      </c>
      <c r="D42" s="225">
        <v>0</v>
      </c>
      <c r="E42" s="226" t="s">
        <v>70</v>
      </c>
      <c r="F42" s="227" t="s">
        <v>702</v>
      </c>
      <c r="G42" s="227" t="s">
        <v>39</v>
      </c>
      <c r="H42" s="228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</row>
    <row r="43" spans="1:26" ht="15.75" customHeight="1" x14ac:dyDescent="0.2">
      <c r="A43" s="224">
        <v>42588</v>
      </c>
      <c r="B43" s="225">
        <v>-2255</v>
      </c>
      <c r="C43" s="225">
        <f>B43</f>
        <v>-2255</v>
      </c>
      <c r="D43" s="225">
        <v>0</v>
      </c>
      <c r="E43" s="226" t="s">
        <v>71</v>
      </c>
      <c r="F43" s="227" t="s">
        <v>48</v>
      </c>
      <c r="G43" s="227" t="s">
        <v>49</v>
      </c>
      <c r="H43" s="228" t="s">
        <v>72</v>
      </c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</row>
    <row r="44" spans="1:26" ht="15.75" customHeight="1" x14ac:dyDescent="0.2">
      <c r="A44" s="224">
        <v>42588</v>
      </c>
      <c r="B44" s="225">
        <v>-216.58</v>
      </c>
      <c r="C44" s="225">
        <f>B44</f>
        <v>-216.58</v>
      </c>
      <c r="D44" s="225">
        <v>0</v>
      </c>
      <c r="E44" s="226" t="s">
        <v>73</v>
      </c>
      <c r="F44" s="227" t="s">
        <v>698</v>
      </c>
      <c r="G44" s="227" t="s">
        <v>74</v>
      </c>
      <c r="H44" s="228">
        <v>68</v>
      </c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</row>
    <row r="45" spans="1:26" ht="15.75" customHeight="1" x14ac:dyDescent="0.2">
      <c r="A45" s="224">
        <v>42588</v>
      </c>
      <c r="B45" s="225">
        <v>2500</v>
      </c>
      <c r="C45" s="225">
        <f>B45</f>
        <v>2500</v>
      </c>
      <c r="D45" s="225">
        <v>0</v>
      </c>
      <c r="E45" s="226" t="s">
        <v>75</v>
      </c>
      <c r="F45" s="227" t="s">
        <v>702</v>
      </c>
      <c r="G45" s="227" t="s">
        <v>19</v>
      </c>
      <c r="H45" s="228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</row>
    <row r="46" spans="1:26" ht="15.75" customHeight="1" x14ac:dyDescent="0.2">
      <c r="A46" s="224">
        <v>42590</v>
      </c>
      <c r="B46" s="225">
        <v>82</v>
      </c>
      <c r="C46" s="225">
        <f>B46</f>
        <v>82</v>
      </c>
      <c r="D46" s="225">
        <v>0</v>
      </c>
      <c r="E46" s="226" t="s">
        <v>76</v>
      </c>
      <c r="F46" s="227" t="s">
        <v>702</v>
      </c>
      <c r="G46" s="227" t="s">
        <v>77</v>
      </c>
      <c r="H46" s="22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</row>
    <row r="47" spans="1:26" ht="15.75" customHeight="1" x14ac:dyDescent="0.2">
      <c r="A47" s="224">
        <v>42595</v>
      </c>
      <c r="B47" s="225">
        <v>-2000</v>
      </c>
      <c r="C47" s="225">
        <f>B47</f>
        <v>-2000</v>
      </c>
      <c r="D47" s="225">
        <v>0</v>
      </c>
      <c r="E47" s="226" t="s">
        <v>78</v>
      </c>
      <c r="F47" s="227" t="s">
        <v>698</v>
      </c>
      <c r="G47" s="227" t="s">
        <v>79</v>
      </c>
      <c r="H47" s="22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</row>
    <row r="48" spans="1:26" ht="15.75" customHeight="1" x14ac:dyDescent="0.2">
      <c r="A48" s="224">
        <v>42598</v>
      </c>
      <c r="B48" s="225">
        <v>-62.79</v>
      </c>
      <c r="C48" s="225">
        <f>B48</f>
        <v>-62.79</v>
      </c>
      <c r="D48" s="225">
        <v>0</v>
      </c>
      <c r="E48" s="226" t="s">
        <v>60</v>
      </c>
      <c r="F48" s="227" t="s">
        <v>698</v>
      </c>
      <c r="G48" s="227" t="s">
        <v>61</v>
      </c>
      <c r="H48" s="228">
        <v>68</v>
      </c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</row>
    <row r="49" spans="1:26" ht="15.75" customHeight="1" x14ac:dyDescent="0.2">
      <c r="A49" s="224">
        <v>42598</v>
      </c>
      <c r="B49" s="225">
        <v>400</v>
      </c>
      <c r="C49" s="225">
        <f>B49</f>
        <v>400</v>
      </c>
      <c r="D49" s="225">
        <v>0</v>
      </c>
      <c r="E49" s="226" t="s">
        <v>38</v>
      </c>
      <c r="F49" s="227" t="s">
        <v>702</v>
      </c>
      <c r="G49" s="227" t="s">
        <v>39</v>
      </c>
      <c r="H49" s="22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</row>
    <row r="50" spans="1:26" ht="15.75" customHeight="1" x14ac:dyDescent="0.2">
      <c r="A50" s="224">
        <v>42604</v>
      </c>
      <c r="B50" s="225">
        <v>1150.07</v>
      </c>
      <c r="C50" s="225">
        <f>B50</f>
        <v>1150.07</v>
      </c>
      <c r="D50" s="225">
        <v>0</v>
      </c>
      <c r="E50" s="226" t="s">
        <v>35</v>
      </c>
      <c r="F50" s="227" t="s">
        <v>36</v>
      </c>
      <c r="G50" s="227" t="s">
        <v>37</v>
      </c>
      <c r="H50" s="228">
        <v>68</v>
      </c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</row>
    <row r="51" spans="1:26" ht="15.75" customHeight="1" x14ac:dyDescent="0.2">
      <c r="A51" s="224">
        <v>42604</v>
      </c>
      <c r="B51" s="225">
        <v>1400</v>
      </c>
      <c r="C51" s="225">
        <f>B51</f>
        <v>1400</v>
      </c>
      <c r="D51" s="225">
        <v>0</v>
      </c>
      <c r="E51" s="226" t="s">
        <v>80</v>
      </c>
      <c r="F51" s="227" t="s">
        <v>702</v>
      </c>
      <c r="G51" s="227" t="s">
        <v>39</v>
      </c>
      <c r="H51" s="228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</row>
    <row r="52" spans="1:26" ht="15.75" customHeight="1" x14ac:dyDescent="0.2">
      <c r="A52" s="224">
        <v>42605</v>
      </c>
      <c r="B52" s="225">
        <v>1500</v>
      </c>
      <c r="C52" s="225">
        <f>B52</f>
        <v>1500</v>
      </c>
      <c r="D52" s="225">
        <v>0</v>
      </c>
      <c r="E52" s="226" t="s">
        <v>81</v>
      </c>
      <c r="F52" s="227" t="s">
        <v>702</v>
      </c>
      <c r="G52" s="227" t="s">
        <v>19</v>
      </c>
      <c r="H52" s="228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</row>
    <row r="53" spans="1:26" ht="15.75" customHeight="1" x14ac:dyDescent="0.2">
      <c r="A53" s="224">
        <v>42608</v>
      </c>
      <c r="B53" s="225">
        <v>-502.56</v>
      </c>
      <c r="C53" s="225">
        <f>B53</f>
        <v>-502.56</v>
      </c>
      <c r="D53" s="225">
        <v>0</v>
      </c>
      <c r="E53" s="226" t="s">
        <v>40</v>
      </c>
      <c r="F53" s="227" t="s">
        <v>698</v>
      </c>
      <c r="G53" s="227" t="s">
        <v>6</v>
      </c>
      <c r="H53" s="228">
        <v>68</v>
      </c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</row>
    <row r="54" spans="1:26" ht="15.75" customHeight="1" x14ac:dyDescent="0.2">
      <c r="A54" s="224">
        <v>42608</v>
      </c>
      <c r="B54" s="225">
        <v>-488.72</v>
      </c>
      <c r="C54" s="225">
        <f>B54</f>
        <v>-488.72</v>
      </c>
      <c r="D54" s="225">
        <v>0</v>
      </c>
      <c r="E54" s="226" t="s">
        <v>40</v>
      </c>
      <c r="F54" s="227" t="s">
        <v>698</v>
      </c>
      <c r="G54" s="227" t="s">
        <v>6</v>
      </c>
      <c r="H54" s="228">
        <v>68</v>
      </c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</row>
    <row r="55" spans="1:26" ht="15.75" customHeight="1" x14ac:dyDescent="0.2">
      <c r="A55" s="224">
        <v>42611</v>
      </c>
      <c r="B55" s="225">
        <v>-1560</v>
      </c>
      <c r="C55" s="225">
        <f>B55</f>
        <v>-1560</v>
      </c>
      <c r="D55" s="225">
        <v>0</v>
      </c>
      <c r="E55" s="226" t="s">
        <v>82</v>
      </c>
      <c r="F55" s="227" t="s">
        <v>48</v>
      </c>
      <c r="G55" s="227" t="s">
        <v>49</v>
      </c>
      <c r="H55" s="228" t="s">
        <v>83</v>
      </c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</row>
    <row r="56" spans="1:26" ht="15.75" customHeight="1" x14ac:dyDescent="0.2">
      <c r="A56" s="224">
        <v>42611</v>
      </c>
      <c r="B56" s="225">
        <v>-1109.27</v>
      </c>
      <c r="C56" s="225">
        <f>B56</f>
        <v>-1109.27</v>
      </c>
      <c r="D56" s="225">
        <v>0</v>
      </c>
      <c r="E56" s="226" t="s">
        <v>84</v>
      </c>
      <c r="F56" s="227" t="s">
        <v>698</v>
      </c>
      <c r="G56" s="227" t="s">
        <v>6</v>
      </c>
      <c r="H56" s="228">
        <v>70</v>
      </c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</row>
    <row r="57" spans="1:26" ht="15.75" customHeight="1" x14ac:dyDescent="0.2">
      <c r="A57" s="224">
        <v>42612</v>
      </c>
      <c r="B57" s="225">
        <v>-64.69</v>
      </c>
      <c r="C57" s="225">
        <f>B57</f>
        <v>-64.69</v>
      </c>
      <c r="D57" s="225">
        <v>0</v>
      </c>
      <c r="E57" s="226" t="s">
        <v>66</v>
      </c>
      <c r="F57" s="227" t="s">
        <v>698</v>
      </c>
      <c r="G57" s="227" t="s">
        <v>61</v>
      </c>
      <c r="H57" s="228">
        <v>70</v>
      </c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</row>
    <row r="58" spans="1:26" ht="15.75" customHeight="1" x14ac:dyDescent="0.2">
      <c r="A58" s="224">
        <v>42613</v>
      </c>
      <c r="B58" s="225">
        <v>-2000</v>
      </c>
      <c r="C58" s="225">
        <f>B58</f>
        <v>-2000</v>
      </c>
      <c r="D58" s="225">
        <v>0</v>
      </c>
      <c r="E58" s="226" t="s">
        <v>85</v>
      </c>
      <c r="F58" s="227" t="s">
        <v>698</v>
      </c>
      <c r="G58" s="227" t="s">
        <v>79</v>
      </c>
      <c r="H58" s="228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</row>
    <row r="59" spans="1:26" ht="15.75" customHeight="1" x14ac:dyDescent="0.2">
      <c r="A59" s="224">
        <v>42613</v>
      </c>
      <c r="B59" s="225">
        <v>400</v>
      </c>
      <c r="C59" s="225">
        <f>B59</f>
        <v>400</v>
      </c>
      <c r="D59" s="225">
        <v>0</v>
      </c>
      <c r="E59" s="226" t="s">
        <v>86</v>
      </c>
      <c r="F59" s="227" t="s">
        <v>702</v>
      </c>
      <c r="G59" s="227" t="s">
        <v>19</v>
      </c>
      <c r="H59" s="228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</row>
    <row r="60" spans="1:26" ht="15.75" customHeight="1" x14ac:dyDescent="0.2">
      <c r="A60" s="224">
        <v>42613</v>
      </c>
      <c r="B60" s="225">
        <v>1500</v>
      </c>
      <c r="C60" s="225">
        <f>B60</f>
        <v>1500</v>
      </c>
      <c r="D60" s="225">
        <v>0</v>
      </c>
      <c r="E60" s="226" t="s">
        <v>87</v>
      </c>
      <c r="F60" s="227" t="s">
        <v>702</v>
      </c>
      <c r="G60" s="227" t="s">
        <v>19</v>
      </c>
      <c r="H60" s="228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</row>
    <row r="61" spans="1:26" ht="15.75" customHeight="1" x14ac:dyDescent="0.2">
      <c r="A61" s="224">
        <v>42613</v>
      </c>
      <c r="B61" s="225">
        <v>7500</v>
      </c>
      <c r="C61" s="225">
        <f>B61</f>
        <v>7500</v>
      </c>
      <c r="D61" s="225">
        <v>0</v>
      </c>
      <c r="E61" s="226" t="s">
        <v>88</v>
      </c>
      <c r="F61" s="227" t="s">
        <v>702</v>
      </c>
      <c r="G61" s="227" t="s">
        <v>19</v>
      </c>
      <c r="H61" s="228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</row>
    <row r="62" spans="1:26" ht="15.75" customHeight="1" x14ac:dyDescent="0.2">
      <c r="A62" s="224">
        <v>42613</v>
      </c>
      <c r="B62" s="225">
        <v>9000</v>
      </c>
      <c r="C62" s="225">
        <f>B62</f>
        <v>9000</v>
      </c>
      <c r="D62" s="225">
        <v>0</v>
      </c>
      <c r="E62" s="226" t="s">
        <v>41</v>
      </c>
      <c r="F62" s="227" t="s">
        <v>702</v>
      </c>
      <c r="G62" s="227" t="s">
        <v>39</v>
      </c>
      <c r="H62" s="228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</row>
    <row r="63" spans="1:26" ht="15.75" customHeight="1" x14ac:dyDescent="0.2">
      <c r="A63" s="224">
        <v>42614</v>
      </c>
      <c r="B63" s="225">
        <v>-843</v>
      </c>
      <c r="C63" s="225">
        <f>B63</f>
        <v>-843</v>
      </c>
      <c r="D63" s="225">
        <v>0</v>
      </c>
      <c r="E63" s="226" t="s">
        <v>89</v>
      </c>
      <c r="F63" s="227" t="s">
        <v>698</v>
      </c>
      <c r="G63" s="227" t="s">
        <v>6</v>
      </c>
      <c r="H63" s="228">
        <v>70</v>
      </c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</row>
    <row r="64" spans="1:26" ht="15.75" customHeight="1" x14ac:dyDescent="0.2">
      <c r="A64" s="224">
        <v>42616</v>
      </c>
      <c r="B64" s="225">
        <v>-15453</v>
      </c>
      <c r="C64" s="225">
        <f>B64</f>
        <v>-15453</v>
      </c>
      <c r="D64" s="225">
        <v>0</v>
      </c>
      <c r="E64" s="226" t="s">
        <v>90</v>
      </c>
      <c r="F64" s="227" t="s">
        <v>48</v>
      </c>
      <c r="G64" s="227" t="s">
        <v>49</v>
      </c>
      <c r="H64" s="228" t="s">
        <v>50</v>
      </c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</row>
    <row r="65" spans="1:26" ht="15.75" customHeight="1" x14ac:dyDescent="0.2">
      <c r="A65" s="224">
        <v>42624</v>
      </c>
      <c r="B65" s="225">
        <v>-1500</v>
      </c>
      <c r="C65" s="225">
        <f>B65</f>
        <v>-1500</v>
      </c>
      <c r="D65" s="225">
        <v>0</v>
      </c>
      <c r="E65" s="226" t="s">
        <v>91</v>
      </c>
      <c r="F65" s="227" t="s">
        <v>698</v>
      </c>
      <c r="G65" s="227" t="s">
        <v>79</v>
      </c>
      <c r="H65" s="228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</row>
    <row r="66" spans="1:26" ht="15.75" customHeight="1" x14ac:dyDescent="0.2">
      <c r="A66" s="224">
        <v>42624</v>
      </c>
      <c r="B66" s="225">
        <v>500</v>
      </c>
      <c r="C66" s="225">
        <f>B66</f>
        <v>500</v>
      </c>
      <c r="D66" s="225">
        <v>0</v>
      </c>
      <c r="E66" s="226" t="s">
        <v>92</v>
      </c>
      <c r="F66" s="227" t="s">
        <v>702</v>
      </c>
      <c r="G66" s="227" t="s">
        <v>19</v>
      </c>
      <c r="H66" s="228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</row>
    <row r="67" spans="1:26" ht="15.75" customHeight="1" x14ac:dyDescent="0.2">
      <c r="A67" s="224">
        <v>42628</v>
      </c>
      <c r="B67" s="225">
        <v>-62.79</v>
      </c>
      <c r="C67" s="225">
        <f>B67</f>
        <v>-62.79</v>
      </c>
      <c r="D67" s="225">
        <v>0</v>
      </c>
      <c r="E67" s="226" t="s">
        <v>60</v>
      </c>
      <c r="F67" s="227" t="s">
        <v>698</v>
      </c>
      <c r="G67" s="227" t="s">
        <v>61</v>
      </c>
      <c r="H67" s="228">
        <v>68</v>
      </c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</row>
    <row r="68" spans="1:26" ht="15.75" customHeight="1" x14ac:dyDescent="0.2">
      <c r="A68" s="224">
        <v>42629</v>
      </c>
      <c r="B68" s="225">
        <v>400</v>
      </c>
      <c r="C68" s="225">
        <f>B68</f>
        <v>400</v>
      </c>
      <c r="D68" s="225">
        <v>0</v>
      </c>
      <c r="E68" s="226" t="s">
        <v>38</v>
      </c>
      <c r="F68" s="227" t="s">
        <v>702</v>
      </c>
      <c r="G68" s="227" t="s">
        <v>39</v>
      </c>
      <c r="H68" s="228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</row>
    <row r="69" spans="1:26" ht="15.75" customHeight="1" x14ac:dyDescent="0.2">
      <c r="A69" s="224">
        <v>42634</v>
      </c>
      <c r="B69" s="225">
        <v>1169.9100000000001</v>
      </c>
      <c r="C69" s="225">
        <f>B69</f>
        <v>1169.9100000000001</v>
      </c>
      <c r="D69" s="225">
        <v>0</v>
      </c>
      <c r="E69" s="226" t="s">
        <v>35</v>
      </c>
      <c r="F69" s="227" t="s">
        <v>36</v>
      </c>
      <c r="G69" s="227" t="s">
        <v>37</v>
      </c>
      <c r="H69" s="228">
        <v>68</v>
      </c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2"/>
    </row>
    <row r="70" spans="1:26" ht="15.75" customHeight="1" x14ac:dyDescent="0.2">
      <c r="A70" s="224">
        <v>42640</v>
      </c>
      <c r="B70" s="225">
        <v>-497.61</v>
      </c>
      <c r="C70" s="225">
        <f>B70</f>
        <v>-497.61</v>
      </c>
      <c r="D70" s="225">
        <v>0</v>
      </c>
      <c r="E70" s="226" t="s">
        <v>40</v>
      </c>
      <c r="F70" s="227" t="s">
        <v>698</v>
      </c>
      <c r="G70" s="227" t="s">
        <v>6</v>
      </c>
      <c r="H70" s="228">
        <v>68</v>
      </c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</row>
    <row r="71" spans="1:26" ht="15.75" customHeight="1" x14ac:dyDescent="0.2">
      <c r="A71" s="224">
        <v>42640</v>
      </c>
      <c r="B71" s="225">
        <v>-483.9</v>
      </c>
      <c r="C71" s="225">
        <f>B71</f>
        <v>-483.9</v>
      </c>
      <c r="D71" s="225">
        <v>0</v>
      </c>
      <c r="E71" s="226" t="s">
        <v>40</v>
      </c>
      <c r="F71" s="227" t="s">
        <v>698</v>
      </c>
      <c r="G71" s="227" t="s">
        <v>6</v>
      </c>
      <c r="H71" s="228">
        <v>68</v>
      </c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</row>
    <row r="72" spans="1:26" ht="15.75" customHeight="1" x14ac:dyDescent="0.2">
      <c r="A72" s="224">
        <v>42640</v>
      </c>
      <c r="B72" s="225">
        <v>500</v>
      </c>
      <c r="C72" s="225">
        <f>B72</f>
        <v>500</v>
      </c>
      <c r="D72" s="225">
        <v>0</v>
      </c>
      <c r="E72" s="226" t="s">
        <v>93</v>
      </c>
      <c r="F72" s="227" t="s">
        <v>702</v>
      </c>
      <c r="G72" s="227" t="s">
        <v>39</v>
      </c>
      <c r="H72" s="228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</row>
    <row r="73" spans="1:26" ht="15.75" customHeight="1" x14ac:dyDescent="0.2">
      <c r="A73" s="224">
        <v>42641</v>
      </c>
      <c r="B73" s="225">
        <v>-1145.9100000000001</v>
      </c>
      <c r="C73" s="225">
        <f>B73</f>
        <v>-1145.9100000000001</v>
      </c>
      <c r="D73" s="225">
        <v>0</v>
      </c>
      <c r="E73" s="226" t="s">
        <v>84</v>
      </c>
      <c r="F73" s="227" t="s">
        <v>698</v>
      </c>
      <c r="G73" s="227" t="s">
        <v>6</v>
      </c>
      <c r="H73" s="228">
        <v>70</v>
      </c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</row>
    <row r="74" spans="1:26" ht="15.75" customHeight="1" x14ac:dyDescent="0.2">
      <c r="A74" s="224">
        <v>42642</v>
      </c>
      <c r="B74" s="225">
        <v>400</v>
      </c>
      <c r="C74" s="225">
        <f>B74</f>
        <v>400</v>
      </c>
      <c r="D74" s="225">
        <v>0</v>
      </c>
      <c r="E74" s="226" t="s">
        <v>94</v>
      </c>
      <c r="F74" s="227" t="s">
        <v>702</v>
      </c>
      <c r="G74" s="227" t="s">
        <v>39</v>
      </c>
      <c r="H74" s="228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</row>
    <row r="75" spans="1:26" ht="15.75" customHeight="1" x14ac:dyDescent="0.2">
      <c r="A75" s="224">
        <v>42643</v>
      </c>
      <c r="B75" s="225">
        <v>-64.69</v>
      </c>
      <c r="C75" s="225">
        <f>B75</f>
        <v>-64.69</v>
      </c>
      <c r="D75" s="225">
        <v>0</v>
      </c>
      <c r="E75" s="226" t="s">
        <v>66</v>
      </c>
      <c r="F75" s="227" t="s">
        <v>698</v>
      </c>
      <c r="G75" s="227" t="s">
        <v>61</v>
      </c>
      <c r="H75" s="228">
        <v>70</v>
      </c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</row>
    <row r="76" spans="1:26" ht="15.75" customHeight="1" x14ac:dyDescent="0.2">
      <c r="A76" s="224">
        <v>42643</v>
      </c>
      <c r="B76" s="225">
        <v>-56.93</v>
      </c>
      <c r="C76" s="225">
        <f>B76</f>
        <v>-56.93</v>
      </c>
      <c r="D76" s="225">
        <v>0</v>
      </c>
      <c r="E76" s="226" t="s">
        <v>95</v>
      </c>
      <c r="F76" s="227" t="s">
        <v>698</v>
      </c>
      <c r="G76" s="227" t="s">
        <v>96</v>
      </c>
      <c r="H76" s="228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</row>
    <row r="77" spans="1:26" ht="15.75" customHeight="1" x14ac:dyDescent="0.2">
      <c r="A77" s="224">
        <v>42646</v>
      </c>
      <c r="B77" s="225">
        <v>-275</v>
      </c>
      <c r="C77" s="225">
        <f>B77</f>
        <v>-275</v>
      </c>
      <c r="D77" s="225">
        <v>0</v>
      </c>
      <c r="E77" s="226" t="s">
        <v>97</v>
      </c>
      <c r="F77" s="227" t="s">
        <v>698</v>
      </c>
      <c r="G77" s="227" t="s">
        <v>46</v>
      </c>
      <c r="H77" s="228">
        <v>68</v>
      </c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</row>
    <row r="78" spans="1:26" ht="15.75" customHeight="1" x14ac:dyDescent="0.2">
      <c r="A78" s="224">
        <v>42652</v>
      </c>
      <c r="B78" s="225">
        <v>400</v>
      </c>
      <c r="C78" s="225">
        <f>B78</f>
        <v>400</v>
      </c>
      <c r="D78" s="225">
        <v>0</v>
      </c>
      <c r="E78" s="226" t="s">
        <v>98</v>
      </c>
      <c r="F78" s="227" t="s">
        <v>702</v>
      </c>
      <c r="G78" s="227" t="s">
        <v>19</v>
      </c>
      <c r="H78" s="228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  <c r="Z78" s="222"/>
    </row>
    <row r="79" spans="1:26" ht="15.75" customHeight="1" x14ac:dyDescent="0.2">
      <c r="A79" s="224">
        <v>42660</v>
      </c>
      <c r="B79" s="225">
        <v>-810</v>
      </c>
      <c r="C79" s="225">
        <f>B79</f>
        <v>-810</v>
      </c>
      <c r="D79" s="225">
        <v>0</v>
      </c>
      <c r="E79" s="226" t="s">
        <v>99</v>
      </c>
      <c r="F79" s="227" t="s">
        <v>698</v>
      </c>
      <c r="G79" s="227" t="s">
        <v>6</v>
      </c>
      <c r="H79" s="228">
        <v>70</v>
      </c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  <c r="Z79" s="222"/>
    </row>
    <row r="80" spans="1:26" ht="15.75" customHeight="1" x14ac:dyDescent="0.2">
      <c r="A80" s="224">
        <v>42660</v>
      </c>
      <c r="B80" s="225">
        <v>-62.79</v>
      </c>
      <c r="C80" s="225">
        <f>B80</f>
        <v>-62.79</v>
      </c>
      <c r="D80" s="225">
        <v>0</v>
      </c>
      <c r="E80" s="226" t="s">
        <v>60</v>
      </c>
      <c r="F80" s="227" t="s">
        <v>698</v>
      </c>
      <c r="G80" s="227" t="s">
        <v>61</v>
      </c>
      <c r="H80" s="228">
        <v>68</v>
      </c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  <c r="Z80" s="222"/>
    </row>
    <row r="81" spans="1:26" ht="15.75" customHeight="1" x14ac:dyDescent="0.2">
      <c r="A81" s="224">
        <v>42660</v>
      </c>
      <c r="B81" s="225">
        <v>400</v>
      </c>
      <c r="C81" s="225">
        <f>B81</f>
        <v>400</v>
      </c>
      <c r="D81" s="225">
        <v>0</v>
      </c>
      <c r="E81" s="226" t="s">
        <v>38</v>
      </c>
      <c r="F81" s="227" t="s">
        <v>702</v>
      </c>
      <c r="G81" s="227" t="s">
        <v>39</v>
      </c>
      <c r="H81" s="228"/>
      <c r="I81" s="222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2"/>
      <c r="Z81" s="222"/>
    </row>
    <row r="82" spans="1:26" ht="15.75" customHeight="1" x14ac:dyDescent="0.2">
      <c r="A82" s="224">
        <v>42660</v>
      </c>
      <c r="B82" s="225">
        <v>400</v>
      </c>
      <c r="C82" s="225">
        <f>B82</f>
        <v>400</v>
      </c>
      <c r="D82" s="225">
        <v>0</v>
      </c>
      <c r="E82" s="226" t="s">
        <v>100</v>
      </c>
      <c r="F82" s="227" t="s">
        <v>702</v>
      </c>
      <c r="G82" s="227" t="s">
        <v>19</v>
      </c>
      <c r="H82" s="228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</row>
    <row r="83" spans="1:26" ht="15.75" customHeight="1" x14ac:dyDescent="0.2">
      <c r="A83" s="224">
        <v>42667</v>
      </c>
      <c r="B83" s="225">
        <v>1169.9100000000001</v>
      </c>
      <c r="C83" s="225">
        <f>B83</f>
        <v>1169.9100000000001</v>
      </c>
      <c r="D83" s="225">
        <v>0</v>
      </c>
      <c r="E83" s="226" t="s">
        <v>35</v>
      </c>
      <c r="F83" s="227" t="s">
        <v>36</v>
      </c>
      <c r="G83" s="227" t="s">
        <v>37</v>
      </c>
      <c r="H83" s="228">
        <v>68</v>
      </c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  <c r="Z83" s="222"/>
    </row>
    <row r="84" spans="1:26" ht="15.75" customHeight="1" x14ac:dyDescent="0.2">
      <c r="A84" s="224">
        <v>42670</v>
      </c>
      <c r="B84" s="225">
        <v>-475.01</v>
      </c>
      <c r="C84" s="225">
        <f>B84</f>
        <v>-475.01</v>
      </c>
      <c r="D84" s="225">
        <v>0</v>
      </c>
      <c r="E84" s="226" t="s">
        <v>40</v>
      </c>
      <c r="F84" s="227" t="s">
        <v>698</v>
      </c>
      <c r="G84" s="227" t="s">
        <v>6</v>
      </c>
      <c r="H84" s="228">
        <v>68</v>
      </c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  <c r="Z84" s="222"/>
    </row>
    <row r="85" spans="1:26" ht="15.75" customHeight="1" x14ac:dyDescent="0.2">
      <c r="A85" s="224">
        <v>42670</v>
      </c>
      <c r="B85" s="225">
        <v>-461.93</v>
      </c>
      <c r="C85" s="225">
        <f>B85</f>
        <v>-461.93</v>
      </c>
      <c r="D85" s="225">
        <v>0</v>
      </c>
      <c r="E85" s="226" t="s">
        <v>40</v>
      </c>
      <c r="F85" s="227" t="s">
        <v>698</v>
      </c>
      <c r="G85" s="227" t="s">
        <v>6</v>
      </c>
      <c r="H85" s="228">
        <v>68</v>
      </c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  <c r="Z85" s="222"/>
    </row>
    <row r="86" spans="1:26" ht="15.75" customHeight="1" x14ac:dyDescent="0.2">
      <c r="A86" s="224">
        <v>42671</v>
      </c>
      <c r="B86" s="225">
        <v>-1109.27</v>
      </c>
      <c r="C86" s="225">
        <f>B86</f>
        <v>-1109.27</v>
      </c>
      <c r="D86" s="225">
        <v>0</v>
      </c>
      <c r="E86" s="226" t="s">
        <v>84</v>
      </c>
      <c r="F86" s="227" t="s">
        <v>698</v>
      </c>
      <c r="G86" s="227" t="s">
        <v>6</v>
      </c>
      <c r="H86" s="228">
        <v>70</v>
      </c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  <c r="Z86" s="222"/>
    </row>
    <row r="87" spans="1:26" ht="15.75" customHeight="1" x14ac:dyDescent="0.2">
      <c r="A87" s="224">
        <v>42674</v>
      </c>
      <c r="B87" s="225">
        <v>-1110</v>
      </c>
      <c r="C87" s="225">
        <f>B87</f>
        <v>-1110</v>
      </c>
      <c r="D87" s="225">
        <v>0</v>
      </c>
      <c r="E87" s="226" t="s">
        <v>101</v>
      </c>
      <c r="F87" s="227" t="s">
        <v>698</v>
      </c>
      <c r="G87" s="227" t="s">
        <v>6</v>
      </c>
      <c r="H87" s="228">
        <v>70</v>
      </c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  <c r="Z87" s="222"/>
    </row>
    <row r="88" spans="1:26" ht="15.75" customHeight="1" x14ac:dyDescent="0.2">
      <c r="A88" s="224">
        <v>42674</v>
      </c>
      <c r="B88" s="225">
        <v>-5</v>
      </c>
      <c r="C88" s="225">
        <f>B88</f>
        <v>-5</v>
      </c>
      <c r="D88" s="225">
        <v>0</v>
      </c>
      <c r="E88" s="226" t="s">
        <v>102</v>
      </c>
      <c r="F88" s="227" t="s">
        <v>11</v>
      </c>
      <c r="G88" s="227" t="s">
        <v>103</v>
      </c>
      <c r="H88" s="228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  <c r="Z88" s="222"/>
    </row>
    <row r="89" spans="1:26" ht="15.75" customHeight="1" x14ac:dyDescent="0.2">
      <c r="A89" s="224">
        <v>42674</v>
      </c>
      <c r="B89" s="225">
        <v>400</v>
      </c>
      <c r="C89" s="225">
        <f>B89</f>
        <v>400</v>
      </c>
      <c r="D89" s="225">
        <v>0</v>
      </c>
      <c r="E89" s="226" t="s">
        <v>104</v>
      </c>
      <c r="F89" s="227" t="s">
        <v>702</v>
      </c>
      <c r="G89" s="227" t="s">
        <v>19</v>
      </c>
      <c r="H89" s="228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  <c r="Z89" s="222"/>
    </row>
    <row r="90" spans="1:26" ht="15.75" customHeight="1" x14ac:dyDescent="0.2">
      <c r="A90" s="224">
        <v>42674</v>
      </c>
      <c r="B90" s="225">
        <v>1109.27</v>
      </c>
      <c r="C90" s="225">
        <f>B90</f>
        <v>1109.27</v>
      </c>
      <c r="D90" s="225">
        <v>0</v>
      </c>
      <c r="E90" s="226" t="s">
        <v>105</v>
      </c>
      <c r="F90" s="227" t="s">
        <v>698</v>
      </c>
      <c r="G90" s="227" t="s">
        <v>6</v>
      </c>
      <c r="H90" s="228">
        <v>70</v>
      </c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  <c r="Z90" s="222"/>
    </row>
    <row r="91" spans="1:26" ht="15.75" customHeight="1" x14ac:dyDescent="0.2">
      <c r="A91" s="224">
        <v>42675</v>
      </c>
      <c r="B91" s="225">
        <v>-64.69</v>
      </c>
      <c r="C91" s="225">
        <f>B91</f>
        <v>-64.69</v>
      </c>
      <c r="D91" s="225">
        <v>0</v>
      </c>
      <c r="E91" s="226" t="s">
        <v>66</v>
      </c>
      <c r="F91" s="227" t="s">
        <v>698</v>
      </c>
      <c r="G91" s="227" t="s">
        <v>61</v>
      </c>
      <c r="H91" s="228">
        <v>70</v>
      </c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  <c r="Z91" s="222"/>
    </row>
    <row r="92" spans="1:26" ht="15.75" customHeight="1" x14ac:dyDescent="0.2">
      <c r="A92" s="224">
        <v>42681</v>
      </c>
      <c r="B92" s="225">
        <v>400</v>
      </c>
      <c r="C92" s="225">
        <f>B92</f>
        <v>400</v>
      </c>
      <c r="D92" s="225">
        <v>0</v>
      </c>
      <c r="E92" s="226" t="s">
        <v>80</v>
      </c>
      <c r="F92" s="227" t="s">
        <v>702</v>
      </c>
      <c r="G92" s="227" t="s">
        <v>39</v>
      </c>
      <c r="H92" s="228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</row>
    <row r="93" spans="1:26" ht="15.75" customHeight="1" x14ac:dyDescent="0.2">
      <c r="A93" s="224">
        <v>42689</v>
      </c>
      <c r="B93" s="225">
        <v>-62.79</v>
      </c>
      <c r="C93" s="225">
        <f>B93</f>
        <v>-62.79</v>
      </c>
      <c r="D93" s="225">
        <v>0</v>
      </c>
      <c r="E93" s="226" t="s">
        <v>60</v>
      </c>
      <c r="F93" s="227" t="s">
        <v>698</v>
      </c>
      <c r="G93" s="227" t="s">
        <v>61</v>
      </c>
      <c r="H93" s="228">
        <v>68</v>
      </c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  <c r="Z93" s="222"/>
    </row>
    <row r="94" spans="1:26" ht="15.75" customHeight="1" x14ac:dyDescent="0.2">
      <c r="A94" s="224">
        <v>42690</v>
      </c>
      <c r="B94" s="225">
        <v>340</v>
      </c>
      <c r="C94" s="225">
        <f>B94</f>
        <v>340</v>
      </c>
      <c r="D94" s="225">
        <v>0</v>
      </c>
      <c r="E94" s="226" t="s">
        <v>106</v>
      </c>
      <c r="F94" s="227" t="s">
        <v>702</v>
      </c>
      <c r="G94" s="227" t="s">
        <v>39</v>
      </c>
      <c r="H94" s="228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  <c r="Z94" s="222"/>
    </row>
    <row r="95" spans="1:26" ht="15.75" customHeight="1" x14ac:dyDescent="0.2">
      <c r="A95" s="224">
        <v>42690</v>
      </c>
      <c r="B95" s="225">
        <v>400</v>
      </c>
      <c r="C95" s="225">
        <f>B95</f>
        <v>400</v>
      </c>
      <c r="D95" s="225">
        <v>0</v>
      </c>
      <c r="E95" s="226" t="s">
        <v>38</v>
      </c>
      <c r="F95" s="227" t="s">
        <v>702</v>
      </c>
      <c r="G95" s="227" t="s">
        <v>39</v>
      </c>
      <c r="H95" s="228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</row>
    <row r="96" spans="1:26" ht="15.75" customHeight="1" x14ac:dyDescent="0.2">
      <c r="A96" s="224">
        <v>42691</v>
      </c>
      <c r="B96" s="225">
        <v>-678</v>
      </c>
      <c r="C96" s="225">
        <f>B96</f>
        <v>-678</v>
      </c>
      <c r="D96" s="225">
        <v>0</v>
      </c>
      <c r="E96" s="226" t="s">
        <v>107</v>
      </c>
      <c r="F96" s="227" t="s">
        <v>48</v>
      </c>
      <c r="G96" s="227" t="s">
        <v>49</v>
      </c>
      <c r="H96" s="228" t="s">
        <v>83</v>
      </c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2"/>
    </row>
    <row r="97" spans="1:26" ht="15.75" customHeight="1" x14ac:dyDescent="0.2">
      <c r="A97" s="224">
        <v>42691</v>
      </c>
      <c r="B97" s="225">
        <v>500</v>
      </c>
      <c r="C97" s="225">
        <f>B97</f>
        <v>500</v>
      </c>
      <c r="D97" s="225">
        <v>0</v>
      </c>
      <c r="E97" s="226" t="s">
        <v>108</v>
      </c>
      <c r="F97" s="227" t="s">
        <v>36</v>
      </c>
      <c r="G97" s="227" t="s">
        <v>37</v>
      </c>
      <c r="H97" s="228">
        <v>70</v>
      </c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</row>
    <row r="98" spans="1:26" ht="15.75" customHeight="1" x14ac:dyDescent="0.2">
      <c r="A98" s="224">
        <v>42696</v>
      </c>
      <c r="B98" s="225">
        <v>1169.9100000000001</v>
      </c>
      <c r="C98" s="225">
        <f>B98</f>
        <v>1169.9100000000001</v>
      </c>
      <c r="D98" s="225">
        <v>0</v>
      </c>
      <c r="E98" s="226" t="s">
        <v>35</v>
      </c>
      <c r="F98" s="227" t="s">
        <v>36</v>
      </c>
      <c r="G98" s="227" t="s">
        <v>37</v>
      </c>
      <c r="H98" s="228">
        <v>68</v>
      </c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</row>
    <row r="99" spans="1:26" ht="15.75" customHeight="1" x14ac:dyDescent="0.2">
      <c r="A99" s="224">
        <v>42697</v>
      </c>
      <c r="B99" s="225">
        <v>-500</v>
      </c>
      <c r="C99" s="225">
        <f>B99</f>
        <v>-500</v>
      </c>
      <c r="D99" s="225">
        <v>0</v>
      </c>
      <c r="E99" s="226" t="s">
        <v>109</v>
      </c>
      <c r="F99" s="227" t="s">
        <v>698</v>
      </c>
      <c r="G99" s="227" t="s">
        <v>6</v>
      </c>
      <c r="H99" s="228">
        <v>70</v>
      </c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</row>
    <row r="100" spans="1:26" ht="15.75" customHeight="1" x14ac:dyDescent="0.2">
      <c r="A100" s="224">
        <v>42697</v>
      </c>
      <c r="B100" s="225">
        <v>340</v>
      </c>
      <c r="C100" s="225">
        <f>B100</f>
        <v>340</v>
      </c>
      <c r="D100" s="225">
        <v>0</v>
      </c>
      <c r="E100" s="226" t="s">
        <v>110</v>
      </c>
      <c r="F100" s="227" t="s">
        <v>702</v>
      </c>
      <c r="G100" s="227" t="s">
        <v>19</v>
      </c>
      <c r="H100" s="228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</row>
    <row r="101" spans="1:26" ht="15.75" customHeight="1" x14ac:dyDescent="0.2">
      <c r="A101" s="224">
        <v>42697</v>
      </c>
      <c r="B101" s="225">
        <v>400</v>
      </c>
      <c r="C101" s="225">
        <f>B101</f>
        <v>400</v>
      </c>
      <c r="D101" s="225">
        <v>0</v>
      </c>
      <c r="E101" s="226" t="s">
        <v>111</v>
      </c>
      <c r="F101" s="227" t="s">
        <v>702</v>
      </c>
      <c r="G101" s="227" t="s">
        <v>19</v>
      </c>
      <c r="H101" s="228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</row>
    <row r="102" spans="1:26" ht="15.75" customHeight="1" x14ac:dyDescent="0.2">
      <c r="A102" s="224">
        <v>42697</v>
      </c>
      <c r="B102" s="225">
        <v>500</v>
      </c>
      <c r="C102" s="225">
        <f>B102</f>
        <v>500</v>
      </c>
      <c r="D102" s="225">
        <v>0</v>
      </c>
      <c r="E102" s="226" t="s">
        <v>112</v>
      </c>
      <c r="F102" s="227" t="s">
        <v>698</v>
      </c>
      <c r="G102" s="227" t="s">
        <v>6</v>
      </c>
      <c r="H102" s="228">
        <v>70</v>
      </c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</row>
    <row r="103" spans="1:26" ht="15.75" customHeight="1" x14ac:dyDescent="0.2">
      <c r="A103" s="224">
        <v>42699</v>
      </c>
      <c r="B103" s="225">
        <v>-490.73</v>
      </c>
      <c r="C103" s="225">
        <f>B103</f>
        <v>-490.73</v>
      </c>
      <c r="D103" s="225">
        <v>0</v>
      </c>
      <c r="E103" s="226" t="s">
        <v>40</v>
      </c>
      <c r="F103" s="227" t="s">
        <v>698</v>
      </c>
      <c r="G103" s="227" t="s">
        <v>6</v>
      </c>
      <c r="H103" s="228">
        <v>68</v>
      </c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</row>
    <row r="104" spans="1:26" ht="15.75" customHeight="1" x14ac:dyDescent="0.2">
      <c r="A104" s="224">
        <v>42699</v>
      </c>
      <c r="B104" s="225">
        <v>-477.21</v>
      </c>
      <c r="C104" s="225">
        <f>B104</f>
        <v>-477.21</v>
      </c>
      <c r="D104" s="225">
        <v>0</v>
      </c>
      <c r="E104" s="226" t="s">
        <v>40</v>
      </c>
      <c r="F104" s="227" t="s">
        <v>698</v>
      </c>
      <c r="G104" s="227" t="s">
        <v>6</v>
      </c>
      <c r="H104" s="228">
        <v>68</v>
      </c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</row>
    <row r="105" spans="1:26" ht="15.75" customHeight="1" x14ac:dyDescent="0.2">
      <c r="A105" s="224">
        <v>42702</v>
      </c>
      <c r="B105" s="225">
        <v>-1145.94</v>
      </c>
      <c r="C105" s="225">
        <f>B105</f>
        <v>-1145.94</v>
      </c>
      <c r="D105" s="225">
        <v>0</v>
      </c>
      <c r="E105" s="226" t="s">
        <v>84</v>
      </c>
      <c r="F105" s="227" t="s">
        <v>698</v>
      </c>
      <c r="G105" s="227" t="s">
        <v>6</v>
      </c>
      <c r="H105" s="228">
        <v>70</v>
      </c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</row>
    <row r="106" spans="1:26" ht="15.75" customHeight="1" x14ac:dyDescent="0.2">
      <c r="A106" s="224">
        <v>42703</v>
      </c>
      <c r="B106" s="225">
        <v>-500</v>
      </c>
      <c r="C106" s="225">
        <f>B106</f>
        <v>-500</v>
      </c>
      <c r="D106" s="225">
        <v>0</v>
      </c>
      <c r="E106" s="226" t="s">
        <v>109</v>
      </c>
      <c r="F106" s="227" t="s">
        <v>698</v>
      </c>
      <c r="G106" s="227" t="s">
        <v>6</v>
      </c>
      <c r="H106" s="228">
        <v>70</v>
      </c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</row>
    <row r="107" spans="1:26" ht="15.75" customHeight="1" x14ac:dyDescent="0.2">
      <c r="A107" s="224">
        <v>42704</v>
      </c>
      <c r="B107" s="225">
        <v>-64.69</v>
      </c>
      <c r="C107" s="225">
        <f>B107</f>
        <v>-64.69</v>
      </c>
      <c r="D107" s="225">
        <v>0</v>
      </c>
      <c r="E107" s="226" t="s">
        <v>66</v>
      </c>
      <c r="F107" s="227" t="s">
        <v>698</v>
      </c>
      <c r="G107" s="227" t="s">
        <v>61</v>
      </c>
      <c r="H107" s="228">
        <v>70</v>
      </c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</row>
    <row r="108" spans="1:26" ht="15.75" customHeight="1" x14ac:dyDescent="0.2">
      <c r="A108" s="224">
        <v>42704</v>
      </c>
      <c r="B108" s="225">
        <v>500</v>
      </c>
      <c r="C108" s="225">
        <f>B108</f>
        <v>500</v>
      </c>
      <c r="D108" s="225">
        <v>0</v>
      </c>
      <c r="E108" s="226" t="s">
        <v>113</v>
      </c>
      <c r="F108" s="227" t="s">
        <v>702</v>
      </c>
      <c r="G108" s="227" t="s">
        <v>19</v>
      </c>
      <c r="H108" s="228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</row>
    <row r="109" spans="1:26" ht="15.75" customHeight="1" x14ac:dyDescent="0.2">
      <c r="A109" s="224">
        <v>42705</v>
      </c>
      <c r="B109" s="225">
        <v>-261.85000000000002</v>
      </c>
      <c r="C109" s="225">
        <f>B109</f>
        <v>-261.85000000000002</v>
      </c>
      <c r="D109" s="225">
        <v>0</v>
      </c>
      <c r="E109" s="226" t="s">
        <v>97</v>
      </c>
      <c r="F109" s="227" t="s">
        <v>698</v>
      </c>
      <c r="G109" s="227" t="s">
        <v>46</v>
      </c>
      <c r="H109" s="228">
        <v>68</v>
      </c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</row>
    <row r="110" spans="1:26" ht="15.75" customHeight="1" x14ac:dyDescent="0.2">
      <c r="A110" s="224">
        <v>42705</v>
      </c>
      <c r="B110" s="225">
        <v>1369</v>
      </c>
      <c r="C110" s="225">
        <f>B110</f>
        <v>1369</v>
      </c>
      <c r="D110" s="225">
        <v>0</v>
      </c>
      <c r="E110" s="226" t="s">
        <v>114</v>
      </c>
      <c r="F110" s="227" t="s">
        <v>36</v>
      </c>
      <c r="G110" s="227" t="s">
        <v>37</v>
      </c>
      <c r="H110" s="228">
        <v>70</v>
      </c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</row>
    <row r="111" spans="1:26" ht="15.75" customHeight="1" x14ac:dyDescent="0.2">
      <c r="A111" s="224">
        <v>42709</v>
      </c>
      <c r="B111" s="225">
        <v>-500</v>
      </c>
      <c r="C111" s="225">
        <f>B111</f>
        <v>-500</v>
      </c>
      <c r="D111" s="225">
        <v>0</v>
      </c>
      <c r="E111" s="226" t="s">
        <v>115</v>
      </c>
      <c r="F111" s="227" t="s">
        <v>698</v>
      </c>
      <c r="G111" s="227" t="s">
        <v>79</v>
      </c>
      <c r="H111" s="228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</row>
    <row r="112" spans="1:26" ht="15.75" customHeight="1" x14ac:dyDescent="0.2">
      <c r="A112" s="224">
        <v>42709</v>
      </c>
      <c r="B112" s="225">
        <v>-300</v>
      </c>
      <c r="C112" s="225">
        <f>B112</f>
        <v>-300</v>
      </c>
      <c r="D112" s="225">
        <v>0</v>
      </c>
      <c r="E112" s="226" t="s">
        <v>116</v>
      </c>
      <c r="F112" s="227" t="s">
        <v>698</v>
      </c>
      <c r="G112" s="227" t="s">
        <v>117</v>
      </c>
      <c r="H112" s="228">
        <v>70</v>
      </c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</row>
    <row r="113" spans="1:26" ht="15.75" customHeight="1" x14ac:dyDescent="0.2">
      <c r="A113" s="224">
        <v>42717</v>
      </c>
      <c r="B113" s="225">
        <v>-50</v>
      </c>
      <c r="C113" s="225">
        <f>B113</f>
        <v>-50</v>
      </c>
      <c r="D113" s="225">
        <v>0</v>
      </c>
      <c r="E113" s="226" t="s">
        <v>118</v>
      </c>
      <c r="F113" s="227" t="s">
        <v>698</v>
      </c>
      <c r="G113" s="227" t="s">
        <v>119</v>
      </c>
      <c r="H113" s="228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</row>
    <row r="114" spans="1:26" ht="15.75" customHeight="1" x14ac:dyDescent="0.2">
      <c r="A114" s="224">
        <v>42719</v>
      </c>
      <c r="B114" s="225">
        <v>-62.79</v>
      </c>
      <c r="C114" s="225">
        <f>B114</f>
        <v>-62.79</v>
      </c>
      <c r="D114" s="225">
        <v>0</v>
      </c>
      <c r="E114" s="226" t="s">
        <v>60</v>
      </c>
      <c r="F114" s="227" t="s">
        <v>698</v>
      </c>
      <c r="G114" s="227" t="s">
        <v>61</v>
      </c>
      <c r="H114" s="228">
        <v>68</v>
      </c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</row>
    <row r="115" spans="1:26" ht="15.75" customHeight="1" x14ac:dyDescent="0.2">
      <c r="A115" s="224">
        <v>42720</v>
      </c>
      <c r="B115" s="225">
        <v>400</v>
      </c>
      <c r="C115" s="225">
        <f>B115</f>
        <v>400</v>
      </c>
      <c r="D115" s="225">
        <v>0</v>
      </c>
      <c r="E115" s="226" t="s">
        <v>38</v>
      </c>
      <c r="F115" s="227" t="s">
        <v>702</v>
      </c>
      <c r="G115" s="227" t="s">
        <v>39</v>
      </c>
      <c r="H115" s="228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</row>
    <row r="116" spans="1:26" ht="15.75" customHeight="1" x14ac:dyDescent="0.2">
      <c r="A116" s="224">
        <v>42723</v>
      </c>
      <c r="B116" s="225">
        <v>400</v>
      </c>
      <c r="C116" s="225">
        <f>B116</f>
        <v>400</v>
      </c>
      <c r="D116" s="225">
        <v>0</v>
      </c>
      <c r="E116" s="226" t="s">
        <v>111</v>
      </c>
      <c r="F116" s="227" t="s">
        <v>702</v>
      </c>
      <c r="G116" s="227" t="s">
        <v>19</v>
      </c>
      <c r="H116" s="228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</row>
    <row r="117" spans="1:26" ht="15.75" customHeight="1" x14ac:dyDescent="0.2">
      <c r="A117" s="224">
        <v>42727</v>
      </c>
      <c r="B117" s="225">
        <v>-474.88</v>
      </c>
      <c r="C117" s="225">
        <f>B117</f>
        <v>-474.88</v>
      </c>
      <c r="D117" s="225">
        <v>0</v>
      </c>
      <c r="E117" s="226" t="s">
        <v>40</v>
      </c>
      <c r="F117" s="227" t="s">
        <v>698</v>
      </c>
      <c r="G117" s="227" t="s">
        <v>6</v>
      </c>
      <c r="H117" s="228">
        <v>68</v>
      </c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</row>
    <row r="118" spans="1:26" ht="15.75" customHeight="1" x14ac:dyDescent="0.2">
      <c r="A118" s="224">
        <v>42727</v>
      </c>
      <c r="B118" s="225">
        <v>-461.8</v>
      </c>
      <c r="C118" s="225">
        <f>B118</f>
        <v>-461.8</v>
      </c>
      <c r="D118" s="225">
        <v>0</v>
      </c>
      <c r="E118" s="226" t="s">
        <v>40</v>
      </c>
      <c r="F118" s="227" t="s">
        <v>698</v>
      </c>
      <c r="G118" s="227" t="s">
        <v>6</v>
      </c>
      <c r="H118" s="228">
        <v>68</v>
      </c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</row>
    <row r="119" spans="1:26" ht="15.75" customHeight="1" x14ac:dyDescent="0.2">
      <c r="A119" s="224">
        <v>42727</v>
      </c>
      <c r="B119" s="225">
        <v>1169.9100000000001</v>
      </c>
      <c r="C119" s="225">
        <f>B119</f>
        <v>1169.9100000000001</v>
      </c>
      <c r="D119" s="225">
        <v>0</v>
      </c>
      <c r="E119" s="226" t="s">
        <v>35</v>
      </c>
      <c r="F119" s="227" t="s">
        <v>36</v>
      </c>
      <c r="G119" s="227" t="s">
        <v>37</v>
      </c>
      <c r="H119" s="228">
        <v>68</v>
      </c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</row>
    <row r="120" spans="1:26" ht="15.75" customHeight="1" x14ac:dyDescent="0.2">
      <c r="A120" s="224">
        <v>42732</v>
      </c>
      <c r="B120" s="225">
        <v>-1109.3</v>
      </c>
      <c r="C120" s="225">
        <f>B120</f>
        <v>-1109.3</v>
      </c>
      <c r="D120" s="225">
        <v>0</v>
      </c>
      <c r="E120" s="226" t="s">
        <v>84</v>
      </c>
      <c r="F120" s="227" t="s">
        <v>698</v>
      </c>
      <c r="G120" s="227" t="s">
        <v>6</v>
      </c>
      <c r="H120" s="228">
        <v>70</v>
      </c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</row>
    <row r="121" spans="1:26" ht="15.75" customHeight="1" x14ac:dyDescent="0.2">
      <c r="A121" s="224">
        <v>42734</v>
      </c>
      <c r="B121" s="225">
        <v>-64.69</v>
      </c>
      <c r="C121" s="225">
        <f>B121</f>
        <v>-64.69</v>
      </c>
      <c r="D121" s="225">
        <v>0</v>
      </c>
      <c r="E121" s="226" t="s">
        <v>66</v>
      </c>
      <c r="F121" s="227" t="s">
        <v>698</v>
      </c>
      <c r="G121" s="227" t="s">
        <v>61</v>
      </c>
      <c r="H121" s="228">
        <v>70</v>
      </c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</row>
    <row r="122" spans="1:26" ht="15.75" customHeight="1" x14ac:dyDescent="0.2">
      <c r="A122" s="224">
        <v>42738</v>
      </c>
      <c r="B122" s="225">
        <v>1369</v>
      </c>
      <c r="C122" s="225">
        <f>B122</f>
        <v>1369</v>
      </c>
      <c r="D122" s="225">
        <v>0</v>
      </c>
      <c r="E122" s="226" t="s">
        <v>114</v>
      </c>
      <c r="F122" s="227" t="s">
        <v>36</v>
      </c>
      <c r="G122" s="227" t="s">
        <v>37</v>
      </c>
      <c r="H122" s="228">
        <v>70</v>
      </c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</row>
    <row r="123" spans="1:26" ht="15.75" customHeight="1" x14ac:dyDescent="0.2">
      <c r="A123" s="224">
        <v>42744</v>
      </c>
      <c r="B123" s="225">
        <v>-1000</v>
      </c>
      <c r="C123" s="225">
        <f>B123</f>
        <v>-1000</v>
      </c>
      <c r="D123" s="225">
        <v>0</v>
      </c>
      <c r="E123" s="226" t="s">
        <v>120</v>
      </c>
      <c r="F123" s="227" t="s">
        <v>698</v>
      </c>
      <c r="G123" s="227" t="s">
        <v>79</v>
      </c>
      <c r="H123" s="228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</row>
    <row r="124" spans="1:26" ht="15.75" customHeight="1" x14ac:dyDescent="0.2">
      <c r="A124" s="224">
        <v>42744</v>
      </c>
      <c r="B124" s="225">
        <v>-397</v>
      </c>
      <c r="C124" s="225">
        <f>B124</f>
        <v>-397</v>
      </c>
      <c r="D124" s="225">
        <v>0</v>
      </c>
      <c r="E124" s="226" t="s">
        <v>121</v>
      </c>
      <c r="F124" s="227" t="s">
        <v>698</v>
      </c>
      <c r="G124" s="227" t="s">
        <v>117</v>
      </c>
      <c r="H124" s="228">
        <v>68</v>
      </c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</row>
    <row r="125" spans="1:26" ht="15.75" customHeight="1" x14ac:dyDescent="0.2">
      <c r="A125" s="224">
        <v>42748</v>
      </c>
      <c r="B125" s="225">
        <v>-50</v>
      </c>
      <c r="C125" s="225">
        <f>B125</f>
        <v>-50</v>
      </c>
      <c r="D125" s="225">
        <v>0</v>
      </c>
      <c r="E125" s="226" t="s">
        <v>118</v>
      </c>
      <c r="F125" s="227" t="s">
        <v>698</v>
      </c>
      <c r="G125" s="227" t="s">
        <v>119</v>
      </c>
      <c r="H125" s="228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</row>
    <row r="126" spans="1:26" ht="15.75" customHeight="1" x14ac:dyDescent="0.2">
      <c r="A126" s="224">
        <v>42749</v>
      </c>
      <c r="B126" s="225">
        <v>-550</v>
      </c>
      <c r="C126" s="225">
        <f>B126</f>
        <v>-550</v>
      </c>
      <c r="D126" s="225">
        <v>0</v>
      </c>
      <c r="E126" s="226" t="s">
        <v>122</v>
      </c>
      <c r="F126" s="227" t="s">
        <v>698</v>
      </c>
      <c r="G126" s="227" t="s">
        <v>79</v>
      </c>
      <c r="H126" s="228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</row>
    <row r="127" spans="1:26" ht="15.75" customHeight="1" x14ac:dyDescent="0.2">
      <c r="A127" s="224">
        <v>42750</v>
      </c>
      <c r="B127" s="225">
        <v>400</v>
      </c>
      <c r="C127" s="225">
        <f>B127</f>
        <v>400</v>
      </c>
      <c r="D127" s="225">
        <v>0</v>
      </c>
      <c r="E127" s="226" t="s">
        <v>111</v>
      </c>
      <c r="F127" s="227" t="s">
        <v>702</v>
      </c>
      <c r="G127" s="227" t="s">
        <v>19</v>
      </c>
      <c r="H127" s="228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</row>
    <row r="128" spans="1:26" ht="15.75" customHeight="1" x14ac:dyDescent="0.2">
      <c r="A128" s="224">
        <v>42751</v>
      </c>
      <c r="B128" s="225">
        <v>400</v>
      </c>
      <c r="C128" s="225">
        <f>B128</f>
        <v>400</v>
      </c>
      <c r="D128" s="225">
        <v>0</v>
      </c>
      <c r="E128" s="226" t="s">
        <v>38</v>
      </c>
      <c r="F128" s="227" t="s">
        <v>702</v>
      </c>
      <c r="G128" s="227" t="s">
        <v>39</v>
      </c>
      <c r="H128" s="228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</row>
    <row r="129" spans="1:26" ht="15.75" customHeight="1" x14ac:dyDescent="0.2">
      <c r="A129" s="224">
        <v>42752</v>
      </c>
      <c r="B129" s="225">
        <v>-73.260000000000005</v>
      </c>
      <c r="C129" s="225">
        <f>B129</f>
        <v>-73.260000000000005</v>
      </c>
      <c r="D129" s="225">
        <v>0</v>
      </c>
      <c r="E129" s="226" t="s">
        <v>60</v>
      </c>
      <c r="F129" s="227" t="s">
        <v>698</v>
      </c>
      <c r="G129" s="227" t="s">
        <v>61</v>
      </c>
      <c r="H129" s="228">
        <v>68</v>
      </c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</row>
    <row r="130" spans="1:26" ht="15.75" customHeight="1" x14ac:dyDescent="0.2">
      <c r="A130" s="224">
        <v>42752</v>
      </c>
      <c r="B130" s="225">
        <v>700</v>
      </c>
      <c r="C130" s="225">
        <f>B130</f>
        <v>700</v>
      </c>
      <c r="D130" s="225">
        <v>0</v>
      </c>
      <c r="E130" s="226" t="s">
        <v>123</v>
      </c>
      <c r="F130" s="227" t="s">
        <v>702</v>
      </c>
      <c r="G130" s="227" t="s">
        <v>39</v>
      </c>
      <c r="H130" s="228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</row>
    <row r="131" spans="1:26" ht="15.75" customHeight="1" x14ac:dyDescent="0.2">
      <c r="A131" s="224">
        <v>42758</v>
      </c>
      <c r="B131" s="225">
        <v>1169.9100000000001</v>
      </c>
      <c r="C131" s="225">
        <f>B131</f>
        <v>1169.9100000000001</v>
      </c>
      <c r="D131" s="225">
        <v>0</v>
      </c>
      <c r="E131" s="226" t="s">
        <v>35</v>
      </c>
      <c r="F131" s="227" t="s">
        <v>36</v>
      </c>
      <c r="G131" s="227" t="s">
        <v>37</v>
      </c>
      <c r="H131" s="228">
        <v>68</v>
      </c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</row>
    <row r="132" spans="1:26" ht="15.75" customHeight="1" x14ac:dyDescent="0.2">
      <c r="A132" s="224">
        <v>42762</v>
      </c>
      <c r="B132" s="225">
        <v>-477</v>
      </c>
      <c r="C132" s="225">
        <f>B132</f>
        <v>-477</v>
      </c>
      <c r="D132" s="225">
        <v>0</v>
      </c>
      <c r="E132" s="226" t="s">
        <v>40</v>
      </c>
      <c r="F132" s="227" t="s">
        <v>698</v>
      </c>
      <c r="G132" s="227" t="s">
        <v>6</v>
      </c>
      <c r="H132" s="228">
        <v>68</v>
      </c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</row>
    <row r="133" spans="1:26" ht="15.75" customHeight="1" x14ac:dyDescent="0.2">
      <c r="A133" s="224">
        <v>42765</v>
      </c>
      <c r="B133" s="225">
        <v>-1145.94</v>
      </c>
      <c r="C133" s="225">
        <f>B133</f>
        <v>-1145.94</v>
      </c>
      <c r="D133" s="225">
        <v>0</v>
      </c>
      <c r="E133" s="226" t="s">
        <v>84</v>
      </c>
      <c r="F133" s="227" t="s">
        <v>698</v>
      </c>
      <c r="G133" s="227" t="s">
        <v>6</v>
      </c>
      <c r="H133" s="228">
        <v>70</v>
      </c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</row>
    <row r="134" spans="1:26" ht="15.75" customHeight="1" x14ac:dyDescent="0.2">
      <c r="A134" s="224">
        <v>42766</v>
      </c>
      <c r="B134" s="225">
        <v>-64.69</v>
      </c>
      <c r="C134" s="225">
        <f>B134</f>
        <v>-64.69</v>
      </c>
      <c r="D134" s="225">
        <v>0</v>
      </c>
      <c r="E134" s="226" t="s">
        <v>66</v>
      </c>
      <c r="F134" s="227" t="s">
        <v>698</v>
      </c>
      <c r="G134" s="227" t="s">
        <v>61</v>
      </c>
      <c r="H134" s="228">
        <v>70</v>
      </c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</row>
    <row r="135" spans="1:26" ht="15.75" customHeight="1" x14ac:dyDescent="0.2">
      <c r="A135" s="224">
        <v>42768</v>
      </c>
      <c r="B135" s="225">
        <v>-144.44999999999999</v>
      </c>
      <c r="C135" s="225">
        <f>B135</f>
        <v>-144.44999999999999</v>
      </c>
      <c r="D135" s="225">
        <v>0</v>
      </c>
      <c r="E135" s="226" t="s">
        <v>73</v>
      </c>
      <c r="F135" s="227" t="s">
        <v>698</v>
      </c>
      <c r="G135" s="227" t="s">
        <v>74</v>
      </c>
      <c r="H135" s="228">
        <v>68</v>
      </c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</row>
    <row r="136" spans="1:26" ht="15.75" customHeight="1" x14ac:dyDescent="0.2">
      <c r="A136" s="224">
        <v>42768</v>
      </c>
      <c r="B136" s="225">
        <v>1369</v>
      </c>
      <c r="C136" s="225">
        <f>B136</f>
        <v>1369</v>
      </c>
      <c r="D136" s="225">
        <v>0</v>
      </c>
      <c r="E136" s="226" t="s">
        <v>124</v>
      </c>
      <c r="F136" s="227" t="s">
        <v>36</v>
      </c>
      <c r="G136" s="227" t="s">
        <v>37</v>
      </c>
      <c r="H136" s="228">
        <v>70</v>
      </c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</row>
    <row r="137" spans="1:26" ht="15.75" customHeight="1" x14ac:dyDescent="0.2">
      <c r="A137" s="224">
        <v>42779</v>
      </c>
      <c r="B137" s="225">
        <v>-50</v>
      </c>
      <c r="C137" s="225">
        <f>B137</f>
        <v>-50</v>
      </c>
      <c r="D137" s="225">
        <v>0</v>
      </c>
      <c r="E137" s="226" t="s">
        <v>118</v>
      </c>
      <c r="F137" s="227" t="s">
        <v>698</v>
      </c>
      <c r="G137" s="227" t="s">
        <v>119</v>
      </c>
      <c r="H137" s="228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</row>
    <row r="138" spans="1:26" ht="15.75" customHeight="1" x14ac:dyDescent="0.2">
      <c r="A138" s="224">
        <v>42781</v>
      </c>
      <c r="B138" s="225">
        <v>-73.260000000000005</v>
      </c>
      <c r="C138" s="225">
        <f>B138</f>
        <v>-73.260000000000005</v>
      </c>
      <c r="D138" s="225">
        <v>0</v>
      </c>
      <c r="E138" s="226" t="s">
        <v>60</v>
      </c>
      <c r="F138" s="227" t="s">
        <v>698</v>
      </c>
      <c r="G138" s="227" t="s">
        <v>61</v>
      </c>
      <c r="H138" s="228">
        <v>68</v>
      </c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</row>
    <row r="139" spans="1:26" ht="15.75" customHeight="1" x14ac:dyDescent="0.2">
      <c r="A139" s="224">
        <v>42781</v>
      </c>
      <c r="B139" s="225">
        <v>400</v>
      </c>
      <c r="C139" s="225">
        <f>B139</f>
        <v>400</v>
      </c>
      <c r="D139" s="225">
        <v>0</v>
      </c>
      <c r="E139" s="226" t="s">
        <v>111</v>
      </c>
      <c r="F139" s="227" t="s">
        <v>702</v>
      </c>
      <c r="G139" s="227" t="s">
        <v>19</v>
      </c>
      <c r="H139" s="228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</row>
    <row r="140" spans="1:26" ht="15.75" customHeight="1" x14ac:dyDescent="0.2">
      <c r="A140" s="224">
        <v>42782</v>
      </c>
      <c r="B140" s="225">
        <v>400</v>
      </c>
      <c r="C140" s="225">
        <f>B140</f>
        <v>400</v>
      </c>
      <c r="D140" s="225">
        <v>0</v>
      </c>
      <c r="E140" s="226" t="s">
        <v>38</v>
      </c>
      <c r="F140" s="227" t="s">
        <v>702</v>
      </c>
      <c r="G140" s="227" t="s">
        <v>39</v>
      </c>
      <c r="H140" s="228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</row>
    <row r="141" spans="1:26" ht="15.75" customHeight="1" x14ac:dyDescent="0.2">
      <c r="A141" s="224">
        <v>42788</v>
      </c>
      <c r="B141" s="225">
        <v>1169.9100000000001</v>
      </c>
      <c r="C141" s="225">
        <f>B141</f>
        <v>1169.9100000000001</v>
      </c>
      <c r="D141" s="225">
        <v>0</v>
      </c>
      <c r="E141" s="226" t="s">
        <v>35</v>
      </c>
      <c r="F141" s="227" t="s">
        <v>36</v>
      </c>
      <c r="G141" s="227" t="s">
        <v>37</v>
      </c>
      <c r="H141" s="228">
        <v>68</v>
      </c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</row>
    <row r="142" spans="1:26" ht="15.75" customHeight="1" x14ac:dyDescent="0.2">
      <c r="A142" s="224">
        <v>42793</v>
      </c>
      <c r="B142" s="225">
        <v>-758.86</v>
      </c>
      <c r="C142" s="225">
        <f>B142</f>
        <v>-758.86</v>
      </c>
      <c r="D142" s="225">
        <v>0</v>
      </c>
      <c r="E142" s="226" t="s">
        <v>40</v>
      </c>
      <c r="F142" s="227" t="s">
        <v>698</v>
      </c>
      <c r="G142" s="227" t="s">
        <v>6</v>
      </c>
      <c r="H142" s="228">
        <v>68</v>
      </c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</row>
    <row r="143" spans="1:26" ht="15.75" customHeight="1" x14ac:dyDescent="0.2">
      <c r="A143" s="224">
        <v>42794</v>
      </c>
      <c r="B143" s="225">
        <v>-1145.94</v>
      </c>
      <c r="C143" s="225">
        <f>B143</f>
        <v>-1145.94</v>
      </c>
      <c r="D143" s="225">
        <v>0</v>
      </c>
      <c r="E143" s="226" t="s">
        <v>84</v>
      </c>
      <c r="F143" s="227" t="s">
        <v>698</v>
      </c>
      <c r="G143" s="227" t="s">
        <v>6</v>
      </c>
      <c r="H143" s="228">
        <v>70</v>
      </c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</row>
    <row r="144" spans="1:26" ht="15.75" customHeight="1" x14ac:dyDescent="0.2">
      <c r="A144" s="224">
        <v>42794</v>
      </c>
      <c r="B144" s="225">
        <v>-262</v>
      </c>
      <c r="C144" s="225">
        <f>B144</f>
        <v>-262</v>
      </c>
      <c r="D144" s="225">
        <v>0</v>
      </c>
      <c r="E144" s="226" t="s">
        <v>97</v>
      </c>
      <c r="F144" s="227" t="s">
        <v>698</v>
      </c>
      <c r="G144" s="227" t="s">
        <v>46</v>
      </c>
      <c r="H144" s="228">
        <v>68</v>
      </c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</row>
    <row r="145" spans="1:26" ht="15.75" customHeight="1" x14ac:dyDescent="0.2">
      <c r="A145" s="224">
        <v>42794</v>
      </c>
      <c r="B145" s="225">
        <v>1369</v>
      </c>
      <c r="C145" s="225">
        <f>B145</f>
        <v>1369</v>
      </c>
      <c r="D145" s="225">
        <v>0</v>
      </c>
      <c r="E145" s="226" t="s">
        <v>125</v>
      </c>
      <c r="F145" s="227" t="s">
        <v>36</v>
      </c>
      <c r="G145" s="227" t="s">
        <v>37</v>
      </c>
      <c r="H145" s="228">
        <v>70</v>
      </c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</row>
    <row r="146" spans="1:26" ht="15.75" customHeight="1" x14ac:dyDescent="0.2">
      <c r="A146" s="224">
        <v>42795</v>
      </c>
      <c r="B146" s="225">
        <v>-64.69</v>
      </c>
      <c r="C146" s="225">
        <f>B146</f>
        <v>-64.69</v>
      </c>
      <c r="D146" s="225">
        <v>0</v>
      </c>
      <c r="E146" s="226" t="s">
        <v>66</v>
      </c>
      <c r="F146" s="227" t="s">
        <v>698</v>
      </c>
      <c r="G146" s="227" t="s">
        <v>61</v>
      </c>
      <c r="H146" s="228">
        <v>70</v>
      </c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</row>
    <row r="147" spans="1:26" ht="15.75" customHeight="1" x14ac:dyDescent="0.2">
      <c r="A147" s="224">
        <v>42807</v>
      </c>
      <c r="B147" s="225">
        <v>-50</v>
      </c>
      <c r="C147" s="225">
        <f>B147</f>
        <v>-50</v>
      </c>
      <c r="D147" s="225">
        <v>0</v>
      </c>
      <c r="E147" s="226" t="s">
        <v>118</v>
      </c>
      <c r="F147" s="227" t="s">
        <v>698</v>
      </c>
      <c r="G147" s="227" t="s">
        <v>119</v>
      </c>
      <c r="H147" s="228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</row>
    <row r="148" spans="1:26" ht="15.75" customHeight="1" x14ac:dyDescent="0.2">
      <c r="A148" s="224">
        <v>42809</v>
      </c>
      <c r="B148" s="225">
        <v>-73.260000000000005</v>
      </c>
      <c r="C148" s="225">
        <f>B148</f>
        <v>-73.260000000000005</v>
      </c>
      <c r="D148" s="225">
        <v>0</v>
      </c>
      <c r="E148" s="226" t="s">
        <v>60</v>
      </c>
      <c r="F148" s="227" t="s">
        <v>698</v>
      </c>
      <c r="G148" s="227" t="s">
        <v>61</v>
      </c>
      <c r="H148" s="228">
        <v>68</v>
      </c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</row>
    <row r="149" spans="1:26" ht="15.75" customHeight="1" x14ac:dyDescent="0.2">
      <c r="A149" s="224">
        <v>42810</v>
      </c>
      <c r="B149" s="225">
        <v>200</v>
      </c>
      <c r="C149" s="225">
        <f>B149</f>
        <v>200</v>
      </c>
      <c r="D149" s="225">
        <v>0</v>
      </c>
      <c r="E149" s="226" t="s">
        <v>38</v>
      </c>
      <c r="F149" s="227" t="s">
        <v>702</v>
      </c>
      <c r="G149" s="227" t="s">
        <v>39</v>
      </c>
      <c r="H149" s="228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</row>
    <row r="150" spans="1:26" ht="15.75" customHeight="1" x14ac:dyDescent="0.2">
      <c r="A150" s="224">
        <v>42815</v>
      </c>
      <c r="B150" s="225">
        <v>1169.9100000000001</v>
      </c>
      <c r="C150" s="225">
        <f>B150</f>
        <v>1169.9100000000001</v>
      </c>
      <c r="D150" s="225">
        <v>0</v>
      </c>
      <c r="E150" s="226" t="s">
        <v>35</v>
      </c>
      <c r="F150" s="227" t="s">
        <v>36</v>
      </c>
      <c r="G150" s="227" t="s">
        <v>37</v>
      </c>
      <c r="H150" s="228">
        <v>68</v>
      </c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</row>
    <row r="151" spans="1:26" ht="15.75" customHeight="1" x14ac:dyDescent="0.2">
      <c r="A151" s="224">
        <v>42821</v>
      </c>
      <c r="B151" s="225">
        <v>-999.05</v>
      </c>
      <c r="C151" s="225">
        <f>B151</f>
        <v>-999.05</v>
      </c>
      <c r="D151" s="225">
        <v>0</v>
      </c>
      <c r="E151" s="226" t="s">
        <v>40</v>
      </c>
      <c r="F151" s="227" t="s">
        <v>698</v>
      </c>
      <c r="G151" s="227" t="s">
        <v>6</v>
      </c>
      <c r="H151" s="228">
        <v>68</v>
      </c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</row>
    <row r="152" spans="1:26" ht="15.75" customHeight="1" x14ac:dyDescent="0.2">
      <c r="A152" s="224">
        <v>42822</v>
      </c>
      <c r="B152" s="225">
        <v>-1036.01</v>
      </c>
      <c r="C152" s="225">
        <f>B152</f>
        <v>-1036.01</v>
      </c>
      <c r="D152" s="225">
        <v>0</v>
      </c>
      <c r="E152" s="226" t="s">
        <v>84</v>
      </c>
      <c r="F152" s="227" t="s">
        <v>698</v>
      </c>
      <c r="G152" s="227" t="s">
        <v>6</v>
      </c>
      <c r="H152" s="228">
        <v>70</v>
      </c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</row>
    <row r="153" spans="1:26" ht="15.75" customHeight="1" x14ac:dyDescent="0.2">
      <c r="A153" s="224">
        <v>42824</v>
      </c>
      <c r="B153" s="225">
        <v>-64.69</v>
      </c>
      <c r="C153" s="225">
        <f>B153</f>
        <v>-64.69</v>
      </c>
      <c r="D153" s="225">
        <v>0</v>
      </c>
      <c r="E153" s="226" t="s">
        <v>66</v>
      </c>
      <c r="F153" s="227" t="s">
        <v>698</v>
      </c>
      <c r="G153" s="227" t="s">
        <v>61</v>
      </c>
      <c r="H153" s="228">
        <v>70</v>
      </c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</row>
    <row r="154" spans="1:26" ht="15.75" customHeight="1" x14ac:dyDescent="0.2">
      <c r="A154" s="224">
        <v>42833</v>
      </c>
      <c r="B154" s="225">
        <v>1369</v>
      </c>
      <c r="C154" s="225">
        <f>B154</f>
        <v>1369</v>
      </c>
      <c r="D154" s="225">
        <v>0</v>
      </c>
      <c r="E154" s="226" t="s">
        <v>125</v>
      </c>
      <c r="F154" s="227" t="s">
        <v>36</v>
      </c>
      <c r="G154" s="227" t="s">
        <v>37</v>
      </c>
      <c r="H154" s="228">
        <v>70</v>
      </c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</row>
    <row r="155" spans="1:26" ht="15.75" customHeight="1" x14ac:dyDescent="0.2">
      <c r="A155" s="224">
        <v>42838</v>
      </c>
      <c r="B155" s="225">
        <v>-50</v>
      </c>
      <c r="C155" s="225">
        <f>B155</f>
        <v>-50</v>
      </c>
      <c r="D155" s="225">
        <v>0</v>
      </c>
      <c r="E155" s="226" t="s">
        <v>118</v>
      </c>
      <c r="F155" s="227" t="s">
        <v>698</v>
      </c>
      <c r="G155" s="227" t="s">
        <v>119</v>
      </c>
      <c r="H155" s="228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</row>
    <row r="156" spans="1:26" ht="15.75" customHeight="1" x14ac:dyDescent="0.2">
      <c r="A156" s="224">
        <v>42843</v>
      </c>
      <c r="B156" s="225">
        <v>200</v>
      </c>
      <c r="C156" s="225">
        <f>B156</f>
        <v>200</v>
      </c>
      <c r="D156" s="225">
        <v>0</v>
      </c>
      <c r="E156" s="226" t="s">
        <v>38</v>
      </c>
      <c r="F156" s="227" t="s">
        <v>702</v>
      </c>
      <c r="G156" s="227" t="s">
        <v>39</v>
      </c>
      <c r="H156" s="228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</row>
    <row r="157" spans="1:26" ht="15.75" customHeight="1" x14ac:dyDescent="0.2">
      <c r="A157" s="224">
        <v>42844</v>
      </c>
      <c r="B157" s="225">
        <v>-73.260000000000005</v>
      </c>
      <c r="C157" s="225">
        <f>B157</f>
        <v>-73.260000000000005</v>
      </c>
      <c r="D157" s="225">
        <v>0</v>
      </c>
      <c r="E157" s="226" t="s">
        <v>60</v>
      </c>
      <c r="F157" s="227" t="s">
        <v>698</v>
      </c>
      <c r="G157" s="227" t="s">
        <v>61</v>
      </c>
      <c r="H157" s="228">
        <v>68</v>
      </c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</row>
    <row r="158" spans="1:26" ht="15.75" customHeight="1" x14ac:dyDescent="0.2">
      <c r="A158" s="224">
        <v>42845</v>
      </c>
      <c r="B158" s="225">
        <v>200</v>
      </c>
      <c r="C158" s="225">
        <f>B158</f>
        <v>200</v>
      </c>
      <c r="D158" s="225">
        <v>0</v>
      </c>
      <c r="E158" s="226" t="s">
        <v>126</v>
      </c>
      <c r="F158" s="227" t="s">
        <v>702</v>
      </c>
      <c r="G158" s="227" t="s">
        <v>19</v>
      </c>
      <c r="H158" s="228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</row>
    <row r="159" spans="1:26" ht="15.75" customHeight="1" x14ac:dyDescent="0.2">
      <c r="A159" s="224">
        <v>42848</v>
      </c>
      <c r="B159" s="225">
        <v>-770</v>
      </c>
      <c r="C159" s="225">
        <f>B159</f>
        <v>-770</v>
      </c>
      <c r="D159" s="225">
        <v>0</v>
      </c>
      <c r="E159" s="226" t="s">
        <v>127</v>
      </c>
      <c r="F159" s="227" t="s">
        <v>48</v>
      </c>
      <c r="G159" s="227" t="s">
        <v>49</v>
      </c>
      <c r="H159" s="228" t="s">
        <v>128</v>
      </c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</row>
    <row r="160" spans="1:26" ht="15.75" customHeight="1" x14ac:dyDescent="0.2">
      <c r="A160" s="224">
        <v>42848</v>
      </c>
      <c r="B160" s="225">
        <v>770</v>
      </c>
      <c r="C160" s="225">
        <f>B160</f>
        <v>770</v>
      </c>
      <c r="D160" s="225">
        <v>0</v>
      </c>
      <c r="E160" s="226" t="s">
        <v>129</v>
      </c>
      <c r="F160" s="227" t="s">
        <v>702</v>
      </c>
      <c r="G160" s="227" t="s">
        <v>19</v>
      </c>
      <c r="H160" s="228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</row>
    <row r="161" spans="1:26" ht="15.75" customHeight="1" x14ac:dyDescent="0.2">
      <c r="A161" s="224">
        <v>42849</v>
      </c>
      <c r="B161" s="225">
        <v>1169.9100000000001</v>
      </c>
      <c r="C161" s="225">
        <f>B161</f>
        <v>1169.9100000000001</v>
      </c>
      <c r="D161" s="225">
        <v>0</v>
      </c>
      <c r="E161" s="226" t="s">
        <v>35</v>
      </c>
      <c r="F161" s="227" t="s">
        <v>36</v>
      </c>
      <c r="G161" s="227" t="s">
        <v>37</v>
      </c>
      <c r="H161" s="228">
        <v>68</v>
      </c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</row>
    <row r="162" spans="1:26" ht="15.75" customHeight="1" x14ac:dyDescent="0.2">
      <c r="A162" s="224">
        <v>42852</v>
      </c>
      <c r="B162" s="225">
        <v>-1167.5999999999999</v>
      </c>
      <c r="C162" s="225">
        <f>B162</f>
        <v>-1167.5999999999999</v>
      </c>
      <c r="D162" s="225">
        <v>0</v>
      </c>
      <c r="E162" s="226" t="s">
        <v>40</v>
      </c>
      <c r="F162" s="227" t="s">
        <v>698</v>
      </c>
      <c r="G162" s="227" t="s">
        <v>6</v>
      </c>
      <c r="H162" s="228">
        <v>68</v>
      </c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</row>
    <row r="163" spans="1:26" ht="15.75" customHeight="1" x14ac:dyDescent="0.2">
      <c r="A163" s="224">
        <v>42853</v>
      </c>
      <c r="B163" s="225">
        <v>-1145.94</v>
      </c>
      <c r="C163" s="225">
        <f>B163</f>
        <v>-1145.94</v>
      </c>
      <c r="D163" s="225">
        <v>0</v>
      </c>
      <c r="E163" s="226" t="s">
        <v>84</v>
      </c>
      <c r="F163" s="227" t="s">
        <v>698</v>
      </c>
      <c r="G163" s="227" t="s">
        <v>6</v>
      </c>
      <c r="H163" s="228">
        <v>70</v>
      </c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</row>
    <row r="164" spans="1:26" ht="15.75" customHeight="1" x14ac:dyDescent="0.2">
      <c r="A164" s="224">
        <v>42857</v>
      </c>
      <c r="B164" s="225">
        <v>-64.69</v>
      </c>
      <c r="C164" s="225">
        <f>B164</f>
        <v>-64.69</v>
      </c>
      <c r="D164" s="225">
        <v>0</v>
      </c>
      <c r="E164" s="226" t="s">
        <v>66</v>
      </c>
      <c r="F164" s="227" t="s">
        <v>698</v>
      </c>
      <c r="G164" s="227" t="s">
        <v>61</v>
      </c>
      <c r="H164" s="228">
        <v>70</v>
      </c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</row>
    <row r="165" spans="1:26" ht="15.75" customHeight="1" x14ac:dyDescent="0.2">
      <c r="A165" s="224">
        <v>42864</v>
      </c>
      <c r="B165" s="225">
        <v>1369</v>
      </c>
      <c r="C165" s="225">
        <f>B165</f>
        <v>1369</v>
      </c>
      <c r="D165" s="225">
        <v>0</v>
      </c>
      <c r="E165" s="226" t="s">
        <v>125</v>
      </c>
      <c r="F165" s="227" t="s">
        <v>36</v>
      </c>
      <c r="G165" s="227" t="s">
        <v>37</v>
      </c>
      <c r="H165" s="228">
        <v>70</v>
      </c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</row>
    <row r="166" spans="1:26" ht="15.75" customHeight="1" x14ac:dyDescent="0.2">
      <c r="A166" s="224">
        <v>42868</v>
      </c>
      <c r="B166" s="225">
        <v>-50</v>
      </c>
      <c r="C166" s="225">
        <f>B166</f>
        <v>-50</v>
      </c>
      <c r="D166" s="225">
        <v>0</v>
      </c>
      <c r="E166" s="226" t="s">
        <v>118</v>
      </c>
      <c r="F166" s="227" t="s">
        <v>698</v>
      </c>
      <c r="G166" s="227" t="s">
        <v>119</v>
      </c>
      <c r="H166" s="228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</row>
    <row r="167" spans="1:26" ht="15.75" customHeight="1" x14ac:dyDescent="0.2">
      <c r="A167" s="224">
        <v>42870</v>
      </c>
      <c r="B167" s="225">
        <v>-144.44999999999999</v>
      </c>
      <c r="C167" s="225">
        <f>B167</f>
        <v>-144.44999999999999</v>
      </c>
      <c r="D167" s="225">
        <v>0</v>
      </c>
      <c r="E167" s="226" t="s">
        <v>73</v>
      </c>
      <c r="F167" s="227" t="s">
        <v>698</v>
      </c>
      <c r="G167" s="227" t="s">
        <v>74</v>
      </c>
      <c r="H167" s="228">
        <v>68</v>
      </c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</row>
    <row r="168" spans="1:26" ht="15.75" customHeight="1" x14ac:dyDescent="0.2">
      <c r="A168" s="224">
        <v>42871</v>
      </c>
      <c r="B168" s="225">
        <v>-73.260000000000005</v>
      </c>
      <c r="C168" s="225">
        <f>B168</f>
        <v>-73.260000000000005</v>
      </c>
      <c r="D168" s="225">
        <v>0</v>
      </c>
      <c r="E168" s="226" t="s">
        <v>60</v>
      </c>
      <c r="F168" s="227" t="s">
        <v>698</v>
      </c>
      <c r="G168" s="227" t="s">
        <v>61</v>
      </c>
      <c r="H168" s="228">
        <v>68</v>
      </c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</row>
    <row r="169" spans="1:26" ht="15.75" customHeight="1" x14ac:dyDescent="0.2">
      <c r="A169" s="224">
        <v>42871</v>
      </c>
      <c r="B169" s="225">
        <v>200</v>
      </c>
      <c r="C169" s="225">
        <f>B169</f>
        <v>200</v>
      </c>
      <c r="D169" s="225">
        <v>0</v>
      </c>
      <c r="E169" s="226" t="s">
        <v>38</v>
      </c>
      <c r="F169" s="227" t="s">
        <v>702</v>
      </c>
      <c r="G169" s="227" t="s">
        <v>39</v>
      </c>
      <c r="H169" s="228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</row>
    <row r="170" spans="1:26" ht="15.75" customHeight="1" x14ac:dyDescent="0.2">
      <c r="A170" s="224">
        <v>42873</v>
      </c>
      <c r="B170" s="225">
        <v>-2200</v>
      </c>
      <c r="C170" s="225">
        <f>B170</f>
        <v>-2200</v>
      </c>
      <c r="D170" s="225">
        <v>0</v>
      </c>
      <c r="E170" s="226" t="s">
        <v>71</v>
      </c>
      <c r="F170" s="227" t="s">
        <v>48</v>
      </c>
      <c r="G170" s="227" t="s">
        <v>49</v>
      </c>
      <c r="H170" s="228" t="s">
        <v>128</v>
      </c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</row>
    <row r="171" spans="1:26" ht="15.75" customHeight="1" x14ac:dyDescent="0.2">
      <c r="A171" s="224">
        <v>42873</v>
      </c>
      <c r="B171" s="225">
        <v>-253</v>
      </c>
      <c r="C171" s="225">
        <f>B171</f>
        <v>-253</v>
      </c>
      <c r="D171" s="225">
        <v>0</v>
      </c>
      <c r="E171" s="226" t="s">
        <v>130</v>
      </c>
      <c r="F171" s="227" t="s">
        <v>698</v>
      </c>
      <c r="G171" s="227" t="s">
        <v>117</v>
      </c>
      <c r="H171" s="228">
        <v>70</v>
      </c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</row>
    <row r="172" spans="1:26" ht="15.75" customHeight="1" x14ac:dyDescent="0.2">
      <c r="A172" s="224">
        <v>42877</v>
      </c>
      <c r="B172" s="225">
        <v>1169.9100000000001</v>
      </c>
      <c r="C172" s="225">
        <f>B172</f>
        <v>1169.9100000000001</v>
      </c>
      <c r="D172" s="225">
        <v>0</v>
      </c>
      <c r="E172" s="226" t="s">
        <v>35</v>
      </c>
      <c r="F172" s="227" t="s">
        <v>36</v>
      </c>
      <c r="G172" s="227" t="s">
        <v>37</v>
      </c>
      <c r="H172" s="228">
        <v>68</v>
      </c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</row>
    <row r="173" spans="1:26" ht="15.75" customHeight="1" x14ac:dyDescent="0.2">
      <c r="A173" s="224">
        <v>42881</v>
      </c>
      <c r="B173" s="225">
        <v>-1149.27</v>
      </c>
      <c r="C173" s="225">
        <f>B173</f>
        <v>-1149.27</v>
      </c>
      <c r="D173" s="225">
        <v>0</v>
      </c>
      <c r="E173" s="226" t="s">
        <v>40</v>
      </c>
      <c r="F173" s="227" t="s">
        <v>698</v>
      </c>
      <c r="G173" s="227" t="s">
        <v>6</v>
      </c>
      <c r="H173" s="228">
        <v>68</v>
      </c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</row>
    <row r="174" spans="1:26" ht="15.75" customHeight="1" x14ac:dyDescent="0.2">
      <c r="A174" s="224">
        <v>42881</v>
      </c>
      <c r="B174" s="225">
        <v>1100</v>
      </c>
      <c r="C174" s="225">
        <f>B174</f>
        <v>1100</v>
      </c>
      <c r="D174" s="225">
        <v>0</v>
      </c>
      <c r="E174" s="226" t="s">
        <v>131</v>
      </c>
      <c r="F174" s="227" t="s">
        <v>702</v>
      </c>
      <c r="G174" s="227" t="s">
        <v>19</v>
      </c>
      <c r="H174" s="228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</row>
    <row r="175" spans="1:26" ht="15.75" customHeight="1" x14ac:dyDescent="0.2">
      <c r="A175" s="224">
        <v>42881</v>
      </c>
      <c r="B175" s="225">
        <v>1100</v>
      </c>
      <c r="C175" s="225">
        <f>B175</f>
        <v>1100</v>
      </c>
      <c r="D175" s="225">
        <v>0</v>
      </c>
      <c r="E175" s="226" t="s">
        <v>132</v>
      </c>
      <c r="F175" s="227" t="s">
        <v>702</v>
      </c>
      <c r="G175" s="227" t="s">
        <v>39</v>
      </c>
      <c r="H175" s="228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</row>
    <row r="176" spans="1:26" ht="15.75" customHeight="1" x14ac:dyDescent="0.2">
      <c r="A176" s="224">
        <v>42883</v>
      </c>
      <c r="B176" s="225">
        <v>200</v>
      </c>
      <c r="C176" s="225">
        <f>B176</f>
        <v>200</v>
      </c>
      <c r="D176" s="225">
        <v>0</v>
      </c>
      <c r="E176" s="226" t="s">
        <v>133</v>
      </c>
      <c r="F176" s="227" t="s">
        <v>702</v>
      </c>
      <c r="G176" s="227" t="s">
        <v>19</v>
      </c>
      <c r="H176" s="228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</row>
    <row r="177" spans="1:26" ht="15.75" customHeight="1" x14ac:dyDescent="0.2">
      <c r="A177" s="224">
        <v>42884</v>
      </c>
      <c r="B177" s="225">
        <v>-1109.3</v>
      </c>
      <c r="C177" s="225">
        <f>B177</f>
        <v>-1109.3</v>
      </c>
      <c r="D177" s="225">
        <v>0</v>
      </c>
      <c r="E177" s="226" t="s">
        <v>84</v>
      </c>
      <c r="F177" s="227" t="s">
        <v>698</v>
      </c>
      <c r="G177" s="227" t="s">
        <v>6</v>
      </c>
      <c r="H177" s="228">
        <v>70</v>
      </c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</row>
    <row r="178" spans="1:26" ht="15.75" customHeight="1" x14ac:dyDescent="0.2">
      <c r="A178" s="224">
        <v>42885</v>
      </c>
      <c r="B178" s="225">
        <v>-64.69</v>
      </c>
      <c r="C178" s="225">
        <f>B178</f>
        <v>-64.69</v>
      </c>
      <c r="D178" s="225">
        <v>0</v>
      </c>
      <c r="E178" s="226" t="s">
        <v>66</v>
      </c>
      <c r="F178" s="227" t="s">
        <v>698</v>
      </c>
      <c r="G178" s="227" t="s">
        <v>61</v>
      </c>
      <c r="H178" s="228">
        <v>70</v>
      </c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</row>
    <row r="179" spans="1:26" ht="15.75" customHeight="1" x14ac:dyDescent="0.2">
      <c r="A179" s="224">
        <v>42886</v>
      </c>
      <c r="B179" s="225">
        <v>-262</v>
      </c>
      <c r="C179" s="225">
        <f>B179</f>
        <v>-262</v>
      </c>
      <c r="D179" s="225">
        <v>0</v>
      </c>
      <c r="E179" s="226" t="s">
        <v>97</v>
      </c>
      <c r="F179" s="227" t="s">
        <v>698</v>
      </c>
      <c r="G179" s="227" t="s">
        <v>46</v>
      </c>
      <c r="H179" s="228">
        <v>68</v>
      </c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</row>
    <row r="180" spans="1:26" ht="15.75" customHeight="1" x14ac:dyDescent="0.2">
      <c r="A180" s="224">
        <v>42889</v>
      </c>
      <c r="B180" s="225">
        <v>1369</v>
      </c>
      <c r="C180" s="225">
        <f>B180</f>
        <v>1369</v>
      </c>
      <c r="D180" s="225">
        <v>0</v>
      </c>
      <c r="E180" s="226" t="s">
        <v>125</v>
      </c>
      <c r="F180" s="227" t="s">
        <v>36</v>
      </c>
      <c r="G180" s="227" t="s">
        <v>37</v>
      </c>
      <c r="H180" s="228">
        <v>70</v>
      </c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</row>
    <row r="181" spans="1:26" ht="15.75" customHeight="1" x14ac:dyDescent="0.2">
      <c r="A181" s="224">
        <v>42899</v>
      </c>
      <c r="B181" s="225">
        <v>-50</v>
      </c>
      <c r="C181" s="225">
        <f>B181</f>
        <v>-50</v>
      </c>
      <c r="D181" s="225">
        <v>0</v>
      </c>
      <c r="E181" s="226" t="s">
        <v>118</v>
      </c>
      <c r="F181" s="227" t="s">
        <v>698</v>
      </c>
      <c r="G181" s="227" t="s">
        <v>119</v>
      </c>
      <c r="H181" s="228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</row>
    <row r="182" spans="1:26" ht="15.75" customHeight="1" x14ac:dyDescent="0.2">
      <c r="A182" s="224">
        <v>42901</v>
      </c>
      <c r="B182" s="225">
        <v>-73.260000000000005</v>
      </c>
      <c r="C182" s="225">
        <f>B182</f>
        <v>-73.260000000000005</v>
      </c>
      <c r="D182" s="225">
        <v>0</v>
      </c>
      <c r="E182" s="226" t="s">
        <v>60</v>
      </c>
      <c r="F182" s="227" t="s">
        <v>698</v>
      </c>
      <c r="G182" s="227" t="s">
        <v>61</v>
      </c>
      <c r="H182" s="228">
        <v>68</v>
      </c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</row>
    <row r="183" spans="1:26" ht="15.75" customHeight="1" x14ac:dyDescent="0.2">
      <c r="A183" s="224">
        <v>42902</v>
      </c>
      <c r="B183" s="225">
        <v>200</v>
      </c>
      <c r="C183" s="225">
        <f>B183</f>
        <v>200</v>
      </c>
      <c r="D183" s="225">
        <v>0</v>
      </c>
      <c r="E183" s="226" t="s">
        <v>38</v>
      </c>
      <c r="F183" s="227" t="s">
        <v>702</v>
      </c>
      <c r="G183" s="227" t="s">
        <v>39</v>
      </c>
      <c r="H183" s="228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</row>
    <row r="184" spans="1:26" ht="15.75" customHeight="1" x14ac:dyDescent="0.2">
      <c r="A184" s="224">
        <v>42907</v>
      </c>
      <c r="B184" s="225">
        <v>1169.9100000000001</v>
      </c>
      <c r="C184" s="225">
        <f>B184</f>
        <v>1169.9100000000001</v>
      </c>
      <c r="D184" s="225">
        <v>0</v>
      </c>
      <c r="E184" s="226" t="s">
        <v>35</v>
      </c>
      <c r="F184" s="227" t="s">
        <v>36</v>
      </c>
      <c r="G184" s="227" t="s">
        <v>37</v>
      </c>
      <c r="H184" s="228">
        <v>68</v>
      </c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</row>
    <row r="185" spans="1:26" ht="15.75" customHeight="1" x14ac:dyDescent="0.2">
      <c r="A185" s="224">
        <v>42909</v>
      </c>
      <c r="B185" s="225">
        <v>200</v>
      </c>
      <c r="C185" s="225">
        <f>B185</f>
        <v>200</v>
      </c>
      <c r="D185" s="225">
        <v>0</v>
      </c>
      <c r="E185" s="226" t="s">
        <v>133</v>
      </c>
      <c r="F185" s="227" t="s">
        <v>702</v>
      </c>
      <c r="G185" s="227" t="s">
        <v>19</v>
      </c>
      <c r="H185" s="228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</row>
    <row r="186" spans="1:26" ht="15.75" customHeight="1" x14ac:dyDescent="0.2">
      <c r="A186" s="224">
        <v>42913</v>
      </c>
      <c r="B186" s="225">
        <v>-1225.94</v>
      </c>
      <c r="C186" s="225">
        <f>B186</f>
        <v>-1225.94</v>
      </c>
      <c r="D186" s="225">
        <v>0</v>
      </c>
      <c r="E186" s="226" t="s">
        <v>40</v>
      </c>
      <c r="F186" s="227" t="s">
        <v>698</v>
      </c>
      <c r="G186" s="227" t="s">
        <v>6</v>
      </c>
      <c r="H186" s="228">
        <v>68</v>
      </c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</row>
    <row r="187" spans="1:26" ht="15.75" customHeight="1" x14ac:dyDescent="0.2">
      <c r="A187" s="224">
        <v>42914</v>
      </c>
      <c r="B187" s="225">
        <v>-1145.94</v>
      </c>
      <c r="C187" s="225">
        <f>B187</f>
        <v>-1145.94</v>
      </c>
      <c r="D187" s="225">
        <v>0</v>
      </c>
      <c r="E187" s="226" t="s">
        <v>84</v>
      </c>
      <c r="F187" s="227" t="s">
        <v>698</v>
      </c>
      <c r="G187" s="227" t="s">
        <v>6</v>
      </c>
      <c r="H187" s="228">
        <v>70</v>
      </c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</row>
    <row r="188" spans="1:26" ht="15.75" customHeight="1" x14ac:dyDescent="0.2">
      <c r="A188" s="224">
        <v>42916</v>
      </c>
      <c r="B188" s="225">
        <v>-64.69</v>
      </c>
      <c r="C188" s="225">
        <f>B188</f>
        <v>-64.69</v>
      </c>
      <c r="D188" s="225">
        <v>0</v>
      </c>
      <c r="E188" s="226" t="s">
        <v>66</v>
      </c>
      <c r="F188" s="227" t="s">
        <v>698</v>
      </c>
      <c r="G188" s="227" t="s">
        <v>61</v>
      </c>
      <c r="H188" s="228">
        <v>70</v>
      </c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</row>
    <row r="189" spans="1:26" ht="15.75" customHeight="1" x14ac:dyDescent="0.2">
      <c r="A189" s="224">
        <v>42916</v>
      </c>
      <c r="B189" s="225">
        <v>-10</v>
      </c>
      <c r="C189" s="225">
        <f>B189</f>
        <v>-10</v>
      </c>
      <c r="D189" s="225">
        <v>0</v>
      </c>
      <c r="E189" s="226" t="s">
        <v>134</v>
      </c>
      <c r="F189" s="227" t="s">
        <v>698</v>
      </c>
      <c r="G189" s="227" t="s">
        <v>46</v>
      </c>
      <c r="H189" s="228">
        <v>70</v>
      </c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</row>
    <row r="190" spans="1:26" ht="15.75" customHeight="1" x14ac:dyDescent="0.2">
      <c r="A190" s="224">
        <v>42921</v>
      </c>
      <c r="B190" s="225">
        <v>1369</v>
      </c>
      <c r="C190" s="225">
        <f>B190</f>
        <v>1369</v>
      </c>
      <c r="D190" s="225">
        <v>0</v>
      </c>
      <c r="E190" s="226" t="s">
        <v>135</v>
      </c>
      <c r="F190" s="227" t="s">
        <v>36</v>
      </c>
      <c r="G190" s="227" t="s">
        <v>37</v>
      </c>
      <c r="H190" s="228">
        <v>70</v>
      </c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</row>
    <row r="191" spans="1:26" ht="15.75" customHeight="1" x14ac:dyDescent="0.2">
      <c r="A191" s="224">
        <v>42929</v>
      </c>
      <c r="B191" s="225">
        <v>-50</v>
      </c>
      <c r="C191" s="225">
        <f>B191</f>
        <v>-50</v>
      </c>
      <c r="D191" s="225">
        <v>0</v>
      </c>
      <c r="E191" s="226" t="s">
        <v>118</v>
      </c>
      <c r="F191" s="227" t="s">
        <v>698</v>
      </c>
      <c r="G191" s="227" t="s">
        <v>119</v>
      </c>
      <c r="H191" s="228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</row>
    <row r="192" spans="1:26" ht="15.75" customHeight="1" x14ac:dyDescent="0.2">
      <c r="A192" s="224">
        <v>42933</v>
      </c>
      <c r="B192" s="225">
        <v>-73.260000000000005</v>
      </c>
      <c r="C192" s="225">
        <f>B192</f>
        <v>-73.260000000000005</v>
      </c>
      <c r="D192" s="225">
        <v>0</v>
      </c>
      <c r="E192" s="226" t="s">
        <v>60</v>
      </c>
      <c r="F192" s="227" t="s">
        <v>698</v>
      </c>
      <c r="G192" s="227" t="s">
        <v>61</v>
      </c>
      <c r="H192" s="228">
        <v>68</v>
      </c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</row>
    <row r="193" spans="1:26" ht="15.75" customHeight="1" x14ac:dyDescent="0.2">
      <c r="A193" s="224">
        <v>42933</v>
      </c>
      <c r="B193" s="225">
        <v>200</v>
      </c>
      <c r="C193" s="225">
        <f>B193</f>
        <v>200</v>
      </c>
      <c r="D193" s="225">
        <v>0</v>
      </c>
      <c r="E193" s="226" t="s">
        <v>38</v>
      </c>
      <c r="F193" s="227" t="s">
        <v>702</v>
      </c>
      <c r="G193" s="227" t="s">
        <v>39</v>
      </c>
      <c r="H193" s="228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</row>
    <row r="194" spans="1:26" ht="15.75" customHeight="1" x14ac:dyDescent="0.2">
      <c r="A194" s="224">
        <v>42935</v>
      </c>
      <c r="B194" s="225">
        <v>1000</v>
      </c>
      <c r="C194" s="225">
        <f>B194</f>
        <v>1000</v>
      </c>
      <c r="D194" s="225">
        <v>0</v>
      </c>
      <c r="E194" s="226" t="s">
        <v>136</v>
      </c>
      <c r="F194" s="227" t="s">
        <v>702</v>
      </c>
      <c r="G194" s="227" t="s">
        <v>39</v>
      </c>
      <c r="H194" s="228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</row>
    <row r="195" spans="1:26" ht="15.75" customHeight="1" x14ac:dyDescent="0.2">
      <c r="A195" s="224">
        <v>42936</v>
      </c>
      <c r="B195" s="225">
        <v>200</v>
      </c>
      <c r="C195" s="225">
        <f>B195</f>
        <v>200</v>
      </c>
      <c r="D195" s="225">
        <v>0</v>
      </c>
      <c r="E195" s="226" t="s">
        <v>137</v>
      </c>
      <c r="F195" s="227" t="s">
        <v>702</v>
      </c>
      <c r="G195" s="227" t="s">
        <v>19</v>
      </c>
      <c r="H195" s="228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</row>
    <row r="196" spans="1:26" ht="15.75" customHeight="1" x14ac:dyDescent="0.2">
      <c r="A196" s="224">
        <v>42937</v>
      </c>
      <c r="B196" s="225">
        <v>1000</v>
      </c>
      <c r="C196" s="225">
        <f>B196</f>
        <v>1000</v>
      </c>
      <c r="D196" s="225">
        <v>0</v>
      </c>
      <c r="E196" s="226" t="s">
        <v>138</v>
      </c>
      <c r="F196" s="227" t="s">
        <v>702</v>
      </c>
      <c r="G196" s="227" t="s">
        <v>19</v>
      </c>
      <c r="H196" s="228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</row>
    <row r="197" spans="1:26" ht="15.75" customHeight="1" x14ac:dyDescent="0.2">
      <c r="A197" s="224">
        <v>42940</v>
      </c>
      <c r="B197" s="225">
        <v>1169.9100000000001</v>
      </c>
      <c r="C197" s="225">
        <f>B197</f>
        <v>1169.9100000000001</v>
      </c>
      <c r="D197" s="225">
        <v>0</v>
      </c>
      <c r="E197" s="226" t="s">
        <v>35</v>
      </c>
      <c r="F197" s="227" t="s">
        <v>36</v>
      </c>
      <c r="G197" s="227" t="s">
        <v>37</v>
      </c>
      <c r="H197" s="228">
        <v>68</v>
      </c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</row>
    <row r="198" spans="1:26" ht="15.75" customHeight="1" x14ac:dyDescent="0.2">
      <c r="A198" s="224">
        <v>42943</v>
      </c>
      <c r="B198" s="225">
        <v>-1186.9100000000001</v>
      </c>
      <c r="C198" s="225">
        <f>B198</f>
        <v>-1186.9100000000001</v>
      </c>
      <c r="D198" s="225">
        <v>0</v>
      </c>
      <c r="E198" s="226" t="s">
        <v>40</v>
      </c>
      <c r="F198" s="227" t="s">
        <v>698</v>
      </c>
      <c r="G198" s="227" t="s">
        <v>6</v>
      </c>
      <c r="H198" s="228">
        <v>68</v>
      </c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</row>
    <row r="199" spans="1:26" ht="15.75" customHeight="1" x14ac:dyDescent="0.2">
      <c r="A199" s="224">
        <v>42944</v>
      </c>
      <c r="B199" s="225">
        <v>-1109.3</v>
      </c>
      <c r="C199" s="225">
        <f>B199</f>
        <v>-1109.3</v>
      </c>
      <c r="D199" s="225">
        <v>0</v>
      </c>
      <c r="E199" s="226" t="s">
        <v>84</v>
      </c>
      <c r="F199" s="227" t="s">
        <v>698</v>
      </c>
      <c r="G199" s="227" t="s">
        <v>6</v>
      </c>
      <c r="H199" s="228">
        <v>70</v>
      </c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</row>
    <row r="200" spans="1:26" ht="15.75" customHeight="1" x14ac:dyDescent="0.2">
      <c r="A200" s="224">
        <v>42948</v>
      </c>
      <c r="B200" s="225">
        <v>-71.47</v>
      </c>
      <c r="C200" s="225">
        <f>B200</f>
        <v>-71.47</v>
      </c>
      <c r="D200" s="225">
        <v>0</v>
      </c>
      <c r="E200" s="226" t="s">
        <v>66</v>
      </c>
      <c r="F200" s="227" t="s">
        <v>698</v>
      </c>
      <c r="G200" s="227" t="s">
        <v>61</v>
      </c>
      <c r="H200" s="228">
        <v>70</v>
      </c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</row>
    <row r="201" spans="1:26" ht="15.75" customHeight="1" x14ac:dyDescent="0.2">
      <c r="A201" s="224">
        <v>42951</v>
      </c>
      <c r="B201" s="225">
        <v>-222.51</v>
      </c>
      <c r="C201" s="225">
        <f>B201</f>
        <v>-222.51</v>
      </c>
      <c r="D201" s="225">
        <v>0</v>
      </c>
      <c r="E201" s="226" t="s">
        <v>73</v>
      </c>
      <c r="F201" s="227" t="s">
        <v>698</v>
      </c>
      <c r="G201" s="227" t="s">
        <v>74</v>
      </c>
      <c r="H201" s="228">
        <v>68</v>
      </c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</row>
    <row r="202" spans="1:26" ht="15.75" customHeight="1" x14ac:dyDescent="0.2">
      <c r="A202" s="224">
        <v>42956</v>
      </c>
      <c r="B202" s="225">
        <v>1369</v>
      </c>
      <c r="C202" s="225">
        <f>B202</f>
        <v>1369</v>
      </c>
      <c r="D202" s="225">
        <v>0</v>
      </c>
      <c r="E202" s="226" t="s">
        <v>139</v>
      </c>
      <c r="F202" s="227" t="s">
        <v>36</v>
      </c>
      <c r="G202" s="227" t="s">
        <v>37</v>
      </c>
      <c r="H202" s="228">
        <v>70</v>
      </c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</row>
    <row r="203" spans="1:26" ht="15.75" customHeight="1" x14ac:dyDescent="0.2">
      <c r="A203" s="224">
        <v>42958</v>
      </c>
      <c r="B203" s="225">
        <v>-239.08</v>
      </c>
      <c r="C203" s="225">
        <f>B203</f>
        <v>-239.08</v>
      </c>
      <c r="D203" s="225">
        <v>0</v>
      </c>
      <c r="E203" s="226" t="s">
        <v>140</v>
      </c>
      <c r="F203" s="227" t="s">
        <v>698</v>
      </c>
      <c r="G203" s="227" t="s">
        <v>74</v>
      </c>
      <c r="H203" s="228">
        <v>70</v>
      </c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</row>
    <row r="204" spans="1:26" ht="15.75" customHeight="1" x14ac:dyDescent="0.2">
      <c r="A204" s="224">
        <v>42960</v>
      </c>
      <c r="B204" s="225">
        <v>-50</v>
      </c>
      <c r="C204" s="225">
        <f>B204</f>
        <v>-50</v>
      </c>
      <c r="D204" s="225">
        <v>0</v>
      </c>
      <c r="E204" s="226" t="s">
        <v>118</v>
      </c>
      <c r="F204" s="227" t="s">
        <v>698</v>
      </c>
      <c r="G204" s="227" t="s">
        <v>119</v>
      </c>
      <c r="H204" s="228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</row>
    <row r="205" spans="1:26" ht="15.75" customHeight="1" x14ac:dyDescent="0.2">
      <c r="A205" s="224">
        <v>42962</v>
      </c>
      <c r="B205" s="225">
        <v>-73.260000000000005</v>
      </c>
      <c r="C205" s="225">
        <f>B205</f>
        <v>-73.260000000000005</v>
      </c>
      <c r="D205" s="225">
        <v>0</v>
      </c>
      <c r="E205" s="226" t="s">
        <v>60</v>
      </c>
      <c r="F205" s="227" t="s">
        <v>698</v>
      </c>
      <c r="G205" s="227" t="s">
        <v>61</v>
      </c>
      <c r="H205" s="228">
        <v>68</v>
      </c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</row>
    <row r="206" spans="1:26" ht="15.75" customHeight="1" x14ac:dyDescent="0.2">
      <c r="A206" s="224">
        <v>42963</v>
      </c>
      <c r="B206" s="225">
        <v>200</v>
      </c>
      <c r="C206" s="225">
        <f>B206</f>
        <v>200</v>
      </c>
      <c r="D206" s="225">
        <v>0</v>
      </c>
      <c r="E206" s="226" t="s">
        <v>38</v>
      </c>
      <c r="F206" s="227" t="s">
        <v>702</v>
      </c>
      <c r="G206" s="227" t="s">
        <v>39</v>
      </c>
      <c r="H206" s="228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</row>
    <row r="207" spans="1:26" ht="15.75" customHeight="1" x14ac:dyDescent="0.2">
      <c r="A207" s="224">
        <v>42967</v>
      </c>
      <c r="B207" s="225">
        <v>200</v>
      </c>
      <c r="C207" s="225">
        <f>B207</f>
        <v>200</v>
      </c>
      <c r="D207" s="225">
        <v>0</v>
      </c>
      <c r="E207" s="226" t="s">
        <v>137</v>
      </c>
      <c r="F207" s="227" t="s">
        <v>702</v>
      </c>
      <c r="G207" s="227" t="s">
        <v>19</v>
      </c>
      <c r="H207" s="228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</row>
    <row r="208" spans="1:26" ht="15.75" customHeight="1" x14ac:dyDescent="0.2">
      <c r="A208" s="224">
        <v>42969</v>
      </c>
      <c r="B208" s="225">
        <v>1169.9100000000001</v>
      </c>
      <c r="C208" s="225">
        <f>B208</f>
        <v>1169.9100000000001</v>
      </c>
      <c r="D208" s="225">
        <v>0</v>
      </c>
      <c r="E208" s="226" t="s">
        <v>35</v>
      </c>
      <c r="F208" s="227" t="s">
        <v>36</v>
      </c>
      <c r="G208" s="227" t="s">
        <v>37</v>
      </c>
      <c r="H208" s="228">
        <v>68</v>
      </c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</row>
    <row r="209" spans="1:26" ht="15.75" customHeight="1" x14ac:dyDescent="0.2">
      <c r="A209" s="224">
        <v>42972</v>
      </c>
      <c r="B209" s="225">
        <v>-1226.21</v>
      </c>
      <c r="C209" s="225">
        <f>B209</f>
        <v>-1226.21</v>
      </c>
      <c r="D209" s="225">
        <v>0</v>
      </c>
      <c r="E209" s="226" t="s">
        <v>40</v>
      </c>
      <c r="F209" s="227" t="s">
        <v>698</v>
      </c>
      <c r="G209" s="227" t="s">
        <v>6</v>
      </c>
      <c r="H209" s="228">
        <v>68</v>
      </c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</row>
    <row r="210" spans="1:26" ht="15.75" customHeight="1" x14ac:dyDescent="0.2">
      <c r="A210" s="224">
        <v>42975</v>
      </c>
      <c r="B210" s="225">
        <v>-1145.94</v>
      </c>
      <c r="C210" s="225">
        <f>B210</f>
        <v>-1145.94</v>
      </c>
      <c r="D210" s="225">
        <v>0</v>
      </c>
      <c r="E210" s="226" t="s">
        <v>84</v>
      </c>
      <c r="F210" s="227" t="s">
        <v>698</v>
      </c>
      <c r="G210" s="227" t="s">
        <v>6</v>
      </c>
      <c r="H210" s="228">
        <v>70</v>
      </c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</row>
    <row r="211" spans="1:26" ht="15.75" customHeight="1" x14ac:dyDescent="0.2">
      <c r="A211" s="224">
        <v>42976</v>
      </c>
      <c r="B211" s="225">
        <v>-1211</v>
      </c>
      <c r="C211" s="225">
        <f>B211</f>
        <v>-1211</v>
      </c>
      <c r="D211" s="225">
        <v>0</v>
      </c>
      <c r="E211" s="226" t="s">
        <v>141</v>
      </c>
      <c r="F211" s="227" t="s">
        <v>48</v>
      </c>
      <c r="G211" s="227" t="s">
        <v>49</v>
      </c>
      <c r="H211" s="228" t="s">
        <v>50</v>
      </c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</row>
    <row r="212" spans="1:26" ht="15.75" customHeight="1" x14ac:dyDescent="0.2">
      <c r="A212" s="224">
        <v>42977</v>
      </c>
      <c r="B212" s="225">
        <v>-71.47</v>
      </c>
      <c r="C212" s="225">
        <f>B212</f>
        <v>-71.47</v>
      </c>
      <c r="D212" s="225">
        <v>0</v>
      </c>
      <c r="E212" s="226" t="s">
        <v>66</v>
      </c>
      <c r="F212" s="227" t="s">
        <v>698</v>
      </c>
      <c r="G212" s="227" t="s">
        <v>61</v>
      </c>
      <c r="H212" s="228">
        <v>70</v>
      </c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</row>
    <row r="213" spans="1:26" ht="15.75" customHeight="1" x14ac:dyDescent="0.2">
      <c r="A213" s="224">
        <v>42981</v>
      </c>
      <c r="B213" s="225">
        <v>-2200</v>
      </c>
      <c r="C213" s="225">
        <f>B213</f>
        <v>-2200</v>
      </c>
      <c r="D213" s="225">
        <v>0</v>
      </c>
      <c r="E213" s="226" t="s">
        <v>142</v>
      </c>
      <c r="F213" s="227" t="s">
        <v>48</v>
      </c>
      <c r="G213" s="227" t="s">
        <v>49</v>
      </c>
      <c r="H213" s="228" t="s">
        <v>128</v>
      </c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</row>
    <row r="214" spans="1:26" ht="15.75" customHeight="1" x14ac:dyDescent="0.2">
      <c r="A214" s="224">
        <v>42989</v>
      </c>
      <c r="B214" s="225">
        <v>1100</v>
      </c>
      <c r="C214" s="225">
        <f>B214</f>
        <v>1100</v>
      </c>
      <c r="D214" s="225">
        <v>0</v>
      </c>
      <c r="E214" s="226" t="s">
        <v>143</v>
      </c>
      <c r="F214" s="227" t="s">
        <v>702</v>
      </c>
      <c r="G214" s="227" t="s">
        <v>39</v>
      </c>
      <c r="H214" s="228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</row>
    <row r="215" spans="1:26" ht="15.75" customHeight="1" x14ac:dyDescent="0.2">
      <c r="A215" s="224">
        <v>42989</v>
      </c>
      <c r="B215" s="225">
        <v>1100</v>
      </c>
      <c r="C215" s="225">
        <f>B215</f>
        <v>1100</v>
      </c>
      <c r="D215" s="225">
        <v>0</v>
      </c>
      <c r="E215" s="226" t="s">
        <v>144</v>
      </c>
      <c r="F215" s="227" t="s">
        <v>702</v>
      </c>
      <c r="G215" s="227" t="s">
        <v>19</v>
      </c>
      <c r="H215" s="228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</row>
    <row r="216" spans="1:26" ht="15.75" customHeight="1" x14ac:dyDescent="0.2">
      <c r="A216" s="224">
        <v>42990</v>
      </c>
      <c r="B216" s="225">
        <v>1369</v>
      </c>
      <c r="C216" s="225">
        <f>B216</f>
        <v>1369</v>
      </c>
      <c r="D216" s="225">
        <v>0</v>
      </c>
      <c r="E216" s="226" t="s">
        <v>139</v>
      </c>
      <c r="F216" s="227" t="s">
        <v>36</v>
      </c>
      <c r="G216" s="227" t="s">
        <v>37</v>
      </c>
      <c r="H216" s="228">
        <v>70</v>
      </c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</row>
    <row r="217" spans="1:26" ht="15.75" customHeight="1" x14ac:dyDescent="0.2">
      <c r="A217" s="224">
        <v>42991</v>
      </c>
      <c r="B217" s="225">
        <v>-50</v>
      </c>
      <c r="C217" s="225">
        <f>B217</f>
        <v>-50</v>
      </c>
      <c r="D217" s="225">
        <v>0</v>
      </c>
      <c r="E217" s="226" t="s">
        <v>118</v>
      </c>
      <c r="F217" s="227" t="s">
        <v>698</v>
      </c>
      <c r="G217" s="227" t="s">
        <v>119</v>
      </c>
      <c r="H217" s="228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</row>
    <row r="218" spans="1:26" ht="15.75" customHeight="1" x14ac:dyDescent="0.2">
      <c r="A218" s="224">
        <v>42993</v>
      </c>
      <c r="B218" s="225">
        <v>-73.260000000000005</v>
      </c>
      <c r="C218" s="225">
        <f>B218</f>
        <v>-73.260000000000005</v>
      </c>
      <c r="D218" s="225">
        <v>0</v>
      </c>
      <c r="E218" s="226" t="s">
        <v>60</v>
      </c>
      <c r="F218" s="227" t="s">
        <v>698</v>
      </c>
      <c r="G218" s="227" t="s">
        <v>61</v>
      </c>
      <c r="H218" s="228">
        <v>68</v>
      </c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</row>
    <row r="219" spans="1:26" ht="15.75" customHeight="1" x14ac:dyDescent="0.2">
      <c r="A219" s="224">
        <v>42996</v>
      </c>
      <c r="B219" s="225">
        <v>200</v>
      </c>
      <c r="C219" s="225">
        <f>B219</f>
        <v>200</v>
      </c>
      <c r="D219" s="225">
        <v>0</v>
      </c>
      <c r="E219" s="226" t="s">
        <v>38</v>
      </c>
      <c r="F219" s="227" t="s">
        <v>702</v>
      </c>
      <c r="G219" s="227" t="s">
        <v>39</v>
      </c>
      <c r="H219" s="228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</row>
    <row r="220" spans="1:26" ht="15.75" customHeight="1" x14ac:dyDescent="0.2">
      <c r="A220" s="224">
        <v>42998</v>
      </c>
      <c r="B220" s="225">
        <v>200</v>
      </c>
      <c r="C220" s="225">
        <f>B220</f>
        <v>200</v>
      </c>
      <c r="D220" s="225">
        <v>0</v>
      </c>
      <c r="E220" s="226" t="s">
        <v>137</v>
      </c>
      <c r="F220" s="227" t="s">
        <v>702</v>
      </c>
      <c r="G220" s="227" t="s">
        <v>19</v>
      </c>
      <c r="H220" s="228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</row>
    <row r="221" spans="1:26" ht="15.75" customHeight="1" x14ac:dyDescent="0.2">
      <c r="A221" s="224">
        <v>43000</v>
      </c>
      <c r="B221" s="225">
        <v>1169.9100000000001</v>
      </c>
      <c r="C221" s="225">
        <f>B221</f>
        <v>1169.9100000000001</v>
      </c>
      <c r="D221" s="225">
        <v>0</v>
      </c>
      <c r="E221" s="226" t="s">
        <v>35</v>
      </c>
      <c r="F221" s="227" t="s">
        <v>36</v>
      </c>
      <c r="G221" s="227" t="s">
        <v>37</v>
      </c>
      <c r="H221" s="228">
        <v>68</v>
      </c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</row>
    <row r="222" spans="1:26" ht="15.75" customHeight="1" x14ac:dyDescent="0.2">
      <c r="A222" s="224">
        <v>43005</v>
      </c>
      <c r="B222" s="225">
        <v>-1297.45</v>
      </c>
      <c r="C222" s="225">
        <f>B222</f>
        <v>-1297.45</v>
      </c>
      <c r="D222" s="225">
        <v>0</v>
      </c>
      <c r="E222" s="226" t="s">
        <v>40</v>
      </c>
      <c r="F222" s="227" t="s">
        <v>698</v>
      </c>
      <c r="G222" s="227" t="s">
        <v>6</v>
      </c>
      <c r="H222" s="228">
        <v>68</v>
      </c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</row>
    <row r="223" spans="1:26" ht="15.75" customHeight="1" x14ac:dyDescent="0.2">
      <c r="A223" s="224">
        <v>43006</v>
      </c>
      <c r="B223" s="225">
        <v>-1145.94</v>
      </c>
      <c r="C223" s="225">
        <f>B223</f>
        <v>-1145.94</v>
      </c>
      <c r="D223" s="225">
        <v>0</v>
      </c>
      <c r="E223" s="226" t="s">
        <v>84</v>
      </c>
      <c r="F223" s="227" t="s">
        <v>698</v>
      </c>
      <c r="G223" s="227" t="s">
        <v>6</v>
      </c>
      <c r="H223" s="228">
        <v>70</v>
      </c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</row>
    <row r="224" spans="1:26" ht="15.75" customHeight="1" x14ac:dyDescent="0.2">
      <c r="A224" s="224">
        <v>43007</v>
      </c>
      <c r="B224" s="225">
        <v>-4169</v>
      </c>
      <c r="C224" s="225">
        <f>B224</f>
        <v>-4169</v>
      </c>
      <c r="D224" s="225">
        <v>0</v>
      </c>
      <c r="E224" s="226" t="s">
        <v>145</v>
      </c>
      <c r="F224" s="227" t="s">
        <v>48</v>
      </c>
      <c r="G224" s="227" t="s">
        <v>49</v>
      </c>
      <c r="H224" s="228" t="s">
        <v>146</v>
      </c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</row>
    <row r="225" spans="1:26" ht="15.75" customHeight="1" x14ac:dyDescent="0.2">
      <c r="A225" s="224">
        <v>43008</v>
      </c>
      <c r="B225" s="225">
        <v>-268.60000000000002</v>
      </c>
      <c r="C225" s="225">
        <f>B225</f>
        <v>-268.60000000000002</v>
      </c>
      <c r="D225" s="225">
        <v>0</v>
      </c>
      <c r="E225" s="226" t="s">
        <v>97</v>
      </c>
      <c r="F225" s="227" t="s">
        <v>698</v>
      </c>
      <c r="G225" s="227" t="s">
        <v>46</v>
      </c>
      <c r="H225" s="228">
        <v>68</v>
      </c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</row>
    <row r="226" spans="1:26" ht="15.75" customHeight="1" x14ac:dyDescent="0.2">
      <c r="A226" s="224">
        <v>43010</v>
      </c>
      <c r="B226" s="225">
        <v>-71.47</v>
      </c>
      <c r="C226" s="225">
        <f>B226</f>
        <v>-71.47</v>
      </c>
      <c r="D226" s="225">
        <v>0</v>
      </c>
      <c r="E226" s="226" t="s">
        <v>66</v>
      </c>
      <c r="F226" s="227" t="s">
        <v>698</v>
      </c>
      <c r="G226" s="227" t="s">
        <v>61</v>
      </c>
      <c r="H226" s="228">
        <v>70</v>
      </c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</row>
    <row r="227" spans="1:26" ht="15.75" customHeight="1" x14ac:dyDescent="0.2">
      <c r="A227" s="224">
        <v>43011</v>
      </c>
      <c r="B227" s="225">
        <v>1369</v>
      </c>
      <c r="C227" s="225">
        <f>B227</f>
        <v>1369</v>
      </c>
      <c r="D227" s="225">
        <v>0</v>
      </c>
      <c r="E227" s="226" t="s">
        <v>139</v>
      </c>
      <c r="F227" s="227" t="s">
        <v>36</v>
      </c>
      <c r="G227" s="227" t="s">
        <v>37</v>
      </c>
      <c r="H227" s="228">
        <v>70</v>
      </c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</row>
    <row r="228" spans="1:26" ht="15.75" customHeight="1" x14ac:dyDescent="0.2">
      <c r="A228" s="224">
        <v>43021</v>
      </c>
      <c r="B228" s="225">
        <v>-50</v>
      </c>
      <c r="C228" s="225">
        <f>B228</f>
        <v>-50</v>
      </c>
      <c r="D228" s="225">
        <v>0</v>
      </c>
      <c r="E228" s="226" t="s">
        <v>118</v>
      </c>
      <c r="F228" s="227" t="s">
        <v>698</v>
      </c>
      <c r="G228" s="227" t="s">
        <v>119</v>
      </c>
      <c r="H228" s="228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</row>
    <row r="229" spans="1:26" ht="15.75" customHeight="1" x14ac:dyDescent="0.2">
      <c r="A229" s="224">
        <v>43021</v>
      </c>
      <c r="B229" s="225">
        <v>1100</v>
      </c>
      <c r="C229" s="225">
        <f>B229</f>
        <v>1100</v>
      </c>
      <c r="D229" s="225">
        <v>0</v>
      </c>
      <c r="E229" s="226" t="s">
        <v>147</v>
      </c>
      <c r="F229" s="227" t="s">
        <v>702</v>
      </c>
      <c r="G229" s="227" t="s">
        <v>39</v>
      </c>
      <c r="H229" s="228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</row>
    <row r="230" spans="1:26" ht="15.75" customHeight="1" x14ac:dyDescent="0.2">
      <c r="A230" s="224">
        <v>43024</v>
      </c>
      <c r="B230" s="225">
        <v>200</v>
      </c>
      <c r="C230" s="225">
        <f>B230</f>
        <v>200</v>
      </c>
      <c r="D230" s="225">
        <v>0</v>
      </c>
      <c r="E230" s="226" t="s">
        <v>38</v>
      </c>
      <c r="F230" s="227" t="s">
        <v>702</v>
      </c>
      <c r="G230" s="227" t="s">
        <v>39</v>
      </c>
      <c r="H230" s="228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</row>
    <row r="231" spans="1:26" ht="15.75" customHeight="1" x14ac:dyDescent="0.2">
      <c r="A231" s="224">
        <v>43025</v>
      </c>
      <c r="B231" s="225">
        <v>-73.260000000000005</v>
      </c>
      <c r="C231" s="225">
        <f>B231</f>
        <v>-73.260000000000005</v>
      </c>
      <c r="D231" s="225">
        <v>0</v>
      </c>
      <c r="E231" s="226" t="s">
        <v>60</v>
      </c>
      <c r="F231" s="227" t="s">
        <v>698</v>
      </c>
      <c r="G231" s="227" t="s">
        <v>61</v>
      </c>
      <c r="H231" s="228">
        <v>68</v>
      </c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</row>
    <row r="232" spans="1:26" ht="15.75" customHeight="1" x14ac:dyDescent="0.2">
      <c r="A232" s="224">
        <v>43026</v>
      </c>
      <c r="B232" s="225">
        <v>-258.60000000000002</v>
      </c>
      <c r="C232" s="225">
        <f>B232</f>
        <v>-258.60000000000002</v>
      </c>
      <c r="D232" s="225">
        <v>0</v>
      </c>
      <c r="E232" s="226" t="s">
        <v>134</v>
      </c>
      <c r="F232" s="227" t="s">
        <v>698</v>
      </c>
      <c r="G232" s="227" t="s">
        <v>46</v>
      </c>
      <c r="H232" s="228">
        <v>70</v>
      </c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</row>
    <row r="233" spans="1:26" ht="15.75" customHeight="1" x14ac:dyDescent="0.2">
      <c r="A233" s="224">
        <v>43028</v>
      </c>
      <c r="B233" s="225">
        <v>200</v>
      </c>
      <c r="C233" s="225">
        <f>B233</f>
        <v>200</v>
      </c>
      <c r="D233" s="225">
        <v>0</v>
      </c>
      <c r="E233" s="226" t="s">
        <v>137</v>
      </c>
      <c r="F233" s="227" t="s">
        <v>702</v>
      </c>
      <c r="G233" s="227" t="s">
        <v>19</v>
      </c>
      <c r="H233" s="228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</row>
    <row r="234" spans="1:26" ht="15.75" customHeight="1" x14ac:dyDescent="0.2">
      <c r="A234" s="224">
        <v>43031</v>
      </c>
      <c r="B234" s="225">
        <v>1169.9100000000001</v>
      </c>
      <c r="C234" s="225">
        <f>B234</f>
        <v>1169.9100000000001</v>
      </c>
      <c r="D234" s="225">
        <v>0</v>
      </c>
      <c r="E234" s="226" t="s">
        <v>35</v>
      </c>
      <c r="F234" s="227" t="s">
        <v>36</v>
      </c>
      <c r="G234" s="227" t="s">
        <v>37</v>
      </c>
      <c r="H234" s="228">
        <v>68</v>
      </c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</row>
    <row r="235" spans="1:26" ht="15.75" customHeight="1" x14ac:dyDescent="0.2">
      <c r="A235" s="224">
        <v>43035</v>
      </c>
      <c r="B235" s="225">
        <v>-1276.5</v>
      </c>
      <c r="C235" s="225">
        <f>B235</f>
        <v>-1276.5</v>
      </c>
      <c r="D235" s="225">
        <v>0</v>
      </c>
      <c r="E235" s="226" t="s">
        <v>40</v>
      </c>
      <c r="F235" s="227" t="s">
        <v>698</v>
      </c>
      <c r="G235" s="227" t="s">
        <v>6</v>
      </c>
      <c r="H235" s="228">
        <v>68</v>
      </c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</row>
    <row r="236" spans="1:26" ht="15.75" customHeight="1" x14ac:dyDescent="0.2">
      <c r="A236" s="224">
        <v>43038</v>
      </c>
      <c r="B236" s="225">
        <v>-1109.3</v>
      </c>
      <c r="C236" s="225">
        <f>B236</f>
        <v>-1109.3</v>
      </c>
      <c r="D236" s="225">
        <v>0</v>
      </c>
      <c r="E236" s="226" t="s">
        <v>84</v>
      </c>
      <c r="F236" s="227" t="s">
        <v>698</v>
      </c>
      <c r="G236" s="227" t="s">
        <v>6</v>
      </c>
      <c r="H236" s="228">
        <v>70</v>
      </c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</row>
    <row r="237" spans="1:26" ht="15.75" customHeight="1" x14ac:dyDescent="0.2">
      <c r="A237" s="224">
        <v>43038</v>
      </c>
      <c r="B237" s="225">
        <v>-146.66</v>
      </c>
      <c r="C237" s="225">
        <f>B237</f>
        <v>-146.66</v>
      </c>
      <c r="D237" s="225">
        <v>0</v>
      </c>
      <c r="E237" s="226" t="s">
        <v>73</v>
      </c>
      <c r="F237" s="227" t="s">
        <v>698</v>
      </c>
      <c r="G237" s="227" t="s">
        <v>74</v>
      </c>
      <c r="H237" s="228">
        <v>68</v>
      </c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</row>
    <row r="238" spans="1:26" ht="15.75" customHeight="1" x14ac:dyDescent="0.2">
      <c r="A238" s="224">
        <v>43038</v>
      </c>
      <c r="B238" s="225">
        <v>-146.66</v>
      </c>
      <c r="C238" s="225">
        <f>B238</f>
        <v>-146.66</v>
      </c>
      <c r="D238" s="225">
        <v>0</v>
      </c>
      <c r="E238" s="226" t="s">
        <v>140</v>
      </c>
      <c r="F238" s="227" t="s">
        <v>698</v>
      </c>
      <c r="G238" s="227" t="s">
        <v>74</v>
      </c>
      <c r="H238" s="228">
        <v>70</v>
      </c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</row>
    <row r="239" spans="1:26" ht="15.75" customHeight="1" x14ac:dyDescent="0.2">
      <c r="A239" s="224">
        <v>43039</v>
      </c>
      <c r="B239" s="225">
        <v>-71.47</v>
      </c>
      <c r="C239" s="225">
        <f>B239</f>
        <v>-71.47</v>
      </c>
      <c r="D239" s="225">
        <v>0</v>
      </c>
      <c r="E239" s="226" t="s">
        <v>66</v>
      </c>
      <c r="F239" s="227" t="s">
        <v>698</v>
      </c>
      <c r="G239" s="227" t="s">
        <v>61</v>
      </c>
      <c r="H239" s="228">
        <v>70</v>
      </c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</row>
    <row r="240" spans="1:26" ht="15.75" customHeight="1" x14ac:dyDescent="0.2">
      <c r="A240" s="224">
        <v>43052</v>
      </c>
      <c r="B240" s="225">
        <v>-50</v>
      </c>
      <c r="C240" s="225">
        <f>B240</f>
        <v>-50</v>
      </c>
      <c r="D240" s="225">
        <v>0</v>
      </c>
      <c r="E240" s="226" t="s">
        <v>118</v>
      </c>
      <c r="F240" s="227" t="s">
        <v>698</v>
      </c>
      <c r="G240" s="227" t="s">
        <v>119</v>
      </c>
      <c r="H240" s="228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</row>
    <row r="241" spans="1:26" ht="15.75" customHeight="1" x14ac:dyDescent="0.2">
      <c r="A241" s="224">
        <v>43054</v>
      </c>
      <c r="B241" s="225">
        <v>-73.260000000000005</v>
      </c>
      <c r="C241" s="225">
        <f>B241</f>
        <v>-73.260000000000005</v>
      </c>
      <c r="D241" s="225">
        <v>0</v>
      </c>
      <c r="E241" s="226" t="s">
        <v>60</v>
      </c>
      <c r="F241" s="227" t="s">
        <v>698</v>
      </c>
      <c r="G241" s="227" t="s">
        <v>61</v>
      </c>
      <c r="H241" s="228">
        <v>68</v>
      </c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</row>
    <row r="242" spans="1:26" ht="15.75" customHeight="1" x14ac:dyDescent="0.2">
      <c r="A242" s="224">
        <v>43055</v>
      </c>
      <c r="B242" s="225">
        <v>200</v>
      </c>
      <c r="C242" s="225">
        <f>B242</f>
        <v>200</v>
      </c>
      <c r="D242" s="225">
        <v>0</v>
      </c>
      <c r="E242" s="226" t="s">
        <v>38</v>
      </c>
      <c r="F242" s="227" t="s">
        <v>702</v>
      </c>
      <c r="G242" s="227" t="s">
        <v>39</v>
      </c>
      <c r="H242" s="228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</row>
    <row r="243" spans="1:26" ht="15.75" customHeight="1" x14ac:dyDescent="0.2">
      <c r="A243" s="224">
        <v>43059</v>
      </c>
      <c r="B243" s="225">
        <v>200</v>
      </c>
      <c r="C243" s="225">
        <f>B243</f>
        <v>200</v>
      </c>
      <c r="D243" s="225">
        <v>0</v>
      </c>
      <c r="E243" s="226" t="s">
        <v>137</v>
      </c>
      <c r="F243" s="227" t="s">
        <v>702</v>
      </c>
      <c r="G243" s="227" t="s">
        <v>19</v>
      </c>
      <c r="H243" s="228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</row>
    <row r="244" spans="1:26" ht="15.75" customHeight="1" x14ac:dyDescent="0.2">
      <c r="A244" s="224">
        <v>43060</v>
      </c>
      <c r="B244" s="225">
        <v>1369</v>
      </c>
      <c r="C244" s="225">
        <f>B244</f>
        <v>1369</v>
      </c>
      <c r="D244" s="225">
        <v>0</v>
      </c>
      <c r="E244" s="226" t="s">
        <v>139</v>
      </c>
      <c r="F244" s="227" t="s">
        <v>36</v>
      </c>
      <c r="G244" s="227" t="s">
        <v>37</v>
      </c>
      <c r="H244" s="228">
        <v>70</v>
      </c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</row>
    <row r="245" spans="1:26" ht="16.5" customHeight="1" x14ac:dyDescent="0.2">
      <c r="A245" s="224">
        <v>43061</v>
      </c>
      <c r="B245" s="225">
        <v>1169.9100000000001</v>
      </c>
      <c r="C245" s="225">
        <f>B245</f>
        <v>1169.9100000000001</v>
      </c>
      <c r="D245" s="225">
        <v>0</v>
      </c>
      <c r="E245" s="226" t="s">
        <v>35</v>
      </c>
      <c r="F245" s="227" t="s">
        <v>36</v>
      </c>
      <c r="G245" s="227" t="s">
        <v>37</v>
      </c>
      <c r="H245" s="228">
        <v>68</v>
      </c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</row>
    <row r="246" spans="1:26" ht="15.75" customHeight="1" x14ac:dyDescent="0.2">
      <c r="A246" s="224">
        <v>43066</v>
      </c>
      <c r="B246" s="225">
        <v>-1318.82</v>
      </c>
      <c r="C246" s="225">
        <f>B246</f>
        <v>-1318.82</v>
      </c>
      <c r="D246" s="225">
        <v>0</v>
      </c>
      <c r="E246" s="226" t="s">
        <v>40</v>
      </c>
      <c r="F246" s="227" t="s">
        <v>698</v>
      </c>
      <c r="G246" s="227" t="s">
        <v>6</v>
      </c>
      <c r="H246" s="228">
        <v>68</v>
      </c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</row>
    <row r="247" spans="1:26" ht="15.75" customHeight="1" x14ac:dyDescent="0.2">
      <c r="A247" s="224">
        <v>43067</v>
      </c>
      <c r="B247" s="225">
        <v>-1145.94</v>
      </c>
      <c r="C247" s="225">
        <f>B247</f>
        <v>-1145.94</v>
      </c>
      <c r="D247" s="225">
        <v>0</v>
      </c>
      <c r="E247" s="226" t="s">
        <v>84</v>
      </c>
      <c r="F247" s="227" t="s">
        <v>698</v>
      </c>
      <c r="G247" s="227" t="s">
        <v>6</v>
      </c>
      <c r="H247" s="228">
        <v>70</v>
      </c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</row>
    <row r="248" spans="1:26" ht="15.75" customHeight="1" x14ac:dyDescent="0.2">
      <c r="A248" s="224">
        <v>43069</v>
      </c>
      <c r="B248" s="225">
        <v>-267</v>
      </c>
      <c r="C248" s="225">
        <f>B248</f>
        <v>-267</v>
      </c>
      <c r="D248" s="225">
        <v>0</v>
      </c>
      <c r="E248" s="226" t="s">
        <v>134</v>
      </c>
      <c r="F248" s="227" t="s">
        <v>698</v>
      </c>
      <c r="G248" s="227" t="s">
        <v>46</v>
      </c>
      <c r="H248" s="228">
        <v>70</v>
      </c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</row>
    <row r="249" spans="1:26" ht="15.75" customHeight="1" x14ac:dyDescent="0.2">
      <c r="A249" s="224">
        <v>43069</v>
      </c>
      <c r="B249" s="225">
        <v>-267</v>
      </c>
      <c r="C249" s="225">
        <f>B249</f>
        <v>-267</v>
      </c>
      <c r="D249" s="225">
        <v>0</v>
      </c>
      <c r="E249" s="226" t="s">
        <v>97</v>
      </c>
      <c r="F249" s="227" t="s">
        <v>698</v>
      </c>
      <c r="G249" s="227" t="s">
        <v>46</v>
      </c>
      <c r="H249" s="228">
        <v>68</v>
      </c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</row>
    <row r="250" spans="1:26" ht="15.75" customHeight="1" x14ac:dyDescent="0.2">
      <c r="A250" s="224">
        <v>43069</v>
      </c>
      <c r="B250" s="225">
        <v>-71.47</v>
      </c>
      <c r="C250" s="225">
        <f>B250</f>
        <v>-71.47</v>
      </c>
      <c r="D250" s="225">
        <v>0</v>
      </c>
      <c r="E250" s="226" t="s">
        <v>66</v>
      </c>
      <c r="F250" s="227" t="s">
        <v>698</v>
      </c>
      <c r="G250" s="227" t="s">
        <v>61</v>
      </c>
      <c r="H250" s="228">
        <v>70</v>
      </c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</row>
    <row r="251" spans="1:26" ht="15.75" customHeight="1" x14ac:dyDescent="0.2">
      <c r="A251" s="224">
        <v>43074</v>
      </c>
      <c r="B251" s="225">
        <v>1100</v>
      </c>
      <c r="C251" s="225">
        <f>B251</f>
        <v>1100</v>
      </c>
      <c r="D251" s="225">
        <v>0</v>
      </c>
      <c r="E251" s="226" t="s">
        <v>148</v>
      </c>
      <c r="F251" s="227" t="s">
        <v>702</v>
      </c>
      <c r="G251" s="227" t="s">
        <v>19</v>
      </c>
      <c r="H251" s="228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</row>
    <row r="252" spans="1:26" ht="15.75" customHeight="1" x14ac:dyDescent="0.2">
      <c r="A252" s="224">
        <v>43082</v>
      </c>
      <c r="B252" s="225">
        <v>-50</v>
      </c>
      <c r="C252" s="225">
        <f>B252</f>
        <v>-50</v>
      </c>
      <c r="D252" s="225">
        <v>0</v>
      </c>
      <c r="E252" s="226" t="s">
        <v>118</v>
      </c>
      <c r="F252" s="227" t="s">
        <v>698</v>
      </c>
      <c r="G252" s="227" t="s">
        <v>119</v>
      </c>
      <c r="H252" s="228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</row>
    <row r="253" spans="1:26" ht="15.75" customHeight="1" x14ac:dyDescent="0.2">
      <c r="A253" s="224">
        <v>43084</v>
      </c>
      <c r="B253" s="225">
        <v>-73.260000000000005</v>
      </c>
      <c r="C253" s="225">
        <f>B253</f>
        <v>-73.260000000000005</v>
      </c>
      <c r="D253" s="225">
        <v>0</v>
      </c>
      <c r="E253" s="226" t="s">
        <v>60</v>
      </c>
      <c r="F253" s="227" t="s">
        <v>698</v>
      </c>
      <c r="G253" s="227" t="s">
        <v>61</v>
      </c>
      <c r="H253" s="228">
        <v>68</v>
      </c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</row>
    <row r="254" spans="1:26" ht="15.75" customHeight="1" x14ac:dyDescent="0.2">
      <c r="A254" s="224">
        <v>43087</v>
      </c>
      <c r="B254" s="225">
        <v>200</v>
      </c>
      <c r="C254" s="225">
        <f>B254</f>
        <v>200</v>
      </c>
      <c r="D254" s="225">
        <v>0</v>
      </c>
      <c r="E254" s="226" t="s">
        <v>38</v>
      </c>
      <c r="F254" s="227" t="s">
        <v>702</v>
      </c>
      <c r="G254" s="227" t="s">
        <v>39</v>
      </c>
      <c r="H254" s="228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</row>
    <row r="255" spans="1:26" ht="15.75" customHeight="1" x14ac:dyDescent="0.2">
      <c r="A255" s="224">
        <v>43088</v>
      </c>
      <c r="B255" s="225">
        <v>1369</v>
      </c>
      <c r="C255" s="225">
        <f>B255</f>
        <v>1369</v>
      </c>
      <c r="D255" s="225">
        <v>0</v>
      </c>
      <c r="E255" s="226" t="s">
        <v>125</v>
      </c>
      <c r="F255" s="227" t="s">
        <v>36</v>
      </c>
      <c r="G255" s="227" t="s">
        <v>37</v>
      </c>
      <c r="H255" s="228">
        <v>70</v>
      </c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</row>
    <row r="256" spans="1:26" ht="15.75" customHeight="1" x14ac:dyDescent="0.2">
      <c r="A256" s="224">
        <v>43089</v>
      </c>
      <c r="B256" s="225">
        <v>200</v>
      </c>
      <c r="C256" s="225">
        <f>B256</f>
        <v>200</v>
      </c>
      <c r="D256" s="225">
        <v>0</v>
      </c>
      <c r="E256" s="226" t="s">
        <v>137</v>
      </c>
      <c r="F256" s="227" t="s">
        <v>702</v>
      </c>
      <c r="G256" s="227" t="s">
        <v>19</v>
      </c>
      <c r="H256" s="228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</row>
    <row r="257" spans="1:26" ht="15.75" customHeight="1" x14ac:dyDescent="0.2">
      <c r="A257" s="224">
        <v>43090</v>
      </c>
      <c r="B257" s="225">
        <v>-1320</v>
      </c>
      <c r="C257" s="225">
        <f>B257</f>
        <v>-1320</v>
      </c>
      <c r="D257" s="225">
        <v>0</v>
      </c>
      <c r="E257" s="226" t="s">
        <v>149</v>
      </c>
      <c r="F257" s="227" t="s">
        <v>48</v>
      </c>
      <c r="G257" s="227" t="s">
        <v>49</v>
      </c>
      <c r="H257" s="228" t="s">
        <v>50</v>
      </c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</row>
    <row r="258" spans="1:26" ht="15.75" customHeight="1" x14ac:dyDescent="0.2">
      <c r="A258" s="224">
        <v>43090</v>
      </c>
      <c r="B258" s="225">
        <v>1238</v>
      </c>
      <c r="C258" s="225">
        <f>B258</f>
        <v>1238</v>
      </c>
      <c r="D258" s="225">
        <v>0</v>
      </c>
      <c r="E258" s="226" t="s">
        <v>150</v>
      </c>
      <c r="F258" s="227" t="s">
        <v>36</v>
      </c>
      <c r="G258" s="227" t="s">
        <v>37</v>
      </c>
      <c r="H258" s="228">
        <v>68</v>
      </c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</row>
    <row r="259" spans="1:26" ht="15.75" customHeight="1" x14ac:dyDescent="0.2">
      <c r="A259" s="224">
        <v>43096</v>
      </c>
      <c r="B259" s="225">
        <v>-1276.58</v>
      </c>
      <c r="C259" s="225">
        <f>B259</f>
        <v>-1276.58</v>
      </c>
      <c r="D259" s="225">
        <v>0</v>
      </c>
      <c r="E259" s="226" t="s">
        <v>40</v>
      </c>
      <c r="F259" s="227" t="s">
        <v>698</v>
      </c>
      <c r="G259" s="227" t="s">
        <v>6</v>
      </c>
      <c r="H259" s="228">
        <v>68</v>
      </c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</row>
    <row r="260" spans="1:26" ht="15.75" customHeight="1" x14ac:dyDescent="0.2">
      <c r="A260" s="224">
        <v>43097</v>
      </c>
      <c r="B260" s="225">
        <v>-1109.3</v>
      </c>
      <c r="C260" s="225">
        <f>B260</f>
        <v>-1109.3</v>
      </c>
      <c r="D260" s="225">
        <v>0</v>
      </c>
      <c r="E260" s="226" t="s">
        <v>84</v>
      </c>
      <c r="F260" s="227" t="s">
        <v>698</v>
      </c>
      <c r="G260" s="227" t="s">
        <v>6</v>
      </c>
      <c r="H260" s="228">
        <v>70</v>
      </c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</row>
    <row r="261" spans="1:26" ht="15.75" customHeight="1" x14ac:dyDescent="0.2">
      <c r="A261" s="224">
        <v>43098</v>
      </c>
      <c r="B261" s="225">
        <v>-5</v>
      </c>
      <c r="C261" s="225">
        <f>B261</f>
        <v>-5</v>
      </c>
      <c r="D261" s="225">
        <v>0</v>
      </c>
      <c r="E261" s="226" t="s">
        <v>151</v>
      </c>
      <c r="F261" s="227" t="s">
        <v>11</v>
      </c>
      <c r="G261" s="227" t="s">
        <v>103</v>
      </c>
      <c r="H261" s="228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</row>
    <row r="262" spans="1:26" ht="15.75" customHeight="1" x14ac:dyDescent="0.2">
      <c r="A262" s="224">
        <v>43098</v>
      </c>
      <c r="B262" s="225">
        <v>1109.3</v>
      </c>
      <c r="C262" s="225">
        <f>B262</f>
        <v>1109.3</v>
      </c>
      <c r="D262" s="225">
        <v>0</v>
      </c>
      <c r="E262" s="226" t="s">
        <v>152</v>
      </c>
      <c r="F262" s="227" t="s">
        <v>698</v>
      </c>
      <c r="G262" s="227" t="s">
        <v>6</v>
      </c>
      <c r="H262" s="228">
        <v>70</v>
      </c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</row>
    <row r="263" spans="1:26" ht="15.75" customHeight="1" x14ac:dyDescent="0.2">
      <c r="A263" s="224">
        <v>43102</v>
      </c>
      <c r="B263" s="225">
        <v>-71.47</v>
      </c>
      <c r="C263" s="225">
        <f>B263</f>
        <v>-71.47</v>
      </c>
      <c r="D263" s="225">
        <v>0</v>
      </c>
      <c r="E263" s="226" t="s">
        <v>66</v>
      </c>
      <c r="F263" s="227" t="s">
        <v>698</v>
      </c>
      <c r="G263" s="227" t="s">
        <v>61</v>
      </c>
      <c r="H263" s="228">
        <v>70</v>
      </c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</row>
    <row r="264" spans="1:26" ht="15.75" customHeight="1" x14ac:dyDescent="0.2">
      <c r="A264" s="224">
        <v>43111</v>
      </c>
      <c r="B264" s="225">
        <v>250</v>
      </c>
      <c r="C264" s="225">
        <f>B264</f>
        <v>250</v>
      </c>
      <c r="D264" s="225">
        <v>0</v>
      </c>
      <c r="E264" s="226" t="s">
        <v>80</v>
      </c>
      <c r="F264" s="227" t="s">
        <v>702</v>
      </c>
      <c r="G264" s="227" t="s">
        <v>39</v>
      </c>
      <c r="H264" s="228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</row>
    <row r="265" spans="1:26" ht="15.75" customHeight="1" x14ac:dyDescent="0.2">
      <c r="A265" s="224">
        <v>43113</v>
      </c>
      <c r="B265" s="225">
        <v>-55</v>
      </c>
      <c r="C265" s="225">
        <f>B265</f>
        <v>-55</v>
      </c>
      <c r="D265" s="225">
        <v>0</v>
      </c>
      <c r="E265" s="226" t="s">
        <v>153</v>
      </c>
      <c r="F265" s="227" t="s">
        <v>698</v>
      </c>
      <c r="G265" s="227" t="s">
        <v>119</v>
      </c>
      <c r="H265" s="228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</row>
    <row r="266" spans="1:26" ht="15.75" customHeight="1" x14ac:dyDescent="0.2">
      <c r="A266" s="224">
        <v>43113</v>
      </c>
      <c r="B266" s="225">
        <v>-55</v>
      </c>
      <c r="C266" s="225">
        <f>B266</f>
        <v>-55</v>
      </c>
      <c r="D266" s="225">
        <v>0</v>
      </c>
      <c r="E266" s="226" t="s">
        <v>118</v>
      </c>
      <c r="F266" s="227" t="s">
        <v>698</v>
      </c>
      <c r="G266" s="227" t="s">
        <v>119</v>
      </c>
      <c r="H266" s="228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</row>
    <row r="267" spans="1:26" ht="15.75" customHeight="1" x14ac:dyDescent="0.2">
      <c r="A267" s="224">
        <v>43114</v>
      </c>
      <c r="B267" s="225">
        <v>250</v>
      </c>
      <c r="C267" s="225">
        <f>B267</f>
        <v>250</v>
      </c>
      <c r="D267" s="225">
        <v>0</v>
      </c>
      <c r="E267" s="226" t="s">
        <v>154</v>
      </c>
      <c r="F267" s="227" t="s">
        <v>702</v>
      </c>
      <c r="G267" s="227" t="s">
        <v>19</v>
      </c>
      <c r="H267" s="228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</row>
    <row r="268" spans="1:26" ht="15.75" customHeight="1" x14ac:dyDescent="0.2">
      <c r="A268" s="224">
        <v>43115</v>
      </c>
      <c r="B268" s="225">
        <v>-1109</v>
      </c>
      <c r="C268" s="225">
        <f>B268</f>
        <v>-1109</v>
      </c>
      <c r="D268" s="225">
        <v>0</v>
      </c>
      <c r="E268" s="226" t="s">
        <v>155</v>
      </c>
      <c r="F268" s="227" t="s">
        <v>698</v>
      </c>
      <c r="G268" s="227" t="s">
        <v>6</v>
      </c>
      <c r="H268" s="228">
        <v>70</v>
      </c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</row>
    <row r="269" spans="1:26" ht="15.75" customHeight="1" x14ac:dyDescent="0.2">
      <c r="A269" s="224">
        <v>43115</v>
      </c>
      <c r="B269" s="225">
        <v>100</v>
      </c>
      <c r="C269" s="225">
        <f>B269</f>
        <v>100</v>
      </c>
      <c r="D269" s="225">
        <v>0</v>
      </c>
      <c r="E269" s="226" t="s">
        <v>154</v>
      </c>
      <c r="F269" s="227" t="s">
        <v>702</v>
      </c>
      <c r="G269" s="227" t="s">
        <v>19</v>
      </c>
      <c r="H269" s="228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</row>
    <row r="270" spans="1:26" ht="15.75" customHeight="1" x14ac:dyDescent="0.2">
      <c r="A270" s="224">
        <v>43116</v>
      </c>
      <c r="B270" s="225">
        <v>-87.97</v>
      </c>
      <c r="C270" s="225">
        <f>B270</f>
        <v>-87.97</v>
      </c>
      <c r="D270" s="225">
        <v>0</v>
      </c>
      <c r="E270" s="226" t="s">
        <v>60</v>
      </c>
      <c r="F270" s="227" t="s">
        <v>698</v>
      </c>
      <c r="G270" s="227" t="s">
        <v>61</v>
      </c>
      <c r="H270" s="228">
        <v>68</v>
      </c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  <c r="Z270" s="222"/>
    </row>
    <row r="271" spans="1:26" ht="15.75" customHeight="1" x14ac:dyDescent="0.2">
      <c r="A271" s="224">
        <v>43116</v>
      </c>
      <c r="B271" s="225">
        <v>200</v>
      </c>
      <c r="C271" s="225">
        <f>B271</f>
        <v>200</v>
      </c>
      <c r="D271" s="225">
        <v>0</v>
      </c>
      <c r="E271" s="226" t="s">
        <v>38</v>
      </c>
      <c r="F271" s="227" t="s">
        <v>702</v>
      </c>
      <c r="G271" s="227" t="s">
        <v>39</v>
      </c>
      <c r="H271" s="228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</row>
    <row r="272" spans="1:26" ht="15.75" customHeight="1" x14ac:dyDescent="0.2">
      <c r="A272" s="224">
        <v>43120</v>
      </c>
      <c r="B272" s="225">
        <v>200</v>
      </c>
      <c r="C272" s="225">
        <f>B272</f>
        <v>200</v>
      </c>
      <c r="D272" s="225">
        <v>0</v>
      </c>
      <c r="E272" s="226" t="s">
        <v>137</v>
      </c>
      <c r="F272" s="227" t="s">
        <v>702</v>
      </c>
      <c r="G272" s="227" t="s">
        <v>19</v>
      </c>
      <c r="H272" s="228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  <c r="Z272" s="222"/>
    </row>
    <row r="273" spans="1:26" ht="15.75" customHeight="1" x14ac:dyDescent="0.2">
      <c r="A273" s="224">
        <v>43121</v>
      </c>
      <c r="B273" s="225">
        <v>1238</v>
      </c>
      <c r="C273" s="225">
        <f>B273</f>
        <v>1238</v>
      </c>
      <c r="D273" s="225">
        <v>0</v>
      </c>
      <c r="E273" s="226" t="s">
        <v>150</v>
      </c>
      <c r="F273" s="227" t="s">
        <v>36</v>
      </c>
      <c r="G273" s="227" t="s">
        <v>37</v>
      </c>
      <c r="H273" s="228">
        <v>68</v>
      </c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  <c r="Z273" s="222"/>
    </row>
    <row r="274" spans="1:26" ht="15.75" customHeight="1" x14ac:dyDescent="0.2">
      <c r="A274" s="224">
        <v>43123</v>
      </c>
      <c r="B274" s="225">
        <v>1369</v>
      </c>
      <c r="C274" s="225">
        <f>B274</f>
        <v>1369</v>
      </c>
      <c r="D274" s="225">
        <v>0</v>
      </c>
      <c r="E274" s="226" t="s">
        <v>156</v>
      </c>
      <c r="F274" s="227" t="s">
        <v>36</v>
      </c>
      <c r="G274" s="227" t="s">
        <v>37</v>
      </c>
      <c r="H274" s="228">
        <v>70</v>
      </c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  <c r="Z274" s="222"/>
    </row>
    <row r="275" spans="1:26" ht="15.75" customHeight="1" x14ac:dyDescent="0.2">
      <c r="A275" s="224">
        <v>43125</v>
      </c>
      <c r="B275" s="225">
        <v>-1318.82</v>
      </c>
      <c r="C275" s="225">
        <f>B275</f>
        <v>-1318.82</v>
      </c>
      <c r="D275" s="225">
        <v>0</v>
      </c>
      <c r="E275" s="226" t="s">
        <v>40</v>
      </c>
      <c r="F275" s="227" t="s">
        <v>698</v>
      </c>
      <c r="G275" s="227" t="s">
        <v>6</v>
      </c>
      <c r="H275" s="228">
        <v>68</v>
      </c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</row>
    <row r="276" spans="1:26" ht="15.75" customHeight="1" x14ac:dyDescent="0.2">
      <c r="A276" s="224">
        <v>43129</v>
      </c>
      <c r="B276" s="225">
        <v>-1148.03</v>
      </c>
      <c r="C276" s="225">
        <f>B276</f>
        <v>-1148.03</v>
      </c>
      <c r="D276" s="225">
        <v>0</v>
      </c>
      <c r="E276" s="226" t="s">
        <v>84</v>
      </c>
      <c r="F276" s="227" t="s">
        <v>698</v>
      </c>
      <c r="G276" s="227" t="s">
        <v>6</v>
      </c>
      <c r="H276" s="228">
        <v>70</v>
      </c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</row>
    <row r="277" spans="1:26" ht="15.75" customHeight="1" x14ac:dyDescent="0.2">
      <c r="A277" s="224">
        <v>43130</v>
      </c>
      <c r="B277" s="225">
        <v>-71.47</v>
      </c>
      <c r="C277" s="225">
        <f>B277</f>
        <v>-71.47</v>
      </c>
      <c r="D277" s="225">
        <v>0</v>
      </c>
      <c r="E277" s="226" t="s">
        <v>66</v>
      </c>
      <c r="F277" s="227" t="s">
        <v>698</v>
      </c>
      <c r="G277" s="227" t="s">
        <v>61</v>
      </c>
      <c r="H277" s="228">
        <v>70</v>
      </c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  <c r="Z277" s="222"/>
    </row>
    <row r="278" spans="1:26" ht="15.75" customHeight="1" x14ac:dyDescent="0.2">
      <c r="A278" s="224">
        <v>43131</v>
      </c>
      <c r="B278" s="225">
        <v>-146.66</v>
      </c>
      <c r="C278" s="225">
        <f>B278</f>
        <v>-146.66</v>
      </c>
      <c r="D278" s="225">
        <v>0</v>
      </c>
      <c r="E278" s="226" t="s">
        <v>140</v>
      </c>
      <c r="F278" s="227" t="s">
        <v>698</v>
      </c>
      <c r="G278" s="227" t="s">
        <v>74</v>
      </c>
      <c r="H278" s="228">
        <v>70</v>
      </c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  <c r="Z278" s="222"/>
    </row>
    <row r="279" spans="1:26" ht="15.75" customHeight="1" x14ac:dyDescent="0.2">
      <c r="A279" s="224">
        <v>43131</v>
      </c>
      <c r="B279" s="225">
        <v>-146.66</v>
      </c>
      <c r="C279" s="225">
        <f>B279</f>
        <v>-146.66</v>
      </c>
      <c r="D279" s="225">
        <v>0</v>
      </c>
      <c r="E279" s="226" t="s">
        <v>73</v>
      </c>
      <c r="F279" s="227" t="s">
        <v>698</v>
      </c>
      <c r="G279" s="227" t="s">
        <v>74</v>
      </c>
      <c r="H279" s="228">
        <v>68</v>
      </c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  <c r="Z279" s="222"/>
    </row>
    <row r="280" spans="1:26" ht="15.75" customHeight="1" x14ac:dyDescent="0.2">
      <c r="A280" s="224">
        <v>43144</v>
      </c>
      <c r="B280" s="225">
        <v>-55</v>
      </c>
      <c r="C280" s="225">
        <f>B280</f>
        <v>-55</v>
      </c>
      <c r="D280" s="225">
        <v>0</v>
      </c>
      <c r="E280" s="226" t="s">
        <v>153</v>
      </c>
      <c r="F280" s="227" t="s">
        <v>698</v>
      </c>
      <c r="G280" s="227" t="s">
        <v>119</v>
      </c>
      <c r="H280" s="228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  <c r="Z280" s="222"/>
    </row>
    <row r="281" spans="1:26" ht="15.75" customHeight="1" x14ac:dyDescent="0.2">
      <c r="A281" s="224">
        <v>43144</v>
      </c>
      <c r="B281" s="225">
        <v>-55</v>
      </c>
      <c r="C281" s="225">
        <f>B281</f>
        <v>-55</v>
      </c>
      <c r="D281" s="225">
        <v>0</v>
      </c>
      <c r="E281" s="226" t="s">
        <v>118</v>
      </c>
      <c r="F281" s="227" t="s">
        <v>698</v>
      </c>
      <c r="G281" s="227" t="s">
        <v>119</v>
      </c>
      <c r="H281" s="228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  <c r="Z281" s="222"/>
    </row>
    <row r="282" spans="1:26" ht="15.75" customHeight="1" x14ac:dyDescent="0.2">
      <c r="A282" s="224">
        <v>43146</v>
      </c>
      <c r="B282" s="225">
        <v>-87.97</v>
      </c>
      <c r="C282" s="225">
        <f>B282</f>
        <v>-87.97</v>
      </c>
      <c r="D282" s="225">
        <v>0</v>
      </c>
      <c r="E282" s="226" t="s">
        <v>60</v>
      </c>
      <c r="F282" s="227" t="s">
        <v>698</v>
      </c>
      <c r="G282" s="227" t="s">
        <v>61</v>
      </c>
      <c r="H282" s="228">
        <v>68</v>
      </c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</row>
    <row r="283" spans="1:26" ht="15.75" customHeight="1" x14ac:dyDescent="0.2">
      <c r="A283" s="224">
        <v>43147</v>
      </c>
      <c r="B283" s="225">
        <v>-10</v>
      </c>
      <c r="C283" s="225">
        <f>B283</f>
        <v>-10</v>
      </c>
      <c r="D283" s="225">
        <v>0</v>
      </c>
      <c r="E283" s="226" t="s">
        <v>157</v>
      </c>
      <c r="F283" s="227" t="s">
        <v>11</v>
      </c>
      <c r="G283" s="227" t="s">
        <v>103</v>
      </c>
      <c r="H283" s="228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  <c r="Z283" s="222"/>
    </row>
    <row r="284" spans="1:26" ht="15.75" customHeight="1" x14ac:dyDescent="0.2">
      <c r="A284" s="224">
        <v>43147</v>
      </c>
      <c r="B284" s="225">
        <v>200</v>
      </c>
      <c r="C284" s="225">
        <f>B284</f>
        <v>200</v>
      </c>
      <c r="D284" s="225">
        <v>0</v>
      </c>
      <c r="E284" s="226" t="s">
        <v>38</v>
      </c>
      <c r="F284" s="227" t="s">
        <v>702</v>
      </c>
      <c r="G284" s="227" t="s">
        <v>39</v>
      </c>
      <c r="H284" s="228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  <c r="Z284" s="222"/>
    </row>
    <row r="285" spans="1:26" ht="15.75" customHeight="1" x14ac:dyDescent="0.2">
      <c r="A285" s="224">
        <v>43151</v>
      </c>
      <c r="B285" s="225">
        <v>200</v>
      </c>
      <c r="C285" s="225">
        <f>B285</f>
        <v>200</v>
      </c>
      <c r="D285" s="225">
        <v>0</v>
      </c>
      <c r="E285" s="226" t="s">
        <v>137</v>
      </c>
      <c r="F285" s="227" t="s">
        <v>702</v>
      </c>
      <c r="G285" s="227" t="s">
        <v>19</v>
      </c>
      <c r="H285" s="228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  <c r="Z285" s="222"/>
    </row>
    <row r="286" spans="1:26" ht="15.75" customHeight="1" x14ac:dyDescent="0.2">
      <c r="A286" s="224">
        <v>43152</v>
      </c>
      <c r="B286" s="225">
        <v>1238</v>
      </c>
      <c r="C286" s="225">
        <f>B286</f>
        <v>1238</v>
      </c>
      <c r="D286" s="225">
        <v>0</v>
      </c>
      <c r="E286" s="226" t="s">
        <v>158</v>
      </c>
      <c r="F286" s="227" t="s">
        <v>36</v>
      </c>
      <c r="G286" s="227" t="s">
        <v>37</v>
      </c>
      <c r="H286" s="228">
        <v>68</v>
      </c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  <c r="Z286" s="222"/>
    </row>
    <row r="287" spans="1:26" ht="15.75" customHeight="1" x14ac:dyDescent="0.2">
      <c r="A287" s="224">
        <v>43158</v>
      </c>
      <c r="B287" s="225">
        <v>-1318.87</v>
      </c>
      <c r="C287" s="225">
        <f>B287</f>
        <v>-1318.87</v>
      </c>
      <c r="D287" s="225">
        <v>0</v>
      </c>
      <c r="E287" s="226" t="s">
        <v>40</v>
      </c>
      <c r="F287" s="227" t="s">
        <v>698</v>
      </c>
      <c r="G287" s="227" t="s">
        <v>6</v>
      </c>
      <c r="H287" s="228">
        <v>68</v>
      </c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  <c r="Z287" s="222"/>
    </row>
    <row r="288" spans="1:26" ht="15.75" customHeight="1" x14ac:dyDescent="0.2">
      <c r="A288" s="224">
        <v>43159</v>
      </c>
      <c r="B288" s="225">
        <v>-1145.97</v>
      </c>
      <c r="C288" s="225">
        <f>B288</f>
        <v>-1145.97</v>
      </c>
      <c r="D288" s="225">
        <v>0</v>
      </c>
      <c r="E288" s="226" t="s">
        <v>84</v>
      </c>
      <c r="F288" s="227" t="s">
        <v>698</v>
      </c>
      <c r="G288" s="227" t="s">
        <v>6</v>
      </c>
      <c r="H288" s="228">
        <v>70</v>
      </c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  <c r="Z288" s="222"/>
    </row>
    <row r="289" spans="1:26" ht="15.75" customHeight="1" x14ac:dyDescent="0.2">
      <c r="A289" s="224">
        <v>43160</v>
      </c>
      <c r="B289" s="225">
        <v>-71.47</v>
      </c>
      <c r="C289" s="225">
        <f>B289</f>
        <v>-71.47</v>
      </c>
      <c r="D289" s="225">
        <v>0</v>
      </c>
      <c r="E289" s="226" t="s">
        <v>66</v>
      </c>
      <c r="F289" s="227" t="s">
        <v>698</v>
      </c>
      <c r="G289" s="227" t="s">
        <v>61</v>
      </c>
      <c r="H289" s="228">
        <v>70</v>
      </c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  <c r="Z289" s="222"/>
    </row>
    <row r="290" spans="1:26" ht="15.75" customHeight="1" x14ac:dyDescent="0.2">
      <c r="A290" s="224">
        <v>43160</v>
      </c>
      <c r="B290" s="225">
        <v>-5</v>
      </c>
      <c r="C290" s="225">
        <f>B290</f>
        <v>-5</v>
      </c>
      <c r="D290" s="225">
        <v>0</v>
      </c>
      <c r="E290" s="226" t="s">
        <v>159</v>
      </c>
      <c r="F290" s="227" t="s">
        <v>11</v>
      </c>
      <c r="G290" s="227" t="s">
        <v>103</v>
      </c>
      <c r="H290" s="228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  <c r="Z290" s="222"/>
    </row>
    <row r="291" spans="1:26" ht="15.75" customHeight="1" x14ac:dyDescent="0.2">
      <c r="A291" s="224">
        <v>43160</v>
      </c>
      <c r="B291" s="225">
        <v>-0.48</v>
      </c>
      <c r="C291" s="225">
        <f>B291</f>
        <v>-0.48</v>
      </c>
      <c r="D291" s="225">
        <v>0</v>
      </c>
      <c r="E291" s="226" t="s">
        <v>160</v>
      </c>
      <c r="F291" s="227" t="s">
        <v>11</v>
      </c>
      <c r="G291" s="227" t="s">
        <v>103</v>
      </c>
      <c r="H291" s="228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  <c r="Z291" s="222"/>
    </row>
    <row r="292" spans="1:26" ht="15.75" customHeight="1" x14ac:dyDescent="0.2">
      <c r="A292" s="224">
        <v>43160</v>
      </c>
      <c r="B292" s="225">
        <v>1145.97</v>
      </c>
      <c r="C292" s="225">
        <f>B292</f>
        <v>1145.97</v>
      </c>
      <c r="D292" s="225">
        <v>0</v>
      </c>
      <c r="E292" s="226" t="s">
        <v>161</v>
      </c>
      <c r="F292" s="227" t="s">
        <v>698</v>
      </c>
      <c r="G292" s="227" t="s">
        <v>6</v>
      </c>
      <c r="H292" s="228">
        <v>70</v>
      </c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  <c r="Z292" s="222"/>
    </row>
    <row r="293" spans="1:26" ht="15.75" customHeight="1" x14ac:dyDescent="0.2">
      <c r="A293" s="224">
        <v>43160</v>
      </c>
      <c r="B293" s="225">
        <v>1369</v>
      </c>
      <c r="C293" s="225">
        <f>B293</f>
        <v>1369</v>
      </c>
      <c r="D293" s="225">
        <v>0</v>
      </c>
      <c r="E293" s="226" t="s">
        <v>125</v>
      </c>
      <c r="F293" s="227" t="s">
        <v>36</v>
      </c>
      <c r="G293" s="227" t="s">
        <v>37</v>
      </c>
      <c r="H293" s="228">
        <v>70</v>
      </c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  <c r="Z293" s="222"/>
    </row>
    <row r="294" spans="1:26" ht="15.75" customHeight="1" x14ac:dyDescent="0.2">
      <c r="A294" s="224">
        <v>43164</v>
      </c>
      <c r="B294" s="225">
        <v>-1145.97</v>
      </c>
      <c r="C294" s="225">
        <f>B294</f>
        <v>-1145.97</v>
      </c>
      <c r="D294" s="225">
        <v>0</v>
      </c>
      <c r="E294" s="226" t="s">
        <v>155</v>
      </c>
      <c r="F294" s="227" t="s">
        <v>698</v>
      </c>
      <c r="G294" s="227" t="s">
        <v>6</v>
      </c>
      <c r="H294" s="228">
        <v>70</v>
      </c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  <c r="Z294" s="222"/>
    </row>
    <row r="295" spans="1:26" ht="15.75" customHeight="1" x14ac:dyDescent="0.2">
      <c r="A295" s="224">
        <v>43172</v>
      </c>
      <c r="B295" s="225">
        <v>-55</v>
      </c>
      <c r="C295" s="225">
        <f>B295</f>
        <v>-55</v>
      </c>
      <c r="D295" s="225">
        <v>0</v>
      </c>
      <c r="E295" s="226" t="s">
        <v>153</v>
      </c>
      <c r="F295" s="227" t="s">
        <v>698</v>
      </c>
      <c r="G295" s="227" t="s">
        <v>119</v>
      </c>
      <c r="H295" s="228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  <c r="Z295" s="222"/>
    </row>
    <row r="296" spans="1:26" ht="15.75" customHeight="1" x14ac:dyDescent="0.2">
      <c r="A296" s="224">
        <v>43172</v>
      </c>
      <c r="B296" s="225">
        <v>-55</v>
      </c>
      <c r="C296" s="225">
        <f>B296</f>
        <v>-55</v>
      </c>
      <c r="D296" s="225">
        <v>0</v>
      </c>
      <c r="E296" s="226" t="s">
        <v>118</v>
      </c>
      <c r="F296" s="227" t="s">
        <v>698</v>
      </c>
      <c r="G296" s="227" t="s">
        <v>119</v>
      </c>
      <c r="H296" s="228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  <c r="Z296" s="222"/>
    </row>
    <row r="297" spans="1:26" ht="15.75" customHeight="1" x14ac:dyDescent="0.2">
      <c r="A297" s="224">
        <v>43172</v>
      </c>
      <c r="B297" s="225">
        <v>1369</v>
      </c>
      <c r="C297" s="225">
        <f>B297</f>
        <v>1369</v>
      </c>
      <c r="D297" s="225">
        <v>0</v>
      </c>
      <c r="E297" s="226" t="s">
        <v>125</v>
      </c>
      <c r="F297" s="227" t="s">
        <v>36</v>
      </c>
      <c r="G297" s="227" t="s">
        <v>37</v>
      </c>
      <c r="H297" s="228">
        <v>70</v>
      </c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  <c r="Z297" s="222"/>
    </row>
    <row r="298" spans="1:26" ht="15.75" customHeight="1" x14ac:dyDescent="0.2">
      <c r="A298" s="224">
        <v>43174</v>
      </c>
      <c r="B298" s="225">
        <v>-87.97</v>
      </c>
      <c r="C298" s="225">
        <f>B298</f>
        <v>-87.97</v>
      </c>
      <c r="D298" s="225">
        <v>0</v>
      </c>
      <c r="E298" s="226" t="s">
        <v>60</v>
      </c>
      <c r="F298" s="227" t="s">
        <v>698</v>
      </c>
      <c r="G298" s="227" t="s">
        <v>61</v>
      </c>
      <c r="H298" s="228">
        <v>68</v>
      </c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  <c r="Z298" s="222"/>
    </row>
    <row r="299" spans="1:26" ht="15.75" customHeight="1" x14ac:dyDescent="0.2">
      <c r="A299" s="224">
        <v>43175</v>
      </c>
      <c r="B299" s="225">
        <v>200</v>
      </c>
      <c r="C299" s="225">
        <f>B299</f>
        <v>200</v>
      </c>
      <c r="D299" s="225">
        <v>0</v>
      </c>
      <c r="E299" s="226" t="s">
        <v>38</v>
      </c>
      <c r="F299" s="227" t="s">
        <v>702</v>
      </c>
      <c r="G299" s="227" t="s">
        <v>39</v>
      </c>
      <c r="H299" s="228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  <c r="Z299" s="222"/>
    </row>
    <row r="300" spans="1:26" ht="15.75" customHeight="1" x14ac:dyDescent="0.2">
      <c r="A300" s="224">
        <v>43179</v>
      </c>
      <c r="B300" s="225">
        <v>200</v>
      </c>
      <c r="C300" s="225">
        <f>B300</f>
        <v>200</v>
      </c>
      <c r="D300" s="225">
        <v>0</v>
      </c>
      <c r="E300" s="226" t="s">
        <v>137</v>
      </c>
      <c r="F300" s="227" t="s">
        <v>702</v>
      </c>
      <c r="G300" s="227" t="s">
        <v>19</v>
      </c>
      <c r="H300" s="228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  <c r="Z300" s="222"/>
    </row>
    <row r="301" spans="1:26" ht="15.75" customHeight="1" x14ac:dyDescent="0.2">
      <c r="A301" s="224">
        <v>43181</v>
      </c>
      <c r="B301" s="225">
        <v>1238</v>
      </c>
      <c r="C301" s="225">
        <f>B301</f>
        <v>1238</v>
      </c>
      <c r="D301" s="225">
        <v>0</v>
      </c>
      <c r="E301" s="226" t="s">
        <v>158</v>
      </c>
      <c r="F301" s="227" t="s">
        <v>36</v>
      </c>
      <c r="G301" s="227" t="s">
        <v>37</v>
      </c>
      <c r="H301" s="228">
        <v>68</v>
      </c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  <c r="Z301" s="222"/>
    </row>
    <row r="302" spans="1:26" ht="15.75" customHeight="1" x14ac:dyDescent="0.2">
      <c r="A302" s="224">
        <v>43186</v>
      </c>
      <c r="B302" s="225">
        <v>-1192.24</v>
      </c>
      <c r="C302" s="225">
        <f>B302</f>
        <v>-1192.24</v>
      </c>
      <c r="D302" s="225">
        <v>0</v>
      </c>
      <c r="E302" s="226" t="s">
        <v>40</v>
      </c>
      <c r="F302" s="227" t="s">
        <v>698</v>
      </c>
      <c r="G302" s="227" t="s">
        <v>6</v>
      </c>
      <c r="H302" s="228">
        <v>68</v>
      </c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  <c r="Z302" s="222"/>
    </row>
    <row r="303" spans="1:26" ht="15.75" customHeight="1" x14ac:dyDescent="0.2">
      <c r="A303" s="224">
        <v>43187</v>
      </c>
      <c r="B303" s="225">
        <v>-1036.57</v>
      </c>
      <c r="C303" s="225">
        <f>B303</f>
        <v>-1036.57</v>
      </c>
      <c r="D303" s="225">
        <v>0</v>
      </c>
      <c r="E303" s="226" t="s">
        <v>84</v>
      </c>
      <c r="F303" s="227" t="s">
        <v>698</v>
      </c>
      <c r="G303" s="227" t="s">
        <v>6</v>
      </c>
      <c r="H303" s="228">
        <v>70</v>
      </c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</row>
    <row r="304" spans="1:26" ht="15.75" customHeight="1" x14ac:dyDescent="0.2">
      <c r="A304" s="224">
        <v>43191</v>
      </c>
      <c r="B304" s="225">
        <v>0.45</v>
      </c>
      <c r="C304" s="225">
        <f>B304</f>
        <v>0.45</v>
      </c>
      <c r="D304" s="225">
        <v>0</v>
      </c>
      <c r="E304" s="226" t="s">
        <v>162</v>
      </c>
      <c r="F304" s="227" t="s">
        <v>11</v>
      </c>
      <c r="G304" s="227" t="s">
        <v>103</v>
      </c>
      <c r="H304" s="228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  <c r="Z304" s="222"/>
    </row>
    <row r="305" spans="1:26" ht="15.75" customHeight="1" x14ac:dyDescent="0.2">
      <c r="A305" s="224">
        <v>43193</v>
      </c>
      <c r="B305" s="225">
        <v>-71.47</v>
      </c>
      <c r="C305" s="225">
        <f>B305</f>
        <v>-71.47</v>
      </c>
      <c r="D305" s="225">
        <v>0</v>
      </c>
      <c r="E305" s="226" t="s">
        <v>66</v>
      </c>
      <c r="F305" s="227" t="s">
        <v>698</v>
      </c>
      <c r="G305" s="227" t="s">
        <v>61</v>
      </c>
      <c r="H305" s="228">
        <v>70</v>
      </c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  <c r="Z305" s="222"/>
    </row>
    <row r="306" spans="1:26" ht="15.75" customHeight="1" x14ac:dyDescent="0.2">
      <c r="A306" s="224">
        <v>43200</v>
      </c>
      <c r="B306" s="225">
        <v>-168.5</v>
      </c>
      <c r="C306" s="225">
        <f>B306</f>
        <v>-168.5</v>
      </c>
      <c r="D306" s="225">
        <v>0</v>
      </c>
      <c r="E306" s="226" t="s">
        <v>163</v>
      </c>
      <c r="F306" s="227" t="s">
        <v>48</v>
      </c>
      <c r="G306" s="227" t="s">
        <v>49</v>
      </c>
      <c r="H306" s="228" t="s">
        <v>164</v>
      </c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</row>
    <row r="307" spans="1:26" ht="15.75" customHeight="1" x14ac:dyDescent="0.2">
      <c r="A307" s="224">
        <v>43200</v>
      </c>
      <c r="B307" s="225">
        <v>-167.92</v>
      </c>
      <c r="C307" s="225">
        <f>B307</f>
        <v>-167.92</v>
      </c>
      <c r="D307" s="225">
        <v>0</v>
      </c>
      <c r="E307" s="226" t="s">
        <v>163</v>
      </c>
      <c r="F307" s="227" t="s">
        <v>48</v>
      </c>
      <c r="G307" s="227" t="s">
        <v>49</v>
      </c>
      <c r="H307" s="228" t="s">
        <v>164</v>
      </c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  <c r="Z307" s="222"/>
    </row>
    <row r="308" spans="1:26" ht="15.75" customHeight="1" x14ac:dyDescent="0.2">
      <c r="A308" s="224">
        <v>43200</v>
      </c>
      <c r="B308" s="225">
        <v>1369</v>
      </c>
      <c r="C308" s="225">
        <f>B308</f>
        <v>1369</v>
      </c>
      <c r="D308" s="225">
        <v>0</v>
      </c>
      <c r="E308" s="226" t="s">
        <v>125</v>
      </c>
      <c r="F308" s="227" t="s">
        <v>36</v>
      </c>
      <c r="G308" s="227" t="s">
        <v>37</v>
      </c>
      <c r="H308" s="228">
        <v>70</v>
      </c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  <c r="Z308" s="222"/>
    </row>
    <row r="309" spans="1:26" ht="15.75" customHeight="1" x14ac:dyDescent="0.2">
      <c r="A309" s="224">
        <v>43203</v>
      </c>
      <c r="B309" s="225">
        <v>-55</v>
      </c>
      <c r="C309" s="225">
        <f>B309</f>
        <v>-55</v>
      </c>
      <c r="D309" s="225">
        <v>0</v>
      </c>
      <c r="E309" s="226" t="s">
        <v>153</v>
      </c>
      <c r="F309" s="227" t="s">
        <v>698</v>
      </c>
      <c r="G309" s="227" t="s">
        <v>119</v>
      </c>
      <c r="H309" s="228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  <c r="Z309" s="222"/>
    </row>
    <row r="310" spans="1:26" ht="15.75" customHeight="1" x14ac:dyDescent="0.2">
      <c r="A310" s="224">
        <v>43203</v>
      </c>
      <c r="B310" s="225">
        <v>-55</v>
      </c>
      <c r="C310" s="225">
        <f>B310</f>
        <v>-55</v>
      </c>
      <c r="D310" s="225">
        <v>0</v>
      </c>
      <c r="E310" s="226" t="s">
        <v>118</v>
      </c>
      <c r="F310" s="227" t="s">
        <v>698</v>
      </c>
      <c r="G310" s="227" t="s">
        <v>119</v>
      </c>
      <c r="H310" s="228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  <c r="Z310" s="222"/>
    </row>
    <row r="311" spans="1:26" ht="15.75" customHeight="1" x14ac:dyDescent="0.2">
      <c r="A311" s="224">
        <v>43206</v>
      </c>
      <c r="B311" s="225">
        <v>200</v>
      </c>
      <c r="C311" s="225">
        <f>B311</f>
        <v>200</v>
      </c>
      <c r="D311" s="225">
        <v>0</v>
      </c>
      <c r="E311" s="226" t="s">
        <v>38</v>
      </c>
      <c r="F311" s="227" t="s">
        <v>702</v>
      </c>
      <c r="G311" s="227" t="s">
        <v>39</v>
      </c>
      <c r="H311" s="228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  <c r="Z311" s="222"/>
    </row>
    <row r="312" spans="1:26" ht="15.75" customHeight="1" x14ac:dyDescent="0.2">
      <c r="A312" s="224">
        <v>43207</v>
      </c>
      <c r="B312" s="225">
        <v>-87.97</v>
      </c>
      <c r="C312" s="225">
        <f>B312</f>
        <v>-87.97</v>
      </c>
      <c r="D312" s="225">
        <v>0</v>
      </c>
      <c r="E312" s="226" t="s">
        <v>60</v>
      </c>
      <c r="F312" s="227" t="s">
        <v>698</v>
      </c>
      <c r="G312" s="227" t="s">
        <v>61</v>
      </c>
      <c r="H312" s="228">
        <v>68</v>
      </c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  <c r="Z312" s="222"/>
    </row>
    <row r="313" spans="1:26" ht="15.75" customHeight="1" x14ac:dyDescent="0.2">
      <c r="A313" s="224">
        <v>43210</v>
      </c>
      <c r="B313" s="225">
        <v>200</v>
      </c>
      <c r="C313" s="225">
        <f>B313</f>
        <v>200</v>
      </c>
      <c r="D313" s="225">
        <v>0</v>
      </c>
      <c r="E313" s="226" t="s">
        <v>137</v>
      </c>
      <c r="F313" s="227" t="s">
        <v>702</v>
      </c>
      <c r="G313" s="227" t="s">
        <v>19</v>
      </c>
      <c r="H313" s="228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</row>
    <row r="314" spans="1:26" ht="15.75" customHeight="1" x14ac:dyDescent="0.2">
      <c r="A314" s="224">
        <v>43212</v>
      </c>
      <c r="B314" s="225">
        <v>1238</v>
      </c>
      <c r="C314" s="225">
        <f>B314</f>
        <v>1238</v>
      </c>
      <c r="D314" s="225">
        <v>0</v>
      </c>
      <c r="E314" s="226" t="s">
        <v>158</v>
      </c>
      <c r="F314" s="227" t="s">
        <v>36</v>
      </c>
      <c r="G314" s="227" t="s">
        <v>37</v>
      </c>
      <c r="H314" s="228">
        <v>68</v>
      </c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</row>
    <row r="315" spans="1:26" ht="15.75" customHeight="1" x14ac:dyDescent="0.2">
      <c r="A315" s="224">
        <v>43217</v>
      </c>
      <c r="B315" s="225">
        <v>-1319.03</v>
      </c>
      <c r="C315" s="225">
        <f>B315</f>
        <v>-1319.03</v>
      </c>
      <c r="D315" s="225">
        <v>0</v>
      </c>
      <c r="E315" s="226" t="s">
        <v>40</v>
      </c>
      <c r="F315" s="227" t="s">
        <v>698</v>
      </c>
      <c r="G315" s="227" t="s">
        <v>6</v>
      </c>
      <c r="H315" s="228">
        <v>68</v>
      </c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  <c r="Z315" s="222"/>
    </row>
    <row r="316" spans="1:26" ht="15.75" customHeight="1" x14ac:dyDescent="0.2">
      <c r="A316" s="224">
        <v>43220</v>
      </c>
      <c r="B316" s="225">
        <v>-1146</v>
      </c>
      <c r="C316" s="225">
        <f>B316</f>
        <v>-1146</v>
      </c>
      <c r="D316" s="225">
        <v>0</v>
      </c>
      <c r="E316" s="226" t="s">
        <v>84</v>
      </c>
      <c r="F316" s="227" t="s">
        <v>698</v>
      </c>
      <c r="G316" s="227" t="s">
        <v>6</v>
      </c>
      <c r="H316" s="228">
        <v>70</v>
      </c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  <c r="Z316" s="222"/>
    </row>
    <row r="317" spans="1:26" ht="15.75" customHeight="1" x14ac:dyDescent="0.2">
      <c r="A317" s="224">
        <v>43221</v>
      </c>
      <c r="B317" s="225">
        <v>-71.47</v>
      </c>
      <c r="C317" s="225">
        <f>B317</f>
        <v>-71.47</v>
      </c>
      <c r="D317" s="225">
        <v>0</v>
      </c>
      <c r="E317" s="226" t="s">
        <v>66</v>
      </c>
      <c r="F317" s="227" t="s">
        <v>698</v>
      </c>
      <c r="G317" s="227" t="s">
        <v>61</v>
      </c>
      <c r="H317" s="228">
        <v>70</v>
      </c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  <c r="Z317" s="222"/>
    </row>
    <row r="318" spans="1:26" ht="15.75" customHeight="1" x14ac:dyDescent="0.2">
      <c r="A318" s="224">
        <v>43223</v>
      </c>
      <c r="B318" s="225">
        <v>1473</v>
      </c>
      <c r="C318" s="225">
        <f>B318</f>
        <v>1473</v>
      </c>
      <c r="D318" s="225">
        <v>0</v>
      </c>
      <c r="E318" s="226" t="s">
        <v>125</v>
      </c>
      <c r="F318" s="227" t="s">
        <v>36</v>
      </c>
      <c r="G318" s="227" t="s">
        <v>37</v>
      </c>
      <c r="H318" s="228">
        <v>70</v>
      </c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  <c r="Z318" s="222"/>
    </row>
    <row r="319" spans="1:26" ht="15.75" customHeight="1" x14ac:dyDescent="0.2">
      <c r="A319" s="224">
        <v>43226</v>
      </c>
      <c r="B319" s="225">
        <v>-267</v>
      </c>
      <c r="C319" s="225">
        <f>B319</f>
        <v>-267</v>
      </c>
      <c r="D319" s="225">
        <v>0</v>
      </c>
      <c r="E319" s="226" t="s">
        <v>134</v>
      </c>
      <c r="F319" s="227" t="s">
        <v>698</v>
      </c>
      <c r="G319" s="227" t="s">
        <v>46</v>
      </c>
      <c r="H319" s="228">
        <v>70</v>
      </c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  <c r="Z319" s="222"/>
    </row>
    <row r="320" spans="1:26" ht="15.75" customHeight="1" x14ac:dyDescent="0.2">
      <c r="A320" s="224">
        <v>43226</v>
      </c>
      <c r="B320" s="225">
        <v>-267</v>
      </c>
      <c r="C320" s="225">
        <f>B320</f>
        <v>-267</v>
      </c>
      <c r="D320" s="225">
        <v>0</v>
      </c>
      <c r="E320" s="226" t="s">
        <v>97</v>
      </c>
      <c r="F320" s="227" t="s">
        <v>698</v>
      </c>
      <c r="G320" s="227" t="s">
        <v>46</v>
      </c>
      <c r="H320" s="228">
        <v>68</v>
      </c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  <c r="Z320" s="222"/>
    </row>
    <row r="321" spans="1:26" ht="15.75" customHeight="1" x14ac:dyDescent="0.2">
      <c r="A321" s="224">
        <v>43226</v>
      </c>
      <c r="B321" s="225">
        <v>-170</v>
      </c>
      <c r="C321" s="225">
        <f>B321</f>
        <v>-170</v>
      </c>
      <c r="D321" s="225">
        <v>0</v>
      </c>
      <c r="E321" s="226" t="s">
        <v>165</v>
      </c>
      <c r="F321" s="227" t="s">
        <v>48</v>
      </c>
      <c r="G321" s="227" t="s">
        <v>49</v>
      </c>
      <c r="H321" s="228" t="s">
        <v>164</v>
      </c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  <c r="Z321" s="222"/>
    </row>
    <row r="322" spans="1:26" ht="15.75" customHeight="1" x14ac:dyDescent="0.2">
      <c r="A322" s="224">
        <v>43226</v>
      </c>
      <c r="B322" s="225">
        <v>-146.66</v>
      </c>
      <c r="C322" s="225">
        <f>B322</f>
        <v>-146.66</v>
      </c>
      <c r="D322" s="225">
        <v>0</v>
      </c>
      <c r="E322" s="226" t="s">
        <v>140</v>
      </c>
      <c r="F322" s="227" t="s">
        <v>698</v>
      </c>
      <c r="G322" s="227" t="s">
        <v>74</v>
      </c>
      <c r="H322" s="228">
        <v>70</v>
      </c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  <c r="Z322" s="222"/>
    </row>
    <row r="323" spans="1:26" ht="15.75" customHeight="1" x14ac:dyDescent="0.2">
      <c r="A323" s="224">
        <v>43226</v>
      </c>
      <c r="B323" s="225">
        <v>-146.66</v>
      </c>
      <c r="C323" s="225">
        <f>B323</f>
        <v>-146.66</v>
      </c>
      <c r="D323" s="225">
        <v>0</v>
      </c>
      <c r="E323" s="226" t="s">
        <v>73</v>
      </c>
      <c r="F323" s="227" t="s">
        <v>698</v>
      </c>
      <c r="G323" s="227" t="s">
        <v>74</v>
      </c>
      <c r="H323" s="228">
        <v>68</v>
      </c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  <c r="Z323" s="222"/>
    </row>
    <row r="324" spans="1:26" ht="15.75" customHeight="1" x14ac:dyDescent="0.2">
      <c r="A324" s="224">
        <v>43233</v>
      </c>
      <c r="B324" s="225">
        <v>-55</v>
      </c>
      <c r="C324" s="225">
        <f>B324</f>
        <v>-55</v>
      </c>
      <c r="D324" s="225">
        <v>0</v>
      </c>
      <c r="E324" s="226" t="s">
        <v>153</v>
      </c>
      <c r="F324" s="227" t="s">
        <v>698</v>
      </c>
      <c r="G324" s="227" t="s">
        <v>119</v>
      </c>
      <c r="H324" s="228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</row>
    <row r="325" spans="1:26" ht="15.75" customHeight="1" x14ac:dyDescent="0.2">
      <c r="A325" s="224">
        <v>43233</v>
      </c>
      <c r="B325" s="225">
        <v>-55</v>
      </c>
      <c r="C325" s="225">
        <f>B325</f>
        <v>-55</v>
      </c>
      <c r="D325" s="225">
        <v>0</v>
      </c>
      <c r="E325" s="226" t="s">
        <v>118</v>
      </c>
      <c r="F325" s="227" t="s">
        <v>698</v>
      </c>
      <c r="G325" s="227" t="s">
        <v>119</v>
      </c>
      <c r="H325" s="228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  <c r="Z325" s="222"/>
    </row>
    <row r="326" spans="1:26" ht="15.75" customHeight="1" x14ac:dyDescent="0.2">
      <c r="A326" s="224">
        <v>43235</v>
      </c>
      <c r="B326" s="225">
        <v>-87.97</v>
      </c>
      <c r="C326" s="225">
        <f>B326</f>
        <v>-87.97</v>
      </c>
      <c r="D326" s="225">
        <v>0</v>
      </c>
      <c r="E326" s="226" t="s">
        <v>60</v>
      </c>
      <c r="F326" s="227" t="s">
        <v>698</v>
      </c>
      <c r="G326" s="227" t="s">
        <v>61</v>
      </c>
      <c r="H326" s="228">
        <v>68</v>
      </c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</row>
    <row r="327" spans="1:26" ht="15.75" customHeight="1" x14ac:dyDescent="0.2">
      <c r="A327" s="224">
        <v>43236</v>
      </c>
      <c r="B327" s="225">
        <v>200</v>
      </c>
      <c r="C327" s="225">
        <f>B327</f>
        <v>200</v>
      </c>
      <c r="D327" s="225">
        <v>0</v>
      </c>
      <c r="E327" s="226" t="s">
        <v>38</v>
      </c>
      <c r="F327" s="227" t="s">
        <v>702</v>
      </c>
      <c r="G327" s="227" t="s">
        <v>39</v>
      </c>
      <c r="H327" s="228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  <c r="Z327" s="222"/>
    </row>
    <row r="328" spans="1:26" ht="15.75" customHeight="1" x14ac:dyDescent="0.2">
      <c r="A328" s="224">
        <v>43240</v>
      </c>
      <c r="B328" s="225">
        <v>200</v>
      </c>
      <c r="C328" s="225">
        <f>B328</f>
        <v>200</v>
      </c>
      <c r="D328" s="225">
        <v>0</v>
      </c>
      <c r="E328" s="226" t="s">
        <v>137</v>
      </c>
      <c r="F328" s="227" t="s">
        <v>702</v>
      </c>
      <c r="G328" s="227" t="s">
        <v>19</v>
      </c>
      <c r="H328" s="228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  <c r="Z328" s="222"/>
    </row>
    <row r="329" spans="1:26" ht="15.75" customHeight="1" x14ac:dyDescent="0.2">
      <c r="A329" s="224">
        <v>43241</v>
      </c>
      <c r="B329" s="225">
        <v>1290</v>
      </c>
      <c r="C329" s="225">
        <f>B329</f>
        <v>1290</v>
      </c>
      <c r="D329" s="225">
        <v>0</v>
      </c>
      <c r="E329" s="226" t="s">
        <v>158</v>
      </c>
      <c r="F329" s="227" t="s">
        <v>36</v>
      </c>
      <c r="G329" s="227" t="s">
        <v>37</v>
      </c>
      <c r="H329" s="228">
        <v>68</v>
      </c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  <c r="Z329" s="222"/>
    </row>
    <row r="330" spans="1:26" ht="15.75" customHeight="1" x14ac:dyDescent="0.2">
      <c r="A330" s="224">
        <v>43244</v>
      </c>
      <c r="B330" s="225">
        <v>1700</v>
      </c>
      <c r="C330" s="225">
        <f>B330</f>
        <v>1700</v>
      </c>
      <c r="D330" s="225">
        <v>0</v>
      </c>
      <c r="E330" s="226" t="s">
        <v>166</v>
      </c>
      <c r="F330" s="227" t="s">
        <v>702</v>
      </c>
      <c r="G330" s="227" t="s">
        <v>39</v>
      </c>
      <c r="H330" s="228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  <c r="Z330" s="222"/>
    </row>
    <row r="331" spans="1:26" ht="15.75" customHeight="1" x14ac:dyDescent="0.2">
      <c r="A331" s="224">
        <v>43245</v>
      </c>
      <c r="B331" s="225">
        <v>-1277.07</v>
      </c>
      <c r="C331" s="225">
        <f>B331</f>
        <v>-1277.07</v>
      </c>
      <c r="D331" s="225">
        <v>0</v>
      </c>
      <c r="E331" s="226" t="s">
        <v>40</v>
      </c>
      <c r="F331" s="227" t="s">
        <v>698</v>
      </c>
      <c r="G331" s="227" t="s">
        <v>6</v>
      </c>
      <c r="H331" s="228">
        <v>68</v>
      </c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  <c r="Z331" s="222"/>
    </row>
    <row r="332" spans="1:26" ht="15.75" customHeight="1" x14ac:dyDescent="0.2">
      <c r="A332" s="224">
        <v>43248</v>
      </c>
      <c r="B332" s="225">
        <v>-1109.3599999999999</v>
      </c>
      <c r="C332" s="225">
        <f>B332</f>
        <v>-1109.3599999999999</v>
      </c>
      <c r="D332" s="225">
        <v>0</v>
      </c>
      <c r="E332" s="226" t="s">
        <v>84</v>
      </c>
      <c r="F332" s="227" t="s">
        <v>698</v>
      </c>
      <c r="G332" s="227" t="s">
        <v>6</v>
      </c>
      <c r="H332" s="228">
        <v>70</v>
      </c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  <c r="Z332" s="222"/>
    </row>
    <row r="333" spans="1:26" ht="15.75" customHeight="1" x14ac:dyDescent="0.2">
      <c r="A333" s="224">
        <v>43250</v>
      </c>
      <c r="B333" s="225">
        <v>-71.47</v>
      </c>
      <c r="C333" s="225">
        <f>B333</f>
        <v>-71.47</v>
      </c>
      <c r="D333" s="225">
        <v>0</v>
      </c>
      <c r="E333" s="226" t="s">
        <v>66</v>
      </c>
      <c r="F333" s="227" t="s">
        <v>698</v>
      </c>
      <c r="G333" s="227" t="s">
        <v>61</v>
      </c>
      <c r="H333" s="228">
        <v>70</v>
      </c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  <c r="Z333" s="222"/>
    </row>
    <row r="334" spans="1:26" ht="15.75" customHeight="1" x14ac:dyDescent="0.2">
      <c r="A334" s="224">
        <v>43257</v>
      </c>
      <c r="B334" s="225">
        <v>1474</v>
      </c>
      <c r="C334" s="225">
        <f>B334</f>
        <v>1474</v>
      </c>
      <c r="D334" s="225">
        <v>0</v>
      </c>
      <c r="E334" s="226" t="s">
        <v>167</v>
      </c>
      <c r="F334" s="227" t="s">
        <v>36</v>
      </c>
      <c r="G334" s="227" t="s">
        <v>37</v>
      </c>
      <c r="H334" s="228">
        <v>70</v>
      </c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  <c r="Z334" s="222"/>
    </row>
    <row r="335" spans="1:26" ht="15.75" customHeight="1" x14ac:dyDescent="0.2">
      <c r="A335" s="224">
        <v>43263</v>
      </c>
      <c r="B335" s="225">
        <v>-538.4</v>
      </c>
      <c r="C335" s="225">
        <f>B335</f>
        <v>-538.4</v>
      </c>
      <c r="D335" s="225">
        <v>0</v>
      </c>
      <c r="E335" s="226" t="s">
        <v>97</v>
      </c>
      <c r="F335" s="227" t="s">
        <v>698</v>
      </c>
      <c r="G335" s="227" t="s">
        <v>46</v>
      </c>
      <c r="H335" s="228">
        <v>68</v>
      </c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  <c r="Z335" s="222"/>
    </row>
    <row r="336" spans="1:26" ht="15.75" customHeight="1" x14ac:dyDescent="0.2">
      <c r="A336" s="224">
        <v>43263</v>
      </c>
      <c r="B336" s="225">
        <v>-538.4</v>
      </c>
      <c r="C336" s="225">
        <f>B336</f>
        <v>-538.4</v>
      </c>
      <c r="D336" s="225">
        <v>0</v>
      </c>
      <c r="E336" s="226" t="s">
        <v>134</v>
      </c>
      <c r="F336" s="227" t="s">
        <v>698</v>
      </c>
      <c r="G336" s="227" t="s">
        <v>46</v>
      </c>
      <c r="H336" s="228">
        <v>70</v>
      </c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</row>
    <row r="337" spans="1:26" ht="15.75" customHeight="1" x14ac:dyDescent="0.2">
      <c r="A337" s="224">
        <v>43264</v>
      </c>
      <c r="B337" s="225">
        <v>-55</v>
      </c>
      <c r="C337" s="225">
        <f>B337</f>
        <v>-55</v>
      </c>
      <c r="D337" s="225">
        <v>0</v>
      </c>
      <c r="E337" s="226" t="s">
        <v>153</v>
      </c>
      <c r="F337" s="227" t="s">
        <v>698</v>
      </c>
      <c r="G337" s="227" t="s">
        <v>119</v>
      </c>
      <c r="H337" s="228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  <c r="Z337" s="222"/>
    </row>
    <row r="338" spans="1:26" ht="15.75" customHeight="1" x14ac:dyDescent="0.2">
      <c r="A338" s="224">
        <v>43264</v>
      </c>
      <c r="B338" s="225">
        <v>-55</v>
      </c>
      <c r="C338" s="225">
        <f>B338</f>
        <v>-55</v>
      </c>
      <c r="D338" s="225">
        <v>0</v>
      </c>
      <c r="E338" s="226" t="s">
        <v>118</v>
      </c>
      <c r="F338" s="227" t="s">
        <v>698</v>
      </c>
      <c r="G338" s="227" t="s">
        <v>119</v>
      </c>
      <c r="H338" s="228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</row>
    <row r="339" spans="1:26" ht="15.75" customHeight="1" x14ac:dyDescent="0.2">
      <c r="A339" s="224">
        <v>43266</v>
      </c>
      <c r="B339" s="225">
        <v>-87.97</v>
      </c>
      <c r="C339" s="225">
        <f>B339</f>
        <v>-87.97</v>
      </c>
      <c r="D339" s="225">
        <v>0</v>
      </c>
      <c r="E339" s="226" t="s">
        <v>60</v>
      </c>
      <c r="F339" s="227" t="s">
        <v>698</v>
      </c>
      <c r="G339" s="227" t="s">
        <v>61</v>
      </c>
      <c r="H339" s="228">
        <v>68</v>
      </c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  <c r="Z339" s="222"/>
    </row>
    <row r="340" spans="1:26" ht="15.75" customHeight="1" x14ac:dyDescent="0.2">
      <c r="A340" s="224">
        <v>43269</v>
      </c>
      <c r="B340" s="225">
        <v>200</v>
      </c>
      <c r="C340" s="225">
        <f>B340</f>
        <v>200</v>
      </c>
      <c r="D340" s="225">
        <v>0</v>
      </c>
      <c r="E340" s="226" t="s">
        <v>38</v>
      </c>
      <c r="F340" s="227" t="s">
        <v>702</v>
      </c>
      <c r="G340" s="227" t="s">
        <v>39</v>
      </c>
      <c r="H340" s="228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  <c r="Z340" s="222"/>
    </row>
    <row r="341" spans="1:26" ht="15.75" customHeight="1" x14ac:dyDescent="0.2">
      <c r="A341" s="224">
        <v>43271</v>
      </c>
      <c r="B341" s="225">
        <v>200</v>
      </c>
      <c r="C341" s="225">
        <f>B341</f>
        <v>200</v>
      </c>
      <c r="D341" s="225">
        <v>0</v>
      </c>
      <c r="E341" s="226" t="s">
        <v>137</v>
      </c>
      <c r="F341" s="227" t="s">
        <v>702</v>
      </c>
      <c r="G341" s="227" t="s">
        <v>19</v>
      </c>
      <c r="H341" s="228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</row>
    <row r="342" spans="1:26" ht="15.75" customHeight="1" x14ac:dyDescent="0.2">
      <c r="A342" s="224">
        <v>43271</v>
      </c>
      <c r="B342" s="225">
        <v>1290</v>
      </c>
      <c r="C342" s="225">
        <f>B342</f>
        <v>1290</v>
      </c>
      <c r="D342" s="225">
        <v>0</v>
      </c>
      <c r="E342" s="226" t="s">
        <v>158</v>
      </c>
      <c r="F342" s="227" t="s">
        <v>36</v>
      </c>
      <c r="G342" s="227" t="s">
        <v>37</v>
      </c>
      <c r="H342" s="228">
        <v>68</v>
      </c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  <c r="Z342" s="222"/>
    </row>
    <row r="343" spans="1:26" ht="15.75" customHeight="1" x14ac:dyDescent="0.2">
      <c r="A343" s="224">
        <v>43278</v>
      </c>
      <c r="B343" s="225">
        <v>-1318.98</v>
      </c>
      <c r="C343" s="225">
        <f>B343</f>
        <v>-1318.98</v>
      </c>
      <c r="D343" s="225">
        <v>0</v>
      </c>
      <c r="E343" s="226" t="s">
        <v>40</v>
      </c>
      <c r="F343" s="227" t="s">
        <v>698</v>
      </c>
      <c r="G343" s="227" t="s">
        <v>6</v>
      </c>
      <c r="H343" s="228">
        <v>68</v>
      </c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  <c r="Z343" s="222"/>
    </row>
    <row r="344" spans="1:26" ht="15.75" customHeight="1" x14ac:dyDescent="0.2">
      <c r="A344" s="224">
        <v>43279</v>
      </c>
      <c r="B344" s="225">
        <v>-1146</v>
      </c>
      <c r="C344" s="225">
        <f>B344</f>
        <v>-1146</v>
      </c>
      <c r="D344" s="225">
        <v>0</v>
      </c>
      <c r="E344" s="226" t="s">
        <v>84</v>
      </c>
      <c r="F344" s="227" t="s">
        <v>698</v>
      </c>
      <c r="G344" s="227" t="s">
        <v>6</v>
      </c>
      <c r="H344" s="228">
        <v>70</v>
      </c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</row>
    <row r="345" spans="1:26" ht="15.75" customHeight="1" x14ac:dyDescent="0.2">
      <c r="A345" s="224">
        <v>43283</v>
      </c>
      <c r="B345" s="225">
        <v>-71.47</v>
      </c>
      <c r="C345" s="225">
        <f>B345</f>
        <v>-71.47</v>
      </c>
      <c r="D345" s="225">
        <v>0</v>
      </c>
      <c r="E345" s="226" t="s">
        <v>66</v>
      </c>
      <c r="F345" s="227" t="s">
        <v>698</v>
      </c>
      <c r="G345" s="227" t="s">
        <v>61</v>
      </c>
      <c r="H345" s="228">
        <v>70</v>
      </c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  <c r="Z345" s="222"/>
    </row>
    <row r="346" spans="1:26" ht="15.75" customHeight="1" x14ac:dyDescent="0.2">
      <c r="A346" s="224">
        <v>43294</v>
      </c>
      <c r="B346" s="225">
        <v>-55</v>
      </c>
      <c r="C346" s="225">
        <f>B346</f>
        <v>-55</v>
      </c>
      <c r="D346" s="225">
        <v>0</v>
      </c>
      <c r="E346" s="226" t="s">
        <v>153</v>
      </c>
      <c r="F346" s="227" t="s">
        <v>698</v>
      </c>
      <c r="G346" s="227" t="s">
        <v>119</v>
      </c>
      <c r="H346" s="228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  <c r="Z346" s="222"/>
    </row>
    <row r="347" spans="1:26" ht="15.75" customHeight="1" x14ac:dyDescent="0.2">
      <c r="A347" s="224">
        <v>43294</v>
      </c>
      <c r="B347" s="225">
        <v>-55</v>
      </c>
      <c r="C347" s="225">
        <f>B347</f>
        <v>-55</v>
      </c>
      <c r="D347" s="225">
        <v>0</v>
      </c>
      <c r="E347" s="226" t="s">
        <v>118</v>
      </c>
      <c r="F347" s="227" t="s">
        <v>698</v>
      </c>
      <c r="G347" s="227" t="s">
        <v>119</v>
      </c>
      <c r="H347" s="228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  <c r="Z347" s="222"/>
    </row>
    <row r="348" spans="1:26" ht="15.75" customHeight="1" x14ac:dyDescent="0.2">
      <c r="A348" s="224">
        <v>43297</v>
      </c>
      <c r="B348" s="225">
        <v>200</v>
      </c>
      <c r="C348" s="225">
        <f>B348</f>
        <v>200</v>
      </c>
      <c r="D348" s="225">
        <v>0</v>
      </c>
      <c r="E348" s="226" t="s">
        <v>38</v>
      </c>
      <c r="F348" s="227" t="s">
        <v>702</v>
      </c>
      <c r="G348" s="227" t="s">
        <v>39</v>
      </c>
      <c r="H348" s="228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  <c r="Z348" s="222"/>
    </row>
    <row r="349" spans="1:26" ht="15.75" customHeight="1" x14ac:dyDescent="0.2">
      <c r="A349" s="224">
        <v>43298</v>
      </c>
      <c r="B349" s="225">
        <v>-87.97</v>
      </c>
      <c r="C349" s="225">
        <f>B349</f>
        <v>-87.97</v>
      </c>
      <c r="D349" s="225">
        <v>0</v>
      </c>
      <c r="E349" s="226" t="s">
        <v>60</v>
      </c>
      <c r="F349" s="227" t="s">
        <v>698</v>
      </c>
      <c r="G349" s="227" t="s">
        <v>61</v>
      </c>
      <c r="H349" s="228">
        <v>68</v>
      </c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  <c r="Z349" s="222"/>
    </row>
    <row r="350" spans="1:26" ht="15.75" customHeight="1" x14ac:dyDescent="0.2">
      <c r="A350" s="224">
        <v>43298</v>
      </c>
      <c r="B350" s="225">
        <v>1473</v>
      </c>
      <c r="C350" s="225">
        <f>B350</f>
        <v>1473</v>
      </c>
      <c r="D350" s="225">
        <v>0</v>
      </c>
      <c r="E350" s="226" t="s">
        <v>168</v>
      </c>
      <c r="F350" s="227" t="s">
        <v>36</v>
      </c>
      <c r="G350" s="227" t="s">
        <v>37</v>
      </c>
      <c r="H350" s="228">
        <v>70</v>
      </c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  <c r="Z350" s="222"/>
    </row>
    <row r="351" spans="1:26" ht="15.75" customHeight="1" x14ac:dyDescent="0.2">
      <c r="A351" s="224">
        <v>43301</v>
      </c>
      <c r="B351" s="225">
        <v>200</v>
      </c>
      <c r="C351" s="225">
        <f>B351</f>
        <v>200</v>
      </c>
      <c r="D351" s="225">
        <v>0</v>
      </c>
      <c r="E351" s="226" t="s">
        <v>137</v>
      </c>
      <c r="F351" s="227" t="s">
        <v>702</v>
      </c>
      <c r="G351" s="227" t="s">
        <v>19</v>
      </c>
      <c r="H351" s="228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  <c r="Z351" s="222"/>
    </row>
    <row r="352" spans="1:26" ht="15.75" customHeight="1" x14ac:dyDescent="0.2">
      <c r="A352" s="224">
        <v>43303</v>
      </c>
      <c r="B352" s="225">
        <v>1290</v>
      </c>
      <c r="C352" s="225">
        <f>B352</f>
        <v>1290</v>
      </c>
      <c r="D352" s="225">
        <v>0</v>
      </c>
      <c r="E352" s="226" t="s">
        <v>169</v>
      </c>
      <c r="F352" s="227" t="s">
        <v>36</v>
      </c>
      <c r="G352" s="227" t="s">
        <v>37</v>
      </c>
      <c r="H352" s="228">
        <v>68</v>
      </c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  <c r="Z352" s="222"/>
    </row>
    <row r="353" spans="1:26" ht="15.75" customHeight="1" x14ac:dyDescent="0.2">
      <c r="A353" s="224">
        <v>43308</v>
      </c>
      <c r="B353" s="225">
        <v>-1277.07</v>
      </c>
      <c r="C353" s="225">
        <f>B353</f>
        <v>-1277.07</v>
      </c>
      <c r="D353" s="225">
        <v>0</v>
      </c>
      <c r="E353" s="226" t="s">
        <v>40</v>
      </c>
      <c r="F353" s="227" t="s">
        <v>698</v>
      </c>
      <c r="G353" s="227" t="s">
        <v>6</v>
      </c>
      <c r="H353" s="228">
        <v>68</v>
      </c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  <c r="Z353" s="222"/>
    </row>
    <row r="354" spans="1:26" ht="15.75" customHeight="1" x14ac:dyDescent="0.2">
      <c r="A354" s="224">
        <v>43311</v>
      </c>
      <c r="B354" s="225">
        <v>-1109.3599999999999</v>
      </c>
      <c r="C354" s="225">
        <f>B354</f>
        <v>-1109.3599999999999</v>
      </c>
      <c r="D354" s="225">
        <v>0</v>
      </c>
      <c r="E354" s="226" t="s">
        <v>84</v>
      </c>
      <c r="F354" s="227" t="s">
        <v>698</v>
      </c>
      <c r="G354" s="227" t="s">
        <v>6</v>
      </c>
      <c r="H354" s="228">
        <v>70</v>
      </c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  <c r="Z354" s="222"/>
    </row>
    <row r="355" spans="1:26" ht="15.75" customHeight="1" x14ac:dyDescent="0.2">
      <c r="A355" s="224">
        <v>43312</v>
      </c>
      <c r="B355" s="225">
        <v>-224.2</v>
      </c>
      <c r="C355" s="225">
        <f>B355</f>
        <v>-224.2</v>
      </c>
      <c r="D355" s="225">
        <v>0</v>
      </c>
      <c r="E355" s="226" t="s">
        <v>73</v>
      </c>
      <c r="F355" s="227" t="s">
        <v>698</v>
      </c>
      <c r="G355" s="227" t="s">
        <v>74</v>
      </c>
      <c r="H355" s="228">
        <v>68</v>
      </c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  <c r="Z355" s="222"/>
    </row>
    <row r="356" spans="1:26" ht="15.75" customHeight="1" x14ac:dyDescent="0.2">
      <c r="A356" s="224">
        <v>43312</v>
      </c>
      <c r="B356" s="225">
        <v>-224.2</v>
      </c>
      <c r="C356" s="225">
        <f>B356</f>
        <v>-224.2</v>
      </c>
      <c r="D356" s="225">
        <v>0</v>
      </c>
      <c r="E356" s="226" t="s">
        <v>140</v>
      </c>
      <c r="F356" s="227" t="s">
        <v>698</v>
      </c>
      <c r="G356" s="227" t="s">
        <v>74</v>
      </c>
      <c r="H356" s="228">
        <v>70</v>
      </c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  <c r="Z356" s="222"/>
    </row>
    <row r="357" spans="1:26" ht="15.75" customHeight="1" x14ac:dyDescent="0.2">
      <c r="A357" s="224">
        <v>43312</v>
      </c>
      <c r="B357" s="225">
        <v>-85.7</v>
      </c>
      <c r="C357" s="225">
        <f>B357</f>
        <v>-85.7</v>
      </c>
      <c r="D357" s="225">
        <v>0</v>
      </c>
      <c r="E357" s="226" t="s">
        <v>66</v>
      </c>
      <c r="F357" s="227" t="s">
        <v>698</v>
      </c>
      <c r="G357" s="227" t="s">
        <v>61</v>
      </c>
      <c r="H357" s="228">
        <v>70</v>
      </c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  <c r="Z357" s="222"/>
    </row>
    <row r="358" spans="1:26" ht="15.75" customHeight="1" x14ac:dyDescent="0.2">
      <c r="A358" s="224">
        <v>43325</v>
      </c>
      <c r="B358" s="225">
        <v>-55</v>
      </c>
      <c r="C358" s="225">
        <f>B358</f>
        <v>-55</v>
      </c>
      <c r="D358" s="225">
        <v>0</v>
      </c>
      <c r="E358" s="226" t="s">
        <v>153</v>
      </c>
      <c r="F358" s="227" t="s">
        <v>698</v>
      </c>
      <c r="G358" s="227" t="s">
        <v>119</v>
      </c>
      <c r="H358" s="228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  <c r="Z358" s="222"/>
    </row>
    <row r="359" spans="1:26" ht="15.75" customHeight="1" x14ac:dyDescent="0.2">
      <c r="A359" s="224">
        <v>43325</v>
      </c>
      <c r="B359" s="225">
        <v>-55</v>
      </c>
      <c r="C359" s="225">
        <f>B359</f>
        <v>-55</v>
      </c>
      <c r="D359" s="225">
        <v>0</v>
      </c>
      <c r="E359" s="226" t="s">
        <v>118</v>
      </c>
      <c r="F359" s="227" t="s">
        <v>698</v>
      </c>
      <c r="G359" s="227" t="s">
        <v>119</v>
      </c>
      <c r="H359" s="228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  <c r="Z359" s="222"/>
    </row>
    <row r="360" spans="1:26" ht="15.75" customHeight="1" x14ac:dyDescent="0.2">
      <c r="A360" s="224">
        <v>43327</v>
      </c>
      <c r="B360" s="225">
        <v>-87.97</v>
      </c>
      <c r="C360" s="225">
        <f>B360</f>
        <v>-87.97</v>
      </c>
      <c r="D360" s="225">
        <v>0</v>
      </c>
      <c r="E360" s="226" t="s">
        <v>60</v>
      </c>
      <c r="F360" s="227" t="s">
        <v>698</v>
      </c>
      <c r="G360" s="227" t="s">
        <v>61</v>
      </c>
      <c r="H360" s="228">
        <v>68</v>
      </c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  <c r="Z360" s="222"/>
    </row>
    <row r="361" spans="1:26" ht="15.75" customHeight="1" x14ac:dyDescent="0.2">
      <c r="A361" s="224">
        <v>43328</v>
      </c>
      <c r="B361" s="225">
        <v>200</v>
      </c>
      <c r="C361" s="225">
        <f>B361</f>
        <v>200</v>
      </c>
      <c r="D361" s="225">
        <v>0</v>
      </c>
      <c r="E361" s="226" t="s">
        <v>38</v>
      </c>
      <c r="F361" s="227" t="s">
        <v>702</v>
      </c>
      <c r="G361" s="227" t="s">
        <v>39</v>
      </c>
      <c r="H361" s="228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  <c r="Z361" s="222"/>
    </row>
    <row r="362" spans="1:26" ht="15.75" customHeight="1" x14ac:dyDescent="0.2">
      <c r="A362" s="224">
        <v>43328</v>
      </c>
      <c r="B362" s="225">
        <v>1469</v>
      </c>
      <c r="C362" s="225">
        <f>B362</f>
        <v>1469</v>
      </c>
      <c r="D362" s="225">
        <v>0</v>
      </c>
      <c r="E362" s="226" t="s">
        <v>168</v>
      </c>
      <c r="F362" s="227" t="s">
        <v>36</v>
      </c>
      <c r="G362" s="227" t="s">
        <v>37</v>
      </c>
      <c r="H362" s="228">
        <v>70</v>
      </c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  <c r="Z362" s="222"/>
    </row>
    <row r="363" spans="1:26" ht="15.75" customHeight="1" x14ac:dyDescent="0.2">
      <c r="A363" s="224">
        <v>43332</v>
      </c>
      <c r="B363" s="225">
        <v>200</v>
      </c>
      <c r="C363" s="225">
        <f>B363</f>
        <v>200</v>
      </c>
      <c r="D363" s="225">
        <v>0</v>
      </c>
      <c r="E363" s="226" t="s">
        <v>137</v>
      </c>
      <c r="F363" s="227" t="s">
        <v>702</v>
      </c>
      <c r="G363" s="227" t="s">
        <v>19</v>
      </c>
      <c r="H363" s="228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  <c r="Z363" s="222"/>
    </row>
    <row r="364" spans="1:26" ht="15.75" customHeight="1" x14ac:dyDescent="0.2">
      <c r="A364" s="224">
        <v>43333</v>
      </c>
      <c r="B364" s="225">
        <v>1290</v>
      </c>
      <c r="C364" s="225">
        <f>B364</f>
        <v>1290</v>
      </c>
      <c r="D364" s="225">
        <v>0</v>
      </c>
      <c r="E364" s="226" t="s">
        <v>158</v>
      </c>
      <c r="F364" s="227" t="s">
        <v>36</v>
      </c>
      <c r="G364" s="227" t="s">
        <v>37</v>
      </c>
      <c r="H364" s="228">
        <v>68</v>
      </c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  <c r="Z364" s="222"/>
    </row>
    <row r="365" spans="1:26" ht="15.75" customHeight="1" x14ac:dyDescent="0.2">
      <c r="A365" s="224">
        <v>43339</v>
      </c>
      <c r="B365" s="225">
        <v>-1319.33</v>
      </c>
      <c r="C365" s="225">
        <f>B365</f>
        <v>-1319.33</v>
      </c>
      <c r="D365" s="225">
        <v>0</v>
      </c>
      <c r="E365" s="226" t="s">
        <v>40</v>
      </c>
      <c r="F365" s="227" t="s">
        <v>698</v>
      </c>
      <c r="G365" s="227" t="s">
        <v>6</v>
      </c>
      <c r="H365" s="228">
        <v>68</v>
      </c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  <c r="Z365" s="222"/>
    </row>
    <row r="366" spans="1:26" ht="15.75" customHeight="1" x14ac:dyDescent="0.2">
      <c r="A366" s="224">
        <v>43340</v>
      </c>
      <c r="B366" s="225">
        <v>-1580.15</v>
      </c>
      <c r="C366" s="225">
        <f>B366</f>
        <v>-1580.15</v>
      </c>
      <c r="D366" s="225">
        <v>0</v>
      </c>
      <c r="E366" s="226" t="s">
        <v>84</v>
      </c>
      <c r="F366" s="227" t="s">
        <v>698</v>
      </c>
      <c r="G366" s="227" t="s">
        <v>6</v>
      </c>
      <c r="H366" s="228">
        <v>70</v>
      </c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  <c r="Z366" s="222"/>
    </row>
    <row r="367" spans="1:26" ht="15.75" customHeight="1" x14ac:dyDescent="0.2">
      <c r="A367" s="224">
        <v>43340</v>
      </c>
      <c r="B367" s="225">
        <v>-198</v>
      </c>
      <c r="C367" s="225">
        <f>B367</f>
        <v>-198</v>
      </c>
      <c r="D367" s="225">
        <v>0</v>
      </c>
      <c r="E367" s="226" t="s">
        <v>170</v>
      </c>
      <c r="F367" s="227" t="s">
        <v>698</v>
      </c>
      <c r="G367" s="227" t="s">
        <v>117</v>
      </c>
      <c r="H367" s="228">
        <v>68</v>
      </c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  <c r="Z367" s="222"/>
    </row>
    <row r="368" spans="1:26" ht="15.75" customHeight="1" x14ac:dyDescent="0.2">
      <c r="A368" s="224">
        <v>43342</v>
      </c>
      <c r="B368" s="225">
        <v>-85.7</v>
      </c>
      <c r="C368" s="225">
        <f>B368</f>
        <v>-85.7</v>
      </c>
      <c r="D368" s="225">
        <v>0</v>
      </c>
      <c r="E368" s="226" t="s">
        <v>66</v>
      </c>
      <c r="F368" s="227" t="s">
        <v>698</v>
      </c>
      <c r="G368" s="227" t="s">
        <v>61</v>
      </c>
      <c r="H368" s="228">
        <v>70</v>
      </c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  <c r="Z368" s="222"/>
    </row>
    <row r="369" spans="1:26" ht="15.75" customHeight="1" x14ac:dyDescent="0.2">
      <c r="A369" s="224">
        <v>43354</v>
      </c>
      <c r="B369" s="225">
        <v>1473</v>
      </c>
      <c r="C369" s="225">
        <f>B369</f>
        <v>1473</v>
      </c>
      <c r="D369" s="225">
        <v>0</v>
      </c>
      <c r="E369" s="226" t="s">
        <v>168</v>
      </c>
      <c r="F369" s="227" t="s">
        <v>36</v>
      </c>
      <c r="G369" s="227" t="s">
        <v>37</v>
      </c>
      <c r="H369" s="228">
        <v>70</v>
      </c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  <c r="Z369" s="222"/>
    </row>
    <row r="370" spans="1:26" ht="15.75" customHeight="1" x14ac:dyDescent="0.2">
      <c r="A370" s="224">
        <v>43356</v>
      </c>
      <c r="B370" s="225">
        <v>-55</v>
      </c>
      <c r="C370" s="225">
        <f>B370</f>
        <v>-55</v>
      </c>
      <c r="D370" s="225">
        <v>0</v>
      </c>
      <c r="E370" s="226" t="s">
        <v>153</v>
      </c>
      <c r="F370" s="227" t="s">
        <v>698</v>
      </c>
      <c r="G370" s="227" t="s">
        <v>119</v>
      </c>
      <c r="H370" s="228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</row>
    <row r="371" spans="1:26" ht="15.75" customHeight="1" x14ac:dyDescent="0.2">
      <c r="A371" s="224">
        <v>43356</v>
      </c>
      <c r="B371" s="225">
        <v>-55</v>
      </c>
      <c r="C371" s="225">
        <f>B371</f>
        <v>-55</v>
      </c>
      <c r="D371" s="225">
        <v>0</v>
      </c>
      <c r="E371" s="226" t="s">
        <v>118</v>
      </c>
      <c r="F371" s="227" t="s">
        <v>698</v>
      </c>
      <c r="G371" s="227" t="s">
        <v>119</v>
      </c>
      <c r="H371" s="228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  <c r="Z371" s="222"/>
    </row>
    <row r="372" spans="1:26" ht="15.75" customHeight="1" x14ac:dyDescent="0.2">
      <c r="A372" s="224">
        <v>43360</v>
      </c>
      <c r="B372" s="225">
        <v>-87.97</v>
      </c>
      <c r="C372" s="225">
        <f>B372</f>
        <v>-87.97</v>
      </c>
      <c r="D372" s="225">
        <v>0</v>
      </c>
      <c r="E372" s="226" t="s">
        <v>60</v>
      </c>
      <c r="F372" s="227" t="s">
        <v>698</v>
      </c>
      <c r="G372" s="227" t="s">
        <v>61</v>
      </c>
      <c r="H372" s="228">
        <v>68</v>
      </c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  <c r="Z372" s="222"/>
    </row>
    <row r="373" spans="1:26" ht="15.75" customHeight="1" x14ac:dyDescent="0.2">
      <c r="A373" s="224">
        <v>43360</v>
      </c>
      <c r="B373" s="225">
        <v>200</v>
      </c>
      <c r="C373" s="225">
        <f>B373</f>
        <v>200</v>
      </c>
      <c r="D373" s="225">
        <v>0</v>
      </c>
      <c r="E373" s="226" t="s">
        <v>38</v>
      </c>
      <c r="F373" s="227" t="s">
        <v>702</v>
      </c>
      <c r="G373" s="227" t="s">
        <v>39</v>
      </c>
      <c r="H373" s="228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  <c r="Z373" s="222"/>
    </row>
    <row r="374" spans="1:26" ht="15.75" customHeight="1" x14ac:dyDescent="0.2">
      <c r="A374" s="224">
        <v>43363</v>
      </c>
      <c r="B374" s="225">
        <v>200</v>
      </c>
      <c r="C374" s="225">
        <f>B374</f>
        <v>200</v>
      </c>
      <c r="D374" s="225">
        <v>0</v>
      </c>
      <c r="E374" s="226" t="s">
        <v>137</v>
      </c>
      <c r="F374" s="227" t="s">
        <v>702</v>
      </c>
      <c r="G374" s="227" t="s">
        <v>19</v>
      </c>
      <c r="H374" s="228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  <c r="Z374" s="222"/>
    </row>
    <row r="375" spans="1:26" ht="15.75" customHeight="1" x14ac:dyDescent="0.2">
      <c r="A375" s="224">
        <v>43365</v>
      </c>
      <c r="B375" s="225">
        <v>1290</v>
      </c>
      <c r="C375" s="225">
        <f>B375</f>
        <v>1290</v>
      </c>
      <c r="D375" s="225">
        <v>0</v>
      </c>
      <c r="E375" s="226" t="s">
        <v>158</v>
      </c>
      <c r="F375" s="227" t="s">
        <v>36</v>
      </c>
      <c r="G375" s="227" t="s">
        <v>37</v>
      </c>
      <c r="H375" s="228">
        <v>68</v>
      </c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</row>
    <row r="376" spans="1:26" ht="15.75" customHeight="1" x14ac:dyDescent="0.2">
      <c r="A376" s="224">
        <v>43370</v>
      </c>
      <c r="B376" s="225">
        <v>-1319.48</v>
      </c>
      <c r="C376" s="225">
        <f>B376</f>
        <v>-1319.48</v>
      </c>
      <c r="D376" s="225">
        <v>0</v>
      </c>
      <c r="E376" s="226" t="s">
        <v>40</v>
      </c>
      <c r="F376" s="227" t="s">
        <v>698</v>
      </c>
      <c r="G376" s="227" t="s">
        <v>6</v>
      </c>
      <c r="H376" s="228">
        <v>68</v>
      </c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  <c r="Z376" s="222"/>
    </row>
    <row r="377" spans="1:26" ht="15.75" customHeight="1" x14ac:dyDescent="0.2">
      <c r="A377" s="224">
        <v>43371</v>
      </c>
      <c r="B377" s="225">
        <v>-1621.66</v>
      </c>
      <c r="C377" s="225">
        <f>B377</f>
        <v>-1621.66</v>
      </c>
      <c r="D377" s="225">
        <v>0</v>
      </c>
      <c r="E377" s="226" t="s">
        <v>84</v>
      </c>
      <c r="F377" s="227" t="s">
        <v>698</v>
      </c>
      <c r="G377" s="227" t="s">
        <v>6</v>
      </c>
      <c r="H377" s="228">
        <v>70</v>
      </c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  <c r="Z377" s="222"/>
    </row>
    <row r="378" spans="1:26" ht="15.75" customHeight="1" x14ac:dyDescent="0.2">
      <c r="A378" s="224">
        <v>43371</v>
      </c>
      <c r="B378" s="225">
        <v>-1000</v>
      </c>
      <c r="C378" s="225">
        <f>B378</f>
        <v>-1000</v>
      </c>
      <c r="D378" s="225">
        <v>0</v>
      </c>
      <c r="E378" s="226" t="s">
        <v>171</v>
      </c>
      <c r="F378" s="227" t="s">
        <v>702</v>
      </c>
      <c r="G378" s="227" t="s">
        <v>19</v>
      </c>
      <c r="H378" s="228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  <c r="Z378" s="222"/>
    </row>
    <row r="379" spans="1:26" ht="15.75" customHeight="1" x14ac:dyDescent="0.2">
      <c r="A379" s="224">
        <v>43371</v>
      </c>
      <c r="B379" s="225">
        <v>1000</v>
      </c>
      <c r="C379" s="225">
        <f>B379</f>
        <v>1000</v>
      </c>
      <c r="D379" s="225">
        <v>0</v>
      </c>
      <c r="E379" s="226" t="s">
        <v>172</v>
      </c>
      <c r="F379" s="227" t="s">
        <v>702</v>
      </c>
      <c r="G379" s="227" t="s">
        <v>19</v>
      </c>
      <c r="H379" s="228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  <c r="Z379" s="222"/>
    </row>
    <row r="380" spans="1:26" ht="15.75" customHeight="1" x14ac:dyDescent="0.2">
      <c r="A380" s="224">
        <v>43373</v>
      </c>
      <c r="B380" s="225">
        <v>-67.849999999999994</v>
      </c>
      <c r="C380" s="225">
        <f>B380</f>
        <v>-67.849999999999994</v>
      </c>
      <c r="D380" s="225">
        <v>0</v>
      </c>
      <c r="E380" s="226" t="s">
        <v>134</v>
      </c>
      <c r="F380" s="227" t="s">
        <v>698</v>
      </c>
      <c r="G380" s="227" t="s">
        <v>46</v>
      </c>
      <c r="H380" s="228">
        <v>70</v>
      </c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  <c r="Z380" s="222"/>
    </row>
    <row r="381" spans="1:26" ht="15.75" customHeight="1" x14ac:dyDescent="0.2">
      <c r="A381" s="224">
        <v>43373</v>
      </c>
      <c r="B381" s="225">
        <v>-54.5</v>
      </c>
      <c r="C381" s="225">
        <f>B381</f>
        <v>-54.5</v>
      </c>
      <c r="D381" s="225">
        <v>0</v>
      </c>
      <c r="E381" s="226" t="s">
        <v>97</v>
      </c>
      <c r="F381" s="227" t="s">
        <v>698</v>
      </c>
      <c r="G381" s="227" t="s">
        <v>46</v>
      </c>
      <c r="H381" s="228">
        <v>68</v>
      </c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  <c r="Z381" s="222"/>
    </row>
    <row r="382" spans="1:26" ht="15.75" customHeight="1" x14ac:dyDescent="0.2">
      <c r="A382" s="224">
        <v>43375</v>
      </c>
      <c r="B382" s="225">
        <v>-85.7</v>
      </c>
      <c r="C382" s="225">
        <f>B382</f>
        <v>-85.7</v>
      </c>
      <c r="D382" s="225">
        <v>0</v>
      </c>
      <c r="E382" s="226" t="s">
        <v>66</v>
      </c>
      <c r="F382" s="227" t="s">
        <v>698</v>
      </c>
      <c r="G382" s="227" t="s">
        <v>61</v>
      </c>
      <c r="H382" s="228">
        <v>70</v>
      </c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  <c r="Z382" s="222"/>
    </row>
    <row r="383" spans="1:26" ht="15.75" customHeight="1" x14ac:dyDescent="0.2">
      <c r="A383" s="224">
        <v>43386</v>
      </c>
      <c r="B383" s="225">
        <v>-55</v>
      </c>
      <c r="C383" s="225">
        <f>B383</f>
        <v>-55</v>
      </c>
      <c r="D383" s="225">
        <v>0</v>
      </c>
      <c r="E383" s="226" t="s">
        <v>153</v>
      </c>
      <c r="F383" s="227" t="s">
        <v>698</v>
      </c>
      <c r="G383" s="227" t="s">
        <v>119</v>
      </c>
      <c r="H383" s="228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</row>
    <row r="384" spans="1:26" ht="15.75" customHeight="1" x14ac:dyDescent="0.2">
      <c r="A384" s="224">
        <v>43386</v>
      </c>
      <c r="B384" s="225">
        <v>-55</v>
      </c>
      <c r="C384" s="225">
        <f>B384</f>
        <v>-55</v>
      </c>
      <c r="D384" s="225">
        <v>0</v>
      </c>
      <c r="E384" s="226" t="s">
        <v>118</v>
      </c>
      <c r="F384" s="227" t="s">
        <v>698</v>
      </c>
      <c r="G384" s="227" t="s">
        <v>119</v>
      </c>
      <c r="H384" s="228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  <c r="Z384" s="222"/>
    </row>
    <row r="385" spans="1:26" ht="15.75" customHeight="1" x14ac:dyDescent="0.2">
      <c r="A385" s="224">
        <v>43389</v>
      </c>
      <c r="B385" s="225">
        <v>-87.97</v>
      </c>
      <c r="C385" s="225">
        <f>B385</f>
        <v>-87.97</v>
      </c>
      <c r="D385" s="225">
        <v>0</v>
      </c>
      <c r="E385" s="226" t="s">
        <v>60</v>
      </c>
      <c r="F385" s="227" t="s">
        <v>698</v>
      </c>
      <c r="G385" s="227" t="s">
        <v>61</v>
      </c>
      <c r="H385" s="228">
        <v>68</v>
      </c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</row>
    <row r="386" spans="1:26" ht="15.75" customHeight="1" x14ac:dyDescent="0.2">
      <c r="A386" s="224">
        <v>43389</v>
      </c>
      <c r="B386" s="225">
        <v>200</v>
      </c>
      <c r="C386" s="225">
        <f>B386</f>
        <v>200</v>
      </c>
      <c r="D386" s="225">
        <v>0</v>
      </c>
      <c r="E386" s="226" t="s">
        <v>38</v>
      </c>
      <c r="F386" s="227" t="s">
        <v>702</v>
      </c>
      <c r="G386" s="227" t="s">
        <v>39</v>
      </c>
      <c r="H386" s="228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</row>
    <row r="387" spans="1:26" ht="15.75" customHeight="1" x14ac:dyDescent="0.2">
      <c r="A387" s="224">
        <v>43390</v>
      </c>
      <c r="B387" s="225">
        <v>1473</v>
      </c>
      <c r="C387" s="225">
        <f>B387</f>
        <v>1473</v>
      </c>
      <c r="D387" s="225">
        <v>0</v>
      </c>
      <c r="E387" s="226" t="s">
        <v>168</v>
      </c>
      <c r="F387" s="227" t="s">
        <v>36</v>
      </c>
      <c r="G387" s="227" t="s">
        <v>37</v>
      </c>
      <c r="H387" s="228">
        <v>70</v>
      </c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  <c r="Z387" s="222"/>
    </row>
    <row r="388" spans="1:26" ht="15.75" customHeight="1" x14ac:dyDescent="0.2">
      <c r="A388" s="224">
        <v>43393</v>
      </c>
      <c r="B388" s="225">
        <v>200</v>
      </c>
      <c r="C388" s="225">
        <f>B388</f>
        <v>200</v>
      </c>
      <c r="D388" s="225">
        <v>0</v>
      </c>
      <c r="E388" s="226" t="s">
        <v>137</v>
      </c>
      <c r="F388" s="227" t="s">
        <v>702</v>
      </c>
      <c r="G388" s="227" t="s">
        <v>19</v>
      </c>
      <c r="H388" s="228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  <c r="Z388" s="222"/>
    </row>
    <row r="389" spans="1:26" ht="15.75" customHeight="1" x14ac:dyDescent="0.2">
      <c r="A389" s="224">
        <v>43395</v>
      </c>
      <c r="B389" s="225">
        <v>1290</v>
      </c>
      <c r="C389" s="225">
        <f>B389</f>
        <v>1290</v>
      </c>
      <c r="D389" s="225">
        <v>0</v>
      </c>
      <c r="E389" s="226" t="s">
        <v>158</v>
      </c>
      <c r="F389" s="227" t="s">
        <v>36</v>
      </c>
      <c r="G389" s="227" t="s">
        <v>37</v>
      </c>
      <c r="H389" s="228">
        <v>68</v>
      </c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  <c r="Z389" s="222"/>
    </row>
    <row r="390" spans="1:26" ht="15.75" customHeight="1" x14ac:dyDescent="0.2">
      <c r="A390" s="224">
        <v>43396</v>
      </c>
      <c r="B390" s="225">
        <v>-253</v>
      </c>
      <c r="C390" s="225">
        <f>B390</f>
        <v>-253</v>
      </c>
      <c r="D390" s="225">
        <v>0</v>
      </c>
      <c r="E390" s="226" t="s">
        <v>173</v>
      </c>
      <c r="F390" s="227" t="s">
        <v>698</v>
      </c>
      <c r="G390" s="227" t="s">
        <v>117</v>
      </c>
      <c r="H390" s="228">
        <v>68</v>
      </c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  <c r="Z390" s="222"/>
    </row>
    <row r="391" spans="1:26" ht="15.75" customHeight="1" x14ac:dyDescent="0.2">
      <c r="A391" s="224">
        <v>43399</v>
      </c>
      <c r="B391" s="225">
        <v>-1277.07</v>
      </c>
      <c r="C391" s="225">
        <f>B391</f>
        <v>-1277.07</v>
      </c>
      <c r="D391" s="225">
        <v>0</v>
      </c>
      <c r="E391" s="226" t="s">
        <v>40</v>
      </c>
      <c r="F391" s="227" t="s">
        <v>698</v>
      </c>
      <c r="G391" s="227" t="s">
        <v>6</v>
      </c>
      <c r="H391" s="228">
        <v>68</v>
      </c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  <c r="Z391" s="222"/>
    </row>
    <row r="392" spans="1:26" ht="15.75" customHeight="1" x14ac:dyDescent="0.2">
      <c r="A392" s="224">
        <v>43402</v>
      </c>
      <c r="B392" s="225">
        <v>-1597.05</v>
      </c>
      <c r="C392" s="225">
        <f>B392</f>
        <v>-1597.05</v>
      </c>
      <c r="D392" s="225">
        <v>0</v>
      </c>
      <c r="E392" s="226" t="s">
        <v>84</v>
      </c>
      <c r="F392" s="227" t="s">
        <v>698</v>
      </c>
      <c r="G392" s="227" t="s">
        <v>6</v>
      </c>
      <c r="H392" s="228">
        <v>70</v>
      </c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  <c r="Z392" s="222"/>
    </row>
    <row r="393" spans="1:26" ht="15.75" customHeight="1" x14ac:dyDescent="0.2">
      <c r="A393" s="224">
        <v>43403</v>
      </c>
      <c r="B393" s="225">
        <v>-85.7</v>
      </c>
      <c r="C393" s="225">
        <f>B393</f>
        <v>-85.7</v>
      </c>
      <c r="D393" s="225">
        <v>0</v>
      </c>
      <c r="E393" s="226" t="s">
        <v>66</v>
      </c>
      <c r="F393" s="227" t="s">
        <v>698</v>
      </c>
      <c r="G393" s="227" t="s">
        <v>61</v>
      </c>
      <c r="H393" s="228">
        <v>70</v>
      </c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  <c r="Z393" s="222"/>
    </row>
    <row r="394" spans="1:26" ht="15.75" customHeight="1" x14ac:dyDescent="0.2">
      <c r="A394" s="224">
        <v>43410</v>
      </c>
      <c r="B394" s="225">
        <v>-700</v>
      </c>
      <c r="C394" s="225">
        <f>B394</f>
        <v>-700</v>
      </c>
      <c r="D394" s="225">
        <v>0</v>
      </c>
      <c r="E394" s="226" t="s">
        <v>174</v>
      </c>
      <c r="F394" s="227" t="s">
        <v>702</v>
      </c>
      <c r="G394" s="227" t="s">
        <v>19</v>
      </c>
      <c r="H394" s="228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</row>
    <row r="395" spans="1:26" ht="15.75" customHeight="1" x14ac:dyDescent="0.2">
      <c r="A395" s="224">
        <v>43411</v>
      </c>
      <c r="B395" s="225">
        <v>-147.1</v>
      </c>
      <c r="C395" s="225">
        <f>B395</f>
        <v>-147.1</v>
      </c>
      <c r="D395" s="225">
        <v>0</v>
      </c>
      <c r="E395" s="226" t="s">
        <v>140</v>
      </c>
      <c r="F395" s="227" t="s">
        <v>698</v>
      </c>
      <c r="G395" s="227" t="s">
        <v>74</v>
      </c>
      <c r="H395" s="228">
        <v>70</v>
      </c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  <c r="Z395" s="222"/>
    </row>
    <row r="396" spans="1:26" ht="15.75" customHeight="1" x14ac:dyDescent="0.2">
      <c r="A396" s="224">
        <v>43411</v>
      </c>
      <c r="B396" s="225">
        <v>-147.1</v>
      </c>
      <c r="C396" s="225">
        <f>B396</f>
        <v>-147.1</v>
      </c>
      <c r="D396" s="225">
        <v>0</v>
      </c>
      <c r="E396" s="226" t="s">
        <v>73</v>
      </c>
      <c r="F396" s="227" t="s">
        <v>698</v>
      </c>
      <c r="G396" s="227" t="s">
        <v>74</v>
      </c>
      <c r="H396" s="228">
        <v>68</v>
      </c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  <c r="Z396" s="222"/>
    </row>
    <row r="397" spans="1:26" ht="15.75" customHeight="1" x14ac:dyDescent="0.2">
      <c r="A397" s="224">
        <v>43411</v>
      </c>
      <c r="B397" s="225">
        <v>700</v>
      </c>
      <c r="C397" s="225">
        <f>B397</f>
        <v>700</v>
      </c>
      <c r="D397" s="225">
        <v>0</v>
      </c>
      <c r="E397" s="226" t="s">
        <v>172</v>
      </c>
      <c r="F397" s="227" t="s">
        <v>702</v>
      </c>
      <c r="G397" s="227" t="s">
        <v>19</v>
      </c>
      <c r="H397" s="228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  <c r="Z397" s="222"/>
    </row>
    <row r="398" spans="1:26" ht="15.75" customHeight="1" x14ac:dyDescent="0.2">
      <c r="A398" s="224">
        <v>43412</v>
      </c>
      <c r="B398" s="225">
        <v>1473</v>
      </c>
      <c r="C398" s="225">
        <f>B398</f>
        <v>1473</v>
      </c>
      <c r="D398" s="225">
        <v>0</v>
      </c>
      <c r="E398" s="226" t="s">
        <v>168</v>
      </c>
      <c r="F398" s="227" t="s">
        <v>36</v>
      </c>
      <c r="G398" s="227" t="s">
        <v>37</v>
      </c>
      <c r="H398" s="228">
        <v>70</v>
      </c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  <c r="Z398" s="222"/>
    </row>
    <row r="399" spans="1:26" ht="15.75" customHeight="1" x14ac:dyDescent="0.2">
      <c r="A399" s="224">
        <v>43417</v>
      </c>
      <c r="B399" s="225">
        <v>-55</v>
      </c>
      <c r="C399" s="225">
        <f>B399</f>
        <v>-55</v>
      </c>
      <c r="D399" s="225">
        <v>0</v>
      </c>
      <c r="E399" s="226" t="s">
        <v>153</v>
      </c>
      <c r="F399" s="227" t="s">
        <v>698</v>
      </c>
      <c r="G399" s="227" t="s">
        <v>119</v>
      </c>
      <c r="H399" s="228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  <c r="Z399" s="222"/>
    </row>
    <row r="400" spans="1:26" ht="15.75" customHeight="1" x14ac:dyDescent="0.2">
      <c r="A400" s="224">
        <v>43417</v>
      </c>
      <c r="B400" s="225">
        <v>-55</v>
      </c>
      <c r="C400" s="225">
        <f>B400</f>
        <v>-55</v>
      </c>
      <c r="D400" s="225">
        <v>0</v>
      </c>
      <c r="E400" s="226" t="s">
        <v>118</v>
      </c>
      <c r="F400" s="227" t="s">
        <v>698</v>
      </c>
      <c r="G400" s="227" t="s">
        <v>119</v>
      </c>
      <c r="H400" s="228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  <c r="Z400" s="222"/>
    </row>
    <row r="401" spans="1:26" ht="15.75" customHeight="1" x14ac:dyDescent="0.2">
      <c r="A401" s="224">
        <v>43419</v>
      </c>
      <c r="B401" s="225">
        <v>-87.97</v>
      </c>
      <c r="C401" s="225">
        <f>B401</f>
        <v>-87.97</v>
      </c>
      <c r="D401" s="225">
        <v>0</v>
      </c>
      <c r="E401" s="226" t="s">
        <v>60</v>
      </c>
      <c r="F401" s="227" t="s">
        <v>698</v>
      </c>
      <c r="G401" s="227" t="s">
        <v>61</v>
      </c>
      <c r="H401" s="228">
        <v>68</v>
      </c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  <c r="Z401" s="222"/>
    </row>
    <row r="402" spans="1:26" ht="15.75" customHeight="1" x14ac:dyDescent="0.2">
      <c r="A402" s="224">
        <v>43420</v>
      </c>
      <c r="B402" s="225">
        <v>200</v>
      </c>
      <c r="C402" s="225">
        <f>B402</f>
        <v>200</v>
      </c>
      <c r="D402" s="225">
        <v>0</v>
      </c>
      <c r="E402" s="226" t="s">
        <v>38</v>
      </c>
      <c r="F402" s="227" t="s">
        <v>702</v>
      </c>
      <c r="G402" s="227" t="s">
        <v>39</v>
      </c>
      <c r="H402" s="228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</row>
    <row r="403" spans="1:26" ht="15.75" customHeight="1" x14ac:dyDescent="0.2">
      <c r="A403" s="224">
        <v>43424</v>
      </c>
      <c r="B403" s="225">
        <v>200</v>
      </c>
      <c r="C403" s="225">
        <f>B403</f>
        <v>200</v>
      </c>
      <c r="D403" s="225">
        <v>0</v>
      </c>
      <c r="E403" s="226" t="s">
        <v>137</v>
      </c>
      <c r="F403" s="227" t="s">
        <v>702</v>
      </c>
      <c r="G403" s="227" t="s">
        <v>19</v>
      </c>
      <c r="H403" s="228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  <c r="Z403" s="222"/>
    </row>
    <row r="404" spans="1:26" ht="15.75" customHeight="1" x14ac:dyDescent="0.2">
      <c r="A404" s="224">
        <v>43426</v>
      </c>
      <c r="B404" s="225">
        <v>1290</v>
      </c>
      <c r="C404" s="225">
        <f>B404</f>
        <v>1290</v>
      </c>
      <c r="D404" s="225">
        <v>0</v>
      </c>
      <c r="E404" s="226" t="s">
        <v>158</v>
      </c>
      <c r="F404" s="227" t="s">
        <v>36</v>
      </c>
      <c r="G404" s="227" t="s">
        <v>37</v>
      </c>
      <c r="H404" s="228">
        <v>68</v>
      </c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  <c r="Z404" s="222"/>
    </row>
    <row r="405" spans="1:26" ht="15.75" customHeight="1" x14ac:dyDescent="0.2">
      <c r="A405" s="224">
        <v>43431</v>
      </c>
      <c r="B405" s="225">
        <v>-1319.16</v>
      </c>
      <c r="C405" s="225">
        <f>B405</f>
        <v>-1319.16</v>
      </c>
      <c r="D405" s="225">
        <v>0</v>
      </c>
      <c r="E405" s="226" t="s">
        <v>40</v>
      </c>
      <c r="F405" s="227" t="s">
        <v>698</v>
      </c>
      <c r="G405" s="227" t="s">
        <v>6</v>
      </c>
      <c r="H405" s="228">
        <v>68</v>
      </c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  <c r="Z405" s="222"/>
    </row>
    <row r="406" spans="1:26" ht="15.75" customHeight="1" x14ac:dyDescent="0.2">
      <c r="A406" s="224">
        <v>43432</v>
      </c>
      <c r="B406" s="225">
        <v>-1649.95</v>
      </c>
      <c r="C406" s="225">
        <f>B406</f>
        <v>-1649.95</v>
      </c>
      <c r="D406" s="225">
        <v>0</v>
      </c>
      <c r="E406" s="226" t="s">
        <v>84</v>
      </c>
      <c r="F406" s="227" t="s">
        <v>698</v>
      </c>
      <c r="G406" s="227" t="s">
        <v>6</v>
      </c>
      <c r="H406" s="228">
        <v>70</v>
      </c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  <c r="Z406" s="222"/>
    </row>
    <row r="407" spans="1:26" ht="15.75" customHeight="1" x14ac:dyDescent="0.2">
      <c r="A407" s="224">
        <v>43434</v>
      </c>
      <c r="B407" s="225">
        <v>-85.7</v>
      </c>
      <c r="C407" s="225">
        <f>B407</f>
        <v>-85.7</v>
      </c>
      <c r="D407" s="225">
        <v>0</v>
      </c>
      <c r="E407" s="226" t="s">
        <v>66</v>
      </c>
      <c r="F407" s="227" t="s">
        <v>698</v>
      </c>
      <c r="G407" s="227" t="s">
        <v>61</v>
      </c>
      <c r="H407" s="228">
        <v>70</v>
      </c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  <c r="Z407" s="222"/>
    </row>
    <row r="408" spans="1:26" ht="15.75" customHeight="1" x14ac:dyDescent="0.2">
      <c r="A408" s="224">
        <v>43435</v>
      </c>
      <c r="B408" s="225">
        <v>-331</v>
      </c>
      <c r="C408" s="225">
        <f>B408</f>
        <v>-331</v>
      </c>
      <c r="D408" s="225">
        <v>0</v>
      </c>
      <c r="E408" s="226" t="s">
        <v>134</v>
      </c>
      <c r="F408" s="227" t="s">
        <v>698</v>
      </c>
      <c r="G408" s="227" t="s">
        <v>46</v>
      </c>
      <c r="H408" s="228">
        <v>70</v>
      </c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  <c r="Z408" s="222"/>
    </row>
    <row r="409" spans="1:26" ht="15.75" customHeight="1" x14ac:dyDescent="0.2">
      <c r="A409" s="224">
        <v>43437</v>
      </c>
      <c r="B409" s="225">
        <v>1700</v>
      </c>
      <c r="C409" s="225">
        <f>B409</f>
        <v>1700</v>
      </c>
      <c r="D409" s="225">
        <v>0</v>
      </c>
      <c r="E409" s="226" t="s">
        <v>175</v>
      </c>
      <c r="F409" s="227" t="s">
        <v>702</v>
      </c>
      <c r="G409" s="227" t="s">
        <v>19</v>
      </c>
      <c r="H409" s="228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  <c r="Z409" s="222"/>
    </row>
    <row r="410" spans="1:26" ht="15.75" customHeight="1" x14ac:dyDescent="0.2">
      <c r="A410" s="224">
        <v>43438</v>
      </c>
      <c r="B410" s="225">
        <v>-2420</v>
      </c>
      <c r="C410" s="225">
        <f>B410</f>
        <v>-2420</v>
      </c>
      <c r="D410" s="225">
        <v>0</v>
      </c>
      <c r="E410" s="226" t="s">
        <v>176</v>
      </c>
      <c r="F410" s="227" t="s">
        <v>48</v>
      </c>
      <c r="G410" s="227" t="s">
        <v>177</v>
      </c>
      <c r="H410" s="228" t="s">
        <v>50</v>
      </c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</row>
    <row r="411" spans="1:26" ht="15.75" customHeight="1" x14ac:dyDescent="0.2">
      <c r="A411" s="224">
        <v>43438</v>
      </c>
      <c r="B411" s="225">
        <v>1000</v>
      </c>
      <c r="C411" s="225">
        <f>B411</f>
        <v>1000</v>
      </c>
      <c r="D411" s="225">
        <v>0</v>
      </c>
      <c r="E411" s="226" t="s">
        <v>178</v>
      </c>
      <c r="F411" s="227" t="s">
        <v>702</v>
      </c>
      <c r="G411" s="227" t="s">
        <v>19</v>
      </c>
      <c r="H411" s="228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  <c r="Z411" s="222"/>
    </row>
    <row r="412" spans="1:26" ht="15.75" customHeight="1" x14ac:dyDescent="0.2">
      <c r="A412" s="224">
        <v>43438</v>
      </c>
      <c r="B412" s="225">
        <v>1000</v>
      </c>
      <c r="C412" s="225">
        <f>B412</f>
        <v>1000</v>
      </c>
      <c r="D412" s="225">
        <v>0</v>
      </c>
      <c r="E412" s="226" t="s">
        <v>179</v>
      </c>
      <c r="F412" s="227" t="s">
        <v>702</v>
      </c>
      <c r="G412" s="227" t="s">
        <v>39</v>
      </c>
      <c r="H412" s="228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  <c r="Z412" s="222"/>
    </row>
    <row r="413" spans="1:26" ht="15.75" customHeight="1" x14ac:dyDescent="0.2">
      <c r="A413" s="224">
        <v>43447</v>
      </c>
      <c r="B413" s="225">
        <v>-55</v>
      </c>
      <c r="C413" s="225">
        <f>B413</f>
        <v>-55</v>
      </c>
      <c r="D413" s="225">
        <v>0</v>
      </c>
      <c r="E413" s="226" t="s">
        <v>153</v>
      </c>
      <c r="F413" s="227" t="s">
        <v>698</v>
      </c>
      <c r="G413" s="227" t="s">
        <v>119</v>
      </c>
      <c r="H413" s="228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  <c r="Z413" s="222"/>
    </row>
    <row r="414" spans="1:26" ht="15.75" customHeight="1" x14ac:dyDescent="0.2">
      <c r="A414" s="224">
        <v>43447</v>
      </c>
      <c r="B414" s="225">
        <v>-55</v>
      </c>
      <c r="C414" s="225">
        <f>B414</f>
        <v>-55</v>
      </c>
      <c r="D414" s="225">
        <v>0</v>
      </c>
      <c r="E414" s="226" t="s">
        <v>118</v>
      </c>
      <c r="F414" s="227" t="s">
        <v>698</v>
      </c>
      <c r="G414" s="227" t="s">
        <v>119</v>
      </c>
      <c r="H414" s="228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  <c r="Z414" s="222"/>
    </row>
    <row r="415" spans="1:26" ht="15.75" customHeight="1" x14ac:dyDescent="0.2">
      <c r="A415" s="224">
        <v>43451</v>
      </c>
      <c r="B415" s="225">
        <v>-87.97</v>
      </c>
      <c r="C415" s="225">
        <f>B415</f>
        <v>-87.97</v>
      </c>
      <c r="D415" s="225">
        <v>0</v>
      </c>
      <c r="E415" s="226" t="s">
        <v>60</v>
      </c>
      <c r="F415" s="227" t="s">
        <v>698</v>
      </c>
      <c r="G415" s="227" t="s">
        <v>61</v>
      </c>
      <c r="H415" s="228">
        <v>68</v>
      </c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  <c r="Z415" s="222"/>
    </row>
    <row r="416" spans="1:26" ht="15.75" customHeight="1" x14ac:dyDescent="0.2">
      <c r="A416" s="224">
        <v>43451</v>
      </c>
      <c r="B416" s="225">
        <v>200</v>
      </c>
      <c r="C416" s="225">
        <f>B416</f>
        <v>200</v>
      </c>
      <c r="D416" s="225">
        <v>0</v>
      </c>
      <c r="E416" s="226" t="s">
        <v>38</v>
      </c>
      <c r="F416" s="227" t="s">
        <v>702</v>
      </c>
      <c r="G416" s="227" t="s">
        <v>39</v>
      </c>
      <c r="H416" s="228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  <c r="Z416" s="222"/>
    </row>
    <row r="417" spans="1:26" ht="15.75" customHeight="1" x14ac:dyDescent="0.2">
      <c r="A417" s="224">
        <v>43454</v>
      </c>
      <c r="B417" s="225">
        <v>200</v>
      </c>
      <c r="C417" s="225">
        <f>B417</f>
        <v>200</v>
      </c>
      <c r="D417" s="225">
        <v>0</v>
      </c>
      <c r="E417" s="226" t="s">
        <v>137</v>
      </c>
      <c r="F417" s="227" t="s">
        <v>702</v>
      </c>
      <c r="G417" s="227" t="s">
        <v>19</v>
      </c>
      <c r="H417" s="228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</row>
    <row r="418" spans="1:26" ht="15.75" customHeight="1" x14ac:dyDescent="0.2">
      <c r="A418" s="224">
        <v>43455</v>
      </c>
      <c r="B418" s="225">
        <v>1290</v>
      </c>
      <c r="C418" s="225">
        <f>B418</f>
        <v>1290</v>
      </c>
      <c r="D418" s="225">
        <v>0</v>
      </c>
      <c r="E418" s="226" t="s">
        <v>158</v>
      </c>
      <c r="F418" s="227" t="s">
        <v>36</v>
      </c>
      <c r="G418" s="227" t="s">
        <v>37</v>
      </c>
      <c r="H418" s="228">
        <v>68</v>
      </c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</row>
    <row r="419" spans="1:26" ht="15.75" customHeight="1" x14ac:dyDescent="0.2">
      <c r="A419" s="224">
        <v>43459</v>
      </c>
      <c r="B419" s="225">
        <v>1473</v>
      </c>
      <c r="C419" s="225">
        <f>B419</f>
        <v>1473</v>
      </c>
      <c r="D419" s="225">
        <v>0</v>
      </c>
      <c r="E419" s="226" t="s">
        <v>168</v>
      </c>
      <c r="F419" s="227" t="s">
        <v>36</v>
      </c>
      <c r="G419" s="227" t="s">
        <v>37</v>
      </c>
      <c r="H419" s="228">
        <v>70</v>
      </c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  <c r="Z419" s="222"/>
    </row>
    <row r="420" spans="1:26" ht="15.75" customHeight="1" x14ac:dyDescent="0.2">
      <c r="A420" s="224">
        <v>43461</v>
      </c>
      <c r="B420" s="225">
        <v>-1277.07</v>
      </c>
      <c r="C420" s="225">
        <f>B420</f>
        <v>-1277.07</v>
      </c>
      <c r="D420" s="225">
        <v>0</v>
      </c>
      <c r="E420" s="226" t="s">
        <v>40</v>
      </c>
      <c r="F420" s="227" t="s">
        <v>698</v>
      </c>
      <c r="G420" s="227" t="s">
        <v>6</v>
      </c>
      <c r="H420" s="228">
        <v>68</v>
      </c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  <c r="Z420" s="222"/>
    </row>
    <row r="421" spans="1:26" ht="15.75" customHeight="1" x14ac:dyDescent="0.2">
      <c r="A421" s="224">
        <v>43462</v>
      </c>
      <c r="B421" s="225">
        <v>-1574.19</v>
      </c>
      <c r="C421" s="225">
        <f>B421</f>
        <v>-1574.19</v>
      </c>
      <c r="D421" s="225">
        <v>0</v>
      </c>
      <c r="E421" s="226" t="s">
        <v>84</v>
      </c>
      <c r="F421" s="227" t="s">
        <v>698</v>
      </c>
      <c r="G421" s="227" t="s">
        <v>6</v>
      </c>
      <c r="H421" s="228">
        <v>70</v>
      </c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  <c r="Z421" s="222"/>
    </row>
    <row r="422" spans="1:26" ht="15.75" customHeight="1" x14ac:dyDescent="0.2">
      <c r="A422" s="224">
        <v>43467</v>
      </c>
      <c r="B422" s="225">
        <v>-320</v>
      </c>
      <c r="C422" s="225">
        <f>B422</f>
        <v>-320</v>
      </c>
      <c r="D422" s="225">
        <v>0</v>
      </c>
      <c r="E422" s="226" t="s">
        <v>97</v>
      </c>
      <c r="F422" s="227" t="s">
        <v>698</v>
      </c>
      <c r="G422" s="227" t="s">
        <v>46</v>
      </c>
      <c r="H422" s="228">
        <v>68</v>
      </c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  <c r="Z422" s="222"/>
    </row>
    <row r="423" spans="1:26" ht="15.75" customHeight="1" x14ac:dyDescent="0.2">
      <c r="A423" s="224">
        <v>43467</v>
      </c>
      <c r="B423" s="225">
        <v>-85.7</v>
      </c>
      <c r="C423" s="225">
        <f>B423</f>
        <v>-85.7</v>
      </c>
      <c r="D423" s="225">
        <v>0</v>
      </c>
      <c r="E423" s="226" t="s">
        <v>66</v>
      </c>
      <c r="F423" s="227" t="s">
        <v>698</v>
      </c>
      <c r="G423" s="227" t="s">
        <v>61</v>
      </c>
      <c r="H423" s="228">
        <v>70</v>
      </c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</row>
    <row r="424" spans="1:26" ht="15.75" customHeight="1" x14ac:dyDescent="0.2">
      <c r="A424" s="224">
        <v>43478</v>
      </c>
      <c r="B424" s="225">
        <v>-55</v>
      </c>
      <c r="C424" s="225">
        <f>B424</f>
        <v>-55</v>
      </c>
      <c r="D424" s="225">
        <v>0</v>
      </c>
      <c r="E424" s="226" t="s">
        <v>153</v>
      </c>
      <c r="F424" s="227" t="s">
        <v>698</v>
      </c>
      <c r="G424" s="227" t="s">
        <v>119</v>
      </c>
      <c r="H424" s="228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  <c r="Z424" s="222"/>
    </row>
    <row r="425" spans="1:26" ht="15.75" customHeight="1" x14ac:dyDescent="0.2">
      <c r="A425" s="224">
        <v>43478</v>
      </c>
      <c r="B425" s="225">
        <v>-55</v>
      </c>
      <c r="C425" s="225">
        <f>B425</f>
        <v>-55</v>
      </c>
      <c r="D425" s="225">
        <v>0</v>
      </c>
      <c r="E425" s="226" t="s">
        <v>118</v>
      </c>
      <c r="F425" s="227" t="s">
        <v>698</v>
      </c>
      <c r="G425" s="227" t="s">
        <v>119</v>
      </c>
      <c r="H425" s="228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  <c r="Z425" s="222"/>
    </row>
    <row r="426" spans="1:26" ht="15.75" customHeight="1" x14ac:dyDescent="0.2">
      <c r="A426" s="224">
        <v>43480</v>
      </c>
      <c r="B426" s="225">
        <v>-102.71</v>
      </c>
      <c r="C426" s="225">
        <f>B426</f>
        <v>-102.71</v>
      </c>
      <c r="D426" s="225">
        <v>0</v>
      </c>
      <c r="E426" s="226" t="s">
        <v>60</v>
      </c>
      <c r="F426" s="227" t="s">
        <v>698</v>
      </c>
      <c r="G426" s="227" t="s">
        <v>61</v>
      </c>
      <c r="H426" s="228">
        <v>68</v>
      </c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  <c r="Z426" s="222"/>
    </row>
    <row r="427" spans="1:26" ht="15.75" customHeight="1" x14ac:dyDescent="0.2">
      <c r="A427" s="224">
        <v>43481</v>
      </c>
      <c r="B427" s="225">
        <v>200</v>
      </c>
      <c r="C427" s="225">
        <f>B427</f>
        <v>200</v>
      </c>
      <c r="D427" s="225">
        <v>0</v>
      </c>
      <c r="E427" s="226" t="s">
        <v>38</v>
      </c>
      <c r="F427" s="227" t="s">
        <v>702</v>
      </c>
      <c r="G427" s="227" t="s">
        <v>39</v>
      </c>
      <c r="H427" s="228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  <c r="Z427" s="222"/>
    </row>
    <row r="428" spans="1:26" ht="15.75" customHeight="1" x14ac:dyDescent="0.2">
      <c r="A428" s="224">
        <v>43485</v>
      </c>
      <c r="B428" s="225">
        <v>200</v>
      </c>
      <c r="C428" s="225">
        <f>B428</f>
        <v>200</v>
      </c>
      <c r="D428" s="225">
        <v>0</v>
      </c>
      <c r="E428" s="226" t="s">
        <v>137</v>
      </c>
      <c r="F428" s="227" t="s">
        <v>702</v>
      </c>
      <c r="G428" s="227" t="s">
        <v>19</v>
      </c>
      <c r="H428" s="228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  <c r="Z428" s="222"/>
    </row>
    <row r="429" spans="1:26" ht="15.75" customHeight="1" x14ac:dyDescent="0.2">
      <c r="A429" s="224">
        <v>43486</v>
      </c>
      <c r="B429" s="225">
        <v>1290</v>
      </c>
      <c r="C429" s="225">
        <f>B429</f>
        <v>1290</v>
      </c>
      <c r="D429" s="225">
        <v>0</v>
      </c>
      <c r="E429" s="226" t="s">
        <v>158</v>
      </c>
      <c r="F429" s="227" t="s">
        <v>36</v>
      </c>
      <c r="G429" s="227" t="s">
        <v>37</v>
      </c>
      <c r="H429" s="228">
        <v>68</v>
      </c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  <c r="Z429" s="222"/>
    </row>
    <row r="430" spans="1:26" ht="15.75" customHeight="1" x14ac:dyDescent="0.2">
      <c r="A430" s="224">
        <v>43486</v>
      </c>
      <c r="B430" s="225">
        <v>5000</v>
      </c>
      <c r="C430" s="225">
        <f>B430</f>
        <v>5000</v>
      </c>
      <c r="D430" s="225">
        <v>0</v>
      </c>
      <c r="E430" s="226" t="s">
        <v>180</v>
      </c>
      <c r="F430" s="227" t="s">
        <v>702</v>
      </c>
      <c r="G430" s="227" t="s">
        <v>39</v>
      </c>
      <c r="H430" s="228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  <c r="Z430" s="222"/>
    </row>
    <row r="431" spans="1:26" ht="15.75" customHeight="1" x14ac:dyDescent="0.2">
      <c r="A431" s="224">
        <v>43488</v>
      </c>
      <c r="B431" s="225">
        <v>1473</v>
      </c>
      <c r="C431" s="225">
        <f>B431</f>
        <v>1473</v>
      </c>
      <c r="D431" s="225">
        <v>0</v>
      </c>
      <c r="E431" s="226" t="s">
        <v>168</v>
      </c>
      <c r="F431" s="227" t="s">
        <v>36</v>
      </c>
      <c r="G431" s="227" t="s">
        <v>37</v>
      </c>
      <c r="H431" s="228">
        <v>70</v>
      </c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  <c r="Z431" s="222"/>
    </row>
    <row r="432" spans="1:26" ht="15.75" customHeight="1" x14ac:dyDescent="0.2">
      <c r="A432" s="224">
        <v>43490</v>
      </c>
      <c r="B432" s="225">
        <v>-1319.33</v>
      </c>
      <c r="C432" s="225">
        <f>B432</f>
        <v>-1319.33</v>
      </c>
      <c r="D432" s="225">
        <v>0</v>
      </c>
      <c r="E432" s="226" t="s">
        <v>40</v>
      </c>
      <c r="F432" s="227" t="s">
        <v>698</v>
      </c>
      <c r="G432" s="227" t="s">
        <v>6</v>
      </c>
      <c r="H432" s="228">
        <v>68</v>
      </c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  <c r="Z432" s="222"/>
    </row>
    <row r="433" spans="1:26" ht="15.75" customHeight="1" x14ac:dyDescent="0.2">
      <c r="A433" s="224">
        <v>43490</v>
      </c>
      <c r="B433" s="225">
        <v>5000</v>
      </c>
      <c r="C433" s="225">
        <f>B433</f>
        <v>5000</v>
      </c>
      <c r="D433" s="225">
        <v>0</v>
      </c>
      <c r="E433" s="226" t="s">
        <v>181</v>
      </c>
      <c r="F433" s="227" t="s">
        <v>702</v>
      </c>
      <c r="G433" s="227" t="s">
        <v>39</v>
      </c>
      <c r="H433" s="228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  <c r="Z433" s="222"/>
    </row>
    <row r="434" spans="1:26" ht="15.75" customHeight="1" x14ac:dyDescent="0.2">
      <c r="A434" s="224">
        <v>43494</v>
      </c>
      <c r="B434" s="225">
        <v>-1396.75</v>
      </c>
      <c r="C434" s="225">
        <f>B434</f>
        <v>-1396.75</v>
      </c>
      <c r="D434" s="225">
        <v>0</v>
      </c>
      <c r="E434" s="226" t="s">
        <v>84</v>
      </c>
      <c r="F434" s="227" t="s">
        <v>698</v>
      </c>
      <c r="G434" s="227" t="s">
        <v>6</v>
      </c>
      <c r="H434" s="228">
        <v>70</v>
      </c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  <c r="Z434" s="222"/>
    </row>
    <row r="435" spans="1:26" ht="15.75" customHeight="1" x14ac:dyDescent="0.2">
      <c r="A435" s="224">
        <v>43495</v>
      </c>
      <c r="B435" s="225">
        <v>-85.7</v>
      </c>
      <c r="C435" s="225">
        <f>B435</f>
        <v>-85.7</v>
      </c>
      <c r="D435" s="225">
        <v>0</v>
      </c>
      <c r="E435" s="226" t="s">
        <v>66</v>
      </c>
      <c r="F435" s="227" t="s">
        <v>698</v>
      </c>
      <c r="G435" s="227" t="s">
        <v>61</v>
      </c>
      <c r="H435" s="228">
        <v>70</v>
      </c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  <c r="Z435" s="222"/>
    </row>
    <row r="436" spans="1:26" ht="15.75" customHeight="1" x14ac:dyDescent="0.2">
      <c r="A436" s="224">
        <v>43496</v>
      </c>
      <c r="B436" s="225">
        <v>5000</v>
      </c>
      <c r="C436" s="225">
        <f>B436</f>
        <v>5000</v>
      </c>
      <c r="D436" s="225">
        <v>0</v>
      </c>
      <c r="E436" s="226" t="s">
        <v>182</v>
      </c>
      <c r="F436" s="227" t="s">
        <v>702</v>
      </c>
      <c r="G436" s="227" t="s">
        <v>19</v>
      </c>
      <c r="H436" s="228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  <c r="Z436" s="222"/>
    </row>
    <row r="437" spans="1:26" ht="15.75" customHeight="1" x14ac:dyDescent="0.2">
      <c r="A437" s="224">
        <v>43497</v>
      </c>
      <c r="B437" s="225">
        <v>-225</v>
      </c>
      <c r="C437" s="225">
        <f>B437</f>
        <v>-225</v>
      </c>
      <c r="D437" s="225">
        <v>0</v>
      </c>
      <c r="E437" s="226" t="s">
        <v>183</v>
      </c>
      <c r="F437" s="227" t="s">
        <v>698</v>
      </c>
      <c r="G437" s="227" t="s">
        <v>117</v>
      </c>
      <c r="H437" s="228">
        <v>68</v>
      </c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  <c r="Z437" s="222"/>
    </row>
    <row r="438" spans="1:26" ht="15.75" customHeight="1" x14ac:dyDescent="0.2">
      <c r="A438" s="224">
        <v>43497</v>
      </c>
      <c r="B438" s="225">
        <v>-147.1</v>
      </c>
      <c r="C438" s="225">
        <f>B438</f>
        <v>-147.1</v>
      </c>
      <c r="D438" s="225">
        <v>0</v>
      </c>
      <c r="E438" s="226" t="s">
        <v>140</v>
      </c>
      <c r="F438" s="227" t="s">
        <v>698</v>
      </c>
      <c r="G438" s="227" t="s">
        <v>74</v>
      </c>
      <c r="H438" s="228">
        <v>70</v>
      </c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  <c r="Z438" s="222"/>
    </row>
    <row r="439" spans="1:26" ht="15.75" customHeight="1" x14ac:dyDescent="0.2">
      <c r="A439" s="224">
        <v>43497</v>
      </c>
      <c r="B439" s="225">
        <v>-147.1</v>
      </c>
      <c r="C439" s="225">
        <f>B439</f>
        <v>-147.1</v>
      </c>
      <c r="D439" s="225">
        <v>0</v>
      </c>
      <c r="E439" s="226" t="s">
        <v>73</v>
      </c>
      <c r="F439" s="227" t="s">
        <v>698</v>
      </c>
      <c r="G439" s="227" t="s">
        <v>74</v>
      </c>
      <c r="H439" s="228">
        <v>68</v>
      </c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  <c r="Z439" s="222"/>
    </row>
    <row r="440" spans="1:26" ht="15.75" customHeight="1" x14ac:dyDescent="0.2">
      <c r="A440" s="224">
        <v>43509</v>
      </c>
      <c r="B440" s="225">
        <v>-55</v>
      </c>
      <c r="C440" s="225">
        <f>B440</f>
        <v>-55</v>
      </c>
      <c r="D440" s="225">
        <v>0</v>
      </c>
      <c r="E440" s="226" t="s">
        <v>153</v>
      </c>
      <c r="F440" s="227" t="s">
        <v>698</v>
      </c>
      <c r="G440" s="227" t="s">
        <v>119</v>
      </c>
      <c r="H440" s="228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  <c r="Z440" s="222"/>
    </row>
    <row r="441" spans="1:26" ht="15.75" customHeight="1" x14ac:dyDescent="0.2">
      <c r="A441" s="224">
        <v>43509</v>
      </c>
      <c r="B441" s="225">
        <v>-55</v>
      </c>
      <c r="C441" s="225">
        <f>B441</f>
        <v>-55</v>
      </c>
      <c r="D441" s="225">
        <v>0</v>
      </c>
      <c r="E441" s="226" t="s">
        <v>118</v>
      </c>
      <c r="F441" s="227" t="s">
        <v>698</v>
      </c>
      <c r="G441" s="227" t="s">
        <v>119</v>
      </c>
      <c r="H441" s="228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  <c r="Z441" s="222"/>
    </row>
    <row r="442" spans="1:26" ht="15.75" customHeight="1" x14ac:dyDescent="0.2">
      <c r="A442" s="224">
        <v>43510</v>
      </c>
      <c r="B442" s="225">
        <v>5000</v>
      </c>
      <c r="C442" s="225">
        <f>B442</f>
        <v>5000</v>
      </c>
      <c r="D442" s="225">
        <v>0</v>
      </c>
      <c r="E442" s="226" t="s">
        <v>184</v>
      </c>
      <c r="F442" s="227" t="s">
        <v>702</v>
      </c>
      <c r="G442" s="227" t="s">
        <v>19</v>
      </c>
      <c r="H442" s="228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  <c r="Z442" s="222"/>
    </row>
    <row r="443" spans="1:26" ht="15.75" customHeight="1" x14ac:dyDescent="0.2">
      <c r="A443" s="224">
        <v>43511</v>
      </c>
      <c r="B443" s="225">
        <v>-102.71</v>
      </c>
      <c r="C443" s="225">
        <f>B443</f>
        <v>-102.71</v>
      </c>
      <c r="D443" s="225">
        <v>0</v>
      </c>
      <c r="E443" s="226" t="s">
        <v>60</v>
      </c>
      <c r="F443" s="227" t="s">
        <v>698</v>
      </c>
      <c r="G443" s="227" t="s">
        <v>61</v>
      </c>
      <c r="H443" s="228">
        <v>68</v>
      </c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  <c r="Z443" s="222"/>
    </row>
    <row r="444" spans="1:26" ht="15.75" customHeight="1" x14ac:dyDescent="0.2">
      <c r="A444" s="224">
        <v>43514</v>
      </c>
      <c r="B444" s="225">
        <v>200</v>
      </c>
      <c r="C444" s="225">
        <f>B444</f>
        <v>200</v>
      </c>
      <c r="D444" s="225">
        <v>0</v>
      </c>
      <c r="E444" s="226" t="s">
        <v>38</v>
      </c>
      <c r="F444" s="227" t="s">
        <v>702</v>
      </c>
      <c r="G444" s="227" t="s">
        <v>39</v>
      </c>
      <c r="H444" s="228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  <c r="Z444" s="222"/>
    </row>
    <row r="445" spans="1:26" ht="15.75" customHeight="1" x14ac:dyDescent="0.2">
      <c r="A445" s="224">
        <v>43516</v>
      </c>
      <c r="B445" s="225">
        <v>200</v>
      </c>
      <c r="C445" s="225">
        <f>B445</f>
        <v>200</v>
      </c>
      <c r="D445" s="225">
        <v>0</v>
      </c>
      <c r="E445" s="226" t="s">
        <v>137</v>
      </c>
      <c r="F445" s="227" t="s">
        <v>702</v>
      </c>
      <c r="G445" s="227" t="s">
        <v>19</v>
      </c>
      <c r="H445" s="228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  <c r="Z445" s="222"/>
    </row>
    <row r="446" spans="1:26" ht="15.75" customHeight="1" x14ac:dyDescent="0.2">
      <c r="A446" s="224">
        <v>43517</v>
      </c>
      <c r="B446" s="225">
        <v>-440</v>
      </c>
      <c r="C446" s="225">
        <f>B446</f>
        <v>-440</v>
      </c>
      <c r="D446" s="225">
        <v>0</v>
      </c>
      <c r="E446" s="226" t="s">
        <v>185</v>
      </c>
      <c r="F446" s="227" t="s">
        <v>48</v>
      </c>
      <c r="G446" s="227" t="s">
        <v>177</v>
      </c>
      <c r="H446" s="228" t="s">
        <v>186</v>
      </c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  <c r="Z446" s="222"/>
    </row>
    <row r="447" spans="1:26" ht="15.75" customHeight="1" x14ac:dyDescent="0.2">
      <c r="A447" s="224">
        <v>43517</v>
      </c>
      <c r="B447" s="225">
        <v>1290</v>
      </c>
      <c r="C447" s="225">
        <f>B447</f>
        <v>1290</v>
      </c>
      <c r="D447" s="225">
        <v>0</v>
      </c>
      <c r="E447" s="226" t="s">
        <v>158</v>
      </c>
      <c r="F447" s="227" t="s">
        <v>36</v>
      </c>
      <c r="G447" s="227" t="s">
        <v>37</v>
      </c>
      <c r="H447" s="228">
        <v>68</v>
      </c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  <c r="Z447" s="222"/>
    </row>
    <row r="448" spans="1:26" ht="15.75" customHeight="1" x14ac:dyDescent="0.2">
      <c r="A448" s="229">
        <v>43521</v>
      </c>
      <c r="B448" s="230">
        <v>-1295</v>
      </c>
      <c r="C448" s="225">
        <f>B448</f>
        <v>-1295</v>
      </c>
      <c r="D448" s="225">
        <v>0</v>
      </c>
      <c r="E448" s="231" t="s">
        <v>187</v>
      </c>
      <c r="F448" s="232" t="s">
        <v>48</v>
      </c>
      <c r="G448" s="232" t="s">
        <v>177</v>
      </c>
      <c r="H448" s="233" t="s">
        <v>188</v>
      </c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  <c r="Z448" s="222"/>
    </row>
    <row r="449" spans="1:26" ht="15.75" customHeight="1" x14ac:dyDescent="0.2">
      <c r="A449" s="224">
        <v>43521</v>
      </c>
      <c r="B449" s="225">
        <v>-1000</v>
      </c>
      <c r="C449" s="225">
        <f>B449</f>
        <v>-1000</v>
      </c>
      <c r="D449" s="225">
        <v>0</v>
      </c>
      <c r="E449" s="226" t="s">
        <v>189</v>
      </c>
      <c r="F449" s="227" t="s">
        <v>702</v>
      </c>
      <c r="G449" s="227" t="s">
        <v>19</v>
      </c>
      <c r="H449" s="228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  <c r="Z449" s="222"/>
    </row>
    <row r="450" spans="1:26" ht="15.75" customHeight="1" x14ac:dyDescent="0.2">
      <c r="A450" s="224">
        <v>43523</v>
      </c>
      <c r="B450" s="225">
        <v>-1319.38</v>
      </c>
      <c r="C450" s="225">
        <f>B450</f>
        <v>-1319.38</v>
      </c>
      <c r="D450" s="225">
        <v>0</v>
      </c>
      <c r="E450" s="226" t="s">
        <v>40</v>
      </c>
      <c r="F450" s="227" t="s">
        <v>698</v>
      </c>
      <c r="G450" s="227" t="s">
        <v>6</v>
      </c>
      <c r="H450" s="228">
        <v>70</v>
      </c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</row>
    <row r="451" spans="1:26" ht="15.75" customHeight="1" x14ac:dyDescent="0.2">
      <c r="A451" s="224">
        <v>43523</v>
      </c>
      <c r="B451" s="225">
        <v>1473</v>
      </c>
      <c r="C451" s="225">
        <f>B451</f>
        <v>1473</v>
      </c>
      <c r="D451" s="225">
        <v>0</v>
      </c>
      <c r="E451" s="226" t="s">
        <v>168</v>
      </c>
      <c r="F451" s="227" t="s">
        <v>36</v>
      </c>
      <c r="G451" s="227" t="s">
        <v>37</v>
      </c>
      <c r="H451" s="228">
        <v>70</v>
      </c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  <c r="Z451" s="222"/>
    </row>
    <row r="452" spans="1:26" ht="15.75" customHeight="1" x14ac:dyDescent="0.2">
      <c r="A452" s="224">
        <v>43524</v>
      </c>
      <c r="B452" s="225">
        <v>-9955</v>
      </c>
      <c r="C452" s="225">
        <f>B452</f>
        <v>-9955</v>
      </c>
      <c r="D452" s="225">
        <v>0</v>
      </c>
      <c r="E452" s="226" t="s">
        <v>190</v>
      </c>
      <c r="F452" s="227" t="s">
        <v>48</v>
      </c>
      <c r="G452" s="227" t="s">
        <v>177</v>
      </c>
      <c r="H452" s="228" t="s">
        <v>50</v>
      </c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  <c r="Z452" s="222"/>
    </row>
    <row r="453" spans="1:26" ht="15.75" customHeight="1" x14ac:dyDescent="0.2">
      <c r="A453" s="224">
        <v>43524</v>
      </c>
      <c r="B453" s="225">
        <v>-1360.93</v>
      </c>
      <c r="C453" s="225">
        <f>B453</f>
        <v>-1360.93</v>
      </c>
      <c r="D453" s="225">
        <v>0</v>
      </c>
      <c r="E453" s="226" t="s">
        <v>84</v>
      </c>
      <c r="F453" s="227" t="s">
        <v>698</v>
      </c>
      <c r="G453" s="227" t="s">
        <v>6</v>
      </c>
      <c r="H453" s="228">
        <v>70</v>
      </c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  <c r="Z453" s="222"/>
    </row>
    <row r="454" spans="1:26" ht="15.75" customHeight="1" x14ac:dyDescent="0.2">
      <c r="A454" s="224">
        <v>43525</v>
      </c>
      <c r="B454" s="225">
        <v>-85.7</v>
      </c>
      <c r="C454" s="225">
        <f>B454</f>
        <v>-85.7</v>
      </c>
      <c r="D454" s="225">
        <v>0</v>
      </c>
      <c r="E454" s="226" t="s">
        <v>66</v>
      </c>
      <c r="F454" s="227" t="s">
        <v>698</v>
      </c>
      <c r="G454" s="227" t="s">
        <v>61</v>
      </c>
      <c r="H454" s="228">
        <v>70</v>
      </c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  <c r="Z454" s="222"/>
    </row>
    <row r="455" spans="1:26" ht="15.75" customHeight="1" x14ac:dyDescent="0.2">
      <c r="A455" s="224">
        <v>43529</v>
      </c>
      <c r="B455" s="225">
        <v>-331</v>
      </c>
      <c r="C455" s="225">
        <f>B455</f>
        <v>-331</v>
      </c>
      <c r="D455" s="225">
        <v>0</v>
      </c>
      <c r="E455" s="226" t="s">
        <v>134</v>
      </c>
      <c r="F455" s="227" t="s">
        <v>698</v>
      </c>
      <c r="G455" s="227" t="s">
        <v>46</v>
      </c>
      <c r="H455" s="228">
        <v>70</v>
      </c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</row>
    <row r="456" spans="1:26" ht="15.75" customHeight="1" x14ac:dyDescent="0.2">
      <c r="A456" s="224">
        <v>43529</v>
      </c>
      <c r="B456" s="225">
        <v>-322.7</v>
      </c>
      <c r="C456" s="225">
        <f>B456</f>
        <v>-322.7</v>
      </c>
      <c r="D456" s="225">
        <v>0</v>
      </c>
      <c r="E456" s="226" t="s">
        <v>97</v>
      </c>
      <c r="F456" s="227" t="s">
        <v>698</v>
      </c>
      <c r="G456" s="227" t="s">
        <v>46</v>
      </c>
      <c r="H456" s="228">
        <v>68</v>
      </c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  <c r="Z456" s="222"/>
    </row>
    <row r="457" spans="1:26" ht="15.75" customHeight="1" x14ac:dyDescent="0.2">
      <c r="A457" s="224">
        <v>43537</v>
      </c>
      <c r="B457" s="225">
        <v>-55</v>
      </c>
      <c r="C457" s="225">
        <f>B457</f>
        <v>-55</v>
      </c>
      <c r="D457" s="225">
        <v>0</v>
      </c>
      <c r="E457" s="226" t="s">
        <v>153</v>
      </c>
      <c r="F457" s="227" t="s">
        <v>698</v>
      </c>
      <c r="G457" s="227" t="s">
        <v>119</v>
      </c>
      <c r="H457" s="228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  <c r="Z457" s="222"/>
    </row>
    <row r="458" spans="1:26" ht="15.75" customHeight="1" x14ac:dyDescent="0.2">
      <c r="A458" s="224">
        <v>43537</v>
      </c>
      <c r="B458" s="225">
        <v>-55</v>
      </c>
      <c r="C458" s="225">
        <f>B458</f>
        <v>-55</v>
      </c>
      <c r="D458" s="225">
        <v>0</v>
      </c>
      <c r="E458" s="226" t="s">
        <v>118</v>
      </c>
      <c r="F458" s="227" t="s">
        <v>698</v>
      </c>
      <c r="G458" s="227" t="s">
        <v>119</v>
      </c>
      <c r="H458" s="228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  <c r="Z458" s="222"/>
    </row>
    <row r="459" spans="1:26" ht="15.75" customHeight="1" x14ac:dyDescent="0.2">
      <c r="A459" s="224">
        <v>43538</v>
      </c>
      <c r="B459" s="225">
        <v>1000</v>
      </c>
      <c r="C459" s="225">
        <f>B459</f>
        <v>1000</v>
      </c>
      <c r="D459" s="225">
        <v>0</v>
      </c>
      <c r="E459" s="226" t="s">
        <v>191</v>
      </c>
      <c r="F459" s="227" t="s">
        <v>702</v>
      </c>
      <c r="G459" s="227" t="s">
        <v>19</v>
      </c>
      <c r="H459" s="228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  <c r="Z459" s="222"/>
    </row>
    <row r="460" spans="1:26" ht="15.75" customHeight="1" x14ac:dyDescent="0.2">
      <c r="A460" s="224">
        <v>43539</v>
      </c>
      <c r="B460" s="225">
        <v>-102.71</v>
      </c>
      <c r="C460" s="225">
        <f>B460</f>
        <v>-102.71</v>
      </c>
      <c r="D460" s="225">
        <v>0</v>
      </c>
      <c r="E460" s="226" t="s">
        <v>60</v>
      </c>
      <c r="F460" s="227" t="s">
        <v>698</v>
      </c>
      <c r="G460" s="227" t="s">
        <v>61</v>
      </c>
      <c r="H460" s="228">
        <v>68</v>
      </c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  <c r="Z460" s="222"/>
    </row>
    <row r="461" spans="1:26" ht="15.75" customHeight="1" x14ac:dyDescent="0.2">
      <c r="A461" s="224">
        <v>43542</v>
      </c>
      <c r="B461" s="225">
        <v>200</v>
      </c>
      <c r="C461" s="225">
        <f>B461</f>
        <v>200</v>
      </c>
      <c r="D461" s="225">
        <v>0</v>
      </c>
      <c r="E461" s="226" t="s">
        <v>38</v>
      </c>
      <c r="F461" s="227" t="s">
        <v>702</v>
      </c>
      <c r="G461" s="227" t="s">
        <v>39</v>
      </c>
      <c r="H461" s="228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  <c r="Z461" s="222"/>
    </row>
    <row r="462" spans="1:26" ht="15.75" customHeight="1" x14ac:dyDescent="0.2">
      <c r="A462" s="224">
        <v>43544</v>
      </c>
      <c r="B462" s="225">
        <v>-500</v>
      </c>
      <c r="C462" s="225">
        <f>B462</f>
        <v>-500</v>
      </c>
      <c r="D462" s="225">
        <v>0</v>
      </c>
      <c r="E462" s="226" t="s">
        <v>192</v>
      </c>
      <c r="F462" s="227" t="s">
        <v>702</v>
      </c>
      <c r="G462" s="227" t="s">
        <v>19</v>
      </c>
      <c r="H462" s="228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  <c r="Z462" s="222"/>
    </row>
    <row r="463" spans="1:26" ht="15.75" customHeight="1" x14ac:dyDescent="0.2">
      <c r="A463" s="224">
        <v>43544</v>
      </c>
      <c r="B463" s="225">
        <v>200</v>
      </c>
      <c r="C463" s="225">
        <f>B463</f>
        <v>200</v>
      </c>
      <c r="D463" s="225">
        <v>0</v>
      </c>
      <c r="E463" s="226" t="s">
        <v>137</v>
      </c>
      <c r="F463" s="227" t="s">
        <v>702</v>
      </c>
      <c r="G463" s="227" t="s">
        <v>19</v>
      </c>
      <c r="H463" s="228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  <c r="Z463" s="222"/>
    </row>
    <row r="464" spans="1:26" ht="15.75" customHeight="1" x14ac:dyDescent="0.2">
      <c r="A464" s="224">
        <v>43544</v>
      </c>
      <c r="B464" s="225">
        <v>1473</v>
      </c>
      <c r="C464" s="225">
        <f>B464</f>
        <v>1473</v>
      </c>
      <c r="D464" s="225">
        <v>0</v>
      </c>
      <c r="E464" s="226" t="s">
        <v>193</v>
      </c>
      <c r="F464" s="227" t="s">
        <v>36</v>
      </c>
      <c r="G464" s="227" t="s">
        <v>37</v>
      </c>
      <c r="H464" s="228">
        <v>70</v>
      </c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  <c r="Z464" s="222"/>
    </row>
    <row r="465" spans="1:26" ht="15.75" customHeight="1" x14ac:dyDescent="0.2">
      <c r="A465" s="224">
        <v>43546</v>
      </c>
      <c r="B465" s="225">
        <v>1290</v>
      </c>
      <c r="C465" s="225">
        <f>B465</f>
        <v>1290</v>
      </c>
      <c r="D465" s="225">
        <v>0</v>
      </c>
      <c r="E465" s="226" t="s">
        <v>158</v>
      </c>
      <c r="F465" s="227" t="s">
        <v>36</v>
      </c>
      <c r="G465" s="227" t="s">
        <v>37</v>
      </c>
      <c r="H465" s="228">
        <v>68</v>
      </c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  <c r="Z465" s="222"/>
    </row>
    <row r="466" spans="1:26" ht="15.75" customHeight="1" x14ac:dyDescent="0.2">
      <c r="A466" s="224">
        <v>43550</v>
      </c>
      <c r="B466" s="225">
        <v>-250</v>
      </c>
      <c r="C466" s="225">
        <f>B466</f>
        <v>-250</v>
      </c>
      <c r="D466" s="225">
        <v>0</v>
      </c>
      <c r="E466" s="226" t="s">
        <v>194</v>
      </c>
      <c r="F466" s="227" t="s">
        <v>702</v>
      </c>
      <c r="G466" s="227" t="s">
        <v>19</v>
      </c>
      <c r="H466" s="228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  <c r="Z466" s="222"/>
    </row>
    <row r="467" spans="1:26" ht="15.75" customHeight="1" x14ac:dyDescent="0.2">
      <c r="A467" s="224">
        <v>43551</v>
      </c>
      <c r="B467" s="225">
        <v>-1192.71</v>
      </c>
      <c r="C467" s="225">
        <f>B467</f>
        <v>-1192.71</v>
      </c>
      <c r="D467" s="225">
        <v>0</v>
      </c>
      <c r="E467" s="226" t="s">
        <v>40</v>
      </c>
      <c r="F467" s="227" t="s">
        <v>698</v>
      </c>
      <c r="G467" s="227" t="s">
        <v>6</v>
      </c>
      <c r="H467" s="228">
        <v>68</v>
      </c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  <c r="Z467" s="222"/>
    </row>
    <row r="468" spans="1:26" ht="15.75" customHeight="1" x14ac:dyDescent="0.2">
      <c r="A468" s="224">
        <v>43551</v>
      </c>
      <c r="B468" s="225">
        <v>-250</v>
      </c>
      <c r="C468" s="225">
        <f>B468</f>
        <v>-250</v>
      </c>
      <c r="D468" s="225">
        <v>0</v>
      </c>
      <c r="E468" s="226" t="s">
        <v>194</v>
      </c>
      <c r="F468" s="227" t="s">
        <v>702</v>
      </c>
      <c r="G468" s="227" t="s">
        <v>19</v>
      </c>
      <c r="H468" s="228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  <c r="Z468" s="222"/>
    </row>
    <row r="469" spans="1:26" ht="15.75" customHeight="1" x14ac:dyDescent="0.2">
      <c r="A469" s="224">
        <v>43552</v>
      </c>
      <c r="B469" s="225">
        <v>-1229.23</v>
      </c>
      <c r="C469" s="225">
        <f>B469</f>
        <v>-1229.23</v>
      </c>
      <c r="D469" s="225">
        <v>0</v>
      </c>
      <c r="E469" s="226" t="s">
        <v>84</v>
      </c>
      <c r="F469" s="227" t="s">
        <v>698</v>
      </c>
      <c r="G469" s="227" t="s">
        <v>6</v>
      </c>
      <c r="H469" s="228">
        <v>70</v>
      </c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  <c r="Z469" s="222"/>
    </row>
    <row r="470" spans="1:26" ht="15.75" customHeight="1" x14ac:dyDescent="0.2">
      <c r="A470" s="224">
        <v>43556</v>
      </c>
      <c r="B470" s="225">
        <v>-85.7</v>
      </c>
      <c r="C470" s="225">
        <f>B470</f>
        <v>-85.7</v>
      </c>
      <c r="D470" s="225">
        <v>0</v>
      </c>
      <c r="E470" s="226" t="s">
        <v>66</v>
      </c>
      <c r="F470" s="227" t="s">
        <v>698</v>
      </c>
      <c r="G470" s="227" t="s">
        <v>61</v>
      </c>
      <c r="H470" s="228">
        <v>70</v>
      </c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  <c r="Z470" s="222"/>
    </row>
    <row r="471" spans="1:26" ht="15.75" customHeight="1" x14ac:dyDescent="0.2">
      <c r="A471" s="224">
        <v>43558</v>
      </c>
      <c r="B471" s="225">
        <v>500</v>
      </c>
      <c r="C471" s="225">
        <f>B471</f>
        <v>500</v>
      </c>
      <c r="D471" s="225">
        <v>0</v>
      </c>
      <c r="E471" s="226" t="s">
        <v>195</v>
      </c>
      <c r="F471" s="227" t="s">
        <v>702</v>
      </c>
      <c r="G471" s="227" t="s">
        <v>19</v>
      </c>
      <c r="H471" s="228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  <c r="Z471" s="222"/>
    </row>
    <row r="472" spans="1:26" ht="15.75" customHeight="1" x14ac:dyDescent="0.2">
      <c r="A472" s="224">
        <v>43560</v>
      </c>
      <c r="B472" s="225">
        <v>5000</v>
      </c>
      <c r="C472" s="225">
        <f>B472</f>
        <v>5000</v>
      </c>
      <c r="D472" s="225">
        <v>0</v>
      </c>
      <c r="E472" s="226" t="s">
        <v>196</v>
      </c>
      <c r="F472" s="227" t="s">
        <v>702</v>
      </c>
      <c r="G472" s="227" t="s">
        <v>39</v>
      </c>
      <c r="H472" s="228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  <c r="Z472" s="222"/>
    </row>
    <row r="473" spans="1:26" ht="15.75" customHeight="1" x14ac:dyDescent="0.2">
      <c r="A473" s="224">
        <v>43563</v>
      </c>
      <c r="B473" s="225">
        <v>-4000</v>
      </c>
      <c r="C473" s="225">
        <f>B473</f>
        <v>-4000</v>
      </c>
      <c r="D473" s="225">
        <v>0</v>
      </c>
      <c r="E473" s="226" t="s">
        <v>197</v>
      </c>
      <c r="F473" s="227" t="s">
        <v>198</v>
      </c>
      <c r="G473" s="227"/>
      <c r="H473" s="228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</row>
    <row r="474" spans="1:26" ht="15.75" customHeight="1" x14ac:dyDescent="0.2">
      <c r="A474" s="224">
        <v>43564</v>
      </c>
      <c r="B474" s="225">
        <v>-2000</v>
      </c>
      <c r="C474" s="225">
        <f>B474</f>
        <v>-2000</v>
      </c>
      <c r="D474" s="225">
        <v>0</v>
      </c>
      <c r="E474" s="226" t="s">
        <v>199</v>
      </c>
      <c r="F474" s="227" t="s">
        <v>702</v>
      </c>
      <c r="G474" s="227" t="s">
        <v>19</v>
      </c>
      <c r="H474" s="228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  <c r="Z474" s="222"/>
    </row>
    <row r="475" spans="1:26" ht="15.75" customHeight="1" x14ac:dyDescent="0.2">
      <c r="A475" s="224">
        <v>43564</v>
      </c>
      <c r="B475" s="225">
        <v>10000</v>
      </c>
      <c r="C475" s="225">
        <f>B475</f>
        <v>10000</v>
      </c>
      <c r="D475" s="225">
        <v>0</v>
      </c>
      <c r="E475" s="226" t="s">
        <v>200</v>
      </c>
      <c r="F475" s="227" t="s">
        <v>702</v>
      </c>
      <c r="G475" s="227" t="s">
        <v>19</v>
      </c>
      <c r="H475" s="228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  <c r="Z475" s="222"/>
    </row>
    <row r="476" spans="1:26" ht="15.75" customHeight="1" x14ac:dyDescent="0.2">
      <c r="A476" s="224">
        <v>43565</v>
      </c>
      <c r="B476" s="225">
        <v>5000</v>
      </c>
      <c r="C476" s="225">
        <f>B476</f>
        <v>5000</v>
      </c>
      <c r="D476" s="225">
        <v>0</v>
      </c>
      <c r="E476" s="226" t="s">
        <v>196</v>
      </c>
      <c r="F476" s="227" t="s">
        <v>702</v>
      </c>
      <c r="G476" s="227" t="s">
        <v>39</v>
      </c>
      <c r="H476" s="228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  <c r="Z476" s="222"/>
    </row>
    <row r="477" spans="1:26" ht="15.75" customHeight="1" x14ac:dyDescent="0.2">
      <c r="A477" s="224">
        <v>43568</v>
      </c>
      <c r="B477" s="225">
        <v>-55</v>
      </c>
      <c r="C477" s="225">
        <f>B477</f>
        <v>-55</v>
      </c>
      <c r="D477" s="225">
        <v>0</v>
      </c>
      <c r="E477" s="226" t="s">
        <v>153</v>
      </c>
      <c r="F477" s="227" t="s">
        <v>698</v>
      </c>
      <c r="G477" s="227" t="s">
        <v>119</v>
      </c>
      <c r="H477" s="228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  <c r="Z477" s="222"/>
    </row>
    <row r="478" spans="1:26" ht="15.75" customHeight="1" x14ac:dyDescent="0.2">
      <c r="A478" s="224">
        <v>43568</v>
      </c>
      <c r="B478" s="225">
        <v>-55</v>
      </c>
      <c r="C478" s="225">
        <f>B478</f>
        <v>-55</v>
      </c>
      <c r="D478" s="225">
        <v>0</v>
      </c>
      <c r="E478" s="226" t="s">
        <v>118</v>
      </c>
      <c r="F478" s="227" t="s">
        <v>698</v>
      </c>
      <c r="G478" s="227" t="s">
        <v>119</v>
      </c>
      <c r="H478" s="228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  <c r="Z478" s="222"/>
    </row>
    <row r="479" spans="1:26" ht="15.75" customHeight="1" x14ac:dyDescent="0.2">
      <c r="A479" s="224">
        <v>43569</v>
      </c>
      <c r="B479" s="225">
        <v>-3107.5</v>
      </c>
      <c r="C479" s="225">
        <f>B479</f>
        <v>-3107.5</v>
      </c>
      <c r="D479" s="225">
        <v>0</v>
      </c>
      <c r="E479" s="226" t="s">
        <v>201</v>
      </c>
      <c r="F479" s="227" t="s">
        <v>697</v>
      </c>
      <c r="G479" s="227" t="s">
        <v>203</v>
      </c>
      <c r="H479" s="228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  <c r="Z479" s="222"/>
    </row>
    <row r="480" spans="1:26" ht="15.75" customHeight="1" x14ac:dyDescent="0.2">
      <c r="A480" s="224">
        <v>43571</v>
      </c>
      <c r="B480" s="225">
        <v>-102.71</v>
      </c>
      <c r="C480" s="225">
        <f>B480</f>
        <v>-102.71</v>
      </c>
      <c r="D480" s="225">
        <v>0</v>
      </c>
      <c r="E480" s="226" t="s">
        <v>60</v>
      </c>
      <c r="F480" s="227" t="s">
        <v>698</v>
      </c>
      <c r="G480" s="227" t="s">
        <v>61</v>
      </c>
      <c r="H480" s="228">
        <v>68</v>
      </c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  <c r="Z480" s="222"/>
    </row>
    <row r="481" spans="1:26" ht="15.75" customHeight="1" x14ac:dyDescent="0.2">
      <c r="A481" s="224">
        <v>43571</v>
      </c>
      <c r="B481" s="225">
        <v>200</v>
      </c>
      <c r="C481" s="225">
        <f>B481</f>
        <v>200</v>
      </c>
      <c r="D481" s="225">
        <v>0</v>
      </c>
      <c r="E481" s="226" t="s">
        <v>38</v>
      </c>
      <c r="F481" s="227" t="s">
        <v>702</v>
      </c>
      <c r="G481" s="227" t="s">
        <v>39</v>
      </c>
      <c r="H481" s="228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  <c r="Z481" s="222"/>
    </row>
    <row r="482" spans="1:26" ht="15.75" customHeight="1" x14ac:dyDescent="0.2">
      <c r="A482" s="224">
        <v>43572</v>
      </c>
      <c r="B482" s="225">
        <v>1473</v>
      </c>
      <c r="C482" s="225">
        <f>B482</f>
        <v>1473</v>
      </c>
      <c r="D482" s="225">
        <v>0</v>
      </c>
      <c r="E482" s="226" t="s">
        <v>168</v>
      </c>
      <c r="F482" s="227" t="s">
        <v>36</v>
      </c>
      <c r="G482" s="227" t="s">
        <v>37</v>
      </c>
      <c r="H482" s="228">
        <v>70</v>
      </c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  <c r="Z482" s="222"/>
    </row>
    <row r="483" spans="1:26" ht="15.75" customHeight="1" x14ac:dyDescent="0.2">
      <c r="A483" s="224">
        <v>43575</v>
      </c>
      <c r="B483" s="225">
        <v>200</v>
      </c>
      <c r="C483" s="225">
        <f>B483</f>
        <v>200</v>
      </c>
      <c r="D483" s="225">
        <v>0</v>
      </c>
      <c r="E483" s="226" t="s">
        <v>137</v>
      </c>
      <c r="F483" s="227" t="s">
        <v>702</v>
      </c>
      <c r="G483" s="227" t="s">
        <v>19</v>
      </c>
      <c r="H483" s="228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  <c r="Z483" s="222"/>
    </row>
    <row r="484" spans="1:26" ht="15.75" customHeight="1" x14ac:dyDescent="0.2">
      <c r="A484" s="224">
        <v>43575</v>
      </c>
      <c r="B484" s="225">
        <v>250</v>
      </c>
      <c r="C484" s="225">
        <f>B484</f>
        <v>250</v>
      </c>
      <c r="D484" s="225">
        <v>0</v>
      </c>
      <c r="E484" s="226" t="s">
        <v>204</v>
      </c>
      <c r="F484" s="227" t="s">
        <v>702</v>
      </c>
      <c r="G484" s="227" t="s">
        <v>19</v>
      </c>
      <c r="H484" s="228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</row>
    <row r="485" spans="1:26" ht="15.75" customHeight="1" x14ac:dyDescent="0.2">
      <c r="A485" s="224">
        <v>43578</v>
      </c>
      <c r="B485" s="225">
        <v>1290</v>
      </c>
      <c r="C485" s="225">
        <f>B485</f>
        <v>1290</v>
      </c>
      <c r="D485" s="225">
        <v>0</v>
      </c>
      <c r="E485" s="226" t="s">
        <v>158</v>
      </c>
      <c r="F485" s="227" t="s">
        <v>36</v>
      </c>
      <c r="G485" s="227" t="s">
        <v>37</v>
      </c>
      <c r="H485" s="228">
        <v>68</v>
      </c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</row>
    <row r="486" spans="1:26" ht="15.75" customHeight="1" x14ac:dyDescent="0.2">
      <c r="A486" s="224">
        <v>43581</v>
      </c>
      <c r="B486" s="225">
        <v>-1319.54</v>
      </c>
      <c r="C486" s="225">
        <f>B486</f>
        <v>-1319.54</v>
      </c>
      <c r="D486" s="225">
        <v>0</v>
      </c>
      <c r="E486" s="226" t="s">
        <v>40</v>
      </c>
      <c r="F486" s="227" t="s">
        <v>698</v>
      </c>
      <c r="G486" s="227" t="s">
        <v>6</v>
      </c>
      <c r="H486" s="228">
        <v>68</v>
      </c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  <c r="Z486" s="222"/>
    </row>
    <row r="487" spans="1:26" ht="15.75" customHeight="1" x14ac:dyDescent="0.2">
      <c r="A487" s="224">
        <v>43584</v>
      </c>
      <c r="B487" s="225">
        <v>-1360.93</v>
      </c>
      <c r="C487" s="225">
        <f>B487</f>
        <v>-1360.93</v>
      </c>
      <c r="D487" s="225">
        <v>0</v>
      </c>
      <c r="E487" s="226" t="s">
        <v>84</v>
      </c>
      <c r="F487" s="227" t="s">
        <v>698</v>
      </c>
      <c r="G487" s="227" t="s">
        <v>6</v>
      </c>
      <c r="H487" s="228">
        <v>70</v>
      </c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</row>
    <row r="488" spans="1:26" ht="15.75" customHeight="1" x14ac:dyDescent="0.2">
      <c r="A488" s="224">
        <v>43585</v>
      </c>
      <c r="B488" s="225">
        <v>-85.7</v>
      </c>
      <c r="C488" s="225">
        <f>B488</f>
        <v>-85.7</v>
      </c>
      <c r="D488" s="225">
        <v>0</v>
      </c>
      <c r="E488" s="226" t="s">
        <v>66</v>
      </c>
      <c r="F488" s="227" t="s">
        <v>698</v>
      </c>
      <c r="G488" s="227" t="s">
        <v>61</v>
      </c>
      <c r="H488" s="228">
        <v>70</v>
      </c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  <c r="Z488" s="222"/>
    </row>
    <row r="489" spans="1:26" ht="15.75" customHeight="1" x14ac:dyDescent="0.2">
      <c r="A489" s="224">
        <v>43586</v>
      </c>
      <c r="B489" s="225">
        <v>-147.1</v>
      </c>
      <c r="C489" s="225">
        <f>B489</f>
        <v>-147.1</v>
      </c>
      <c r="D489" s="225">
        <v>0</v>
      </c>
      <c r="E489" s="226" t="s">
        <v>73</v>
      </c>
      <c r="F489" s="227" t="s">
        <v>698</v>
      </c>
      <c r="G489" s="227" t="s">
        <v>74</v>
      </c>
      <c r="H489" s="228">
        <v>68</v>
      </c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  <c r="Z489" s="222"/>
    </row>
    <row r="490" spans="1:26" ht="15.75" customHeight="1" x14ac:dyDescent="0.2">
      <c r="A490" s="224">
        <v>43586</v>
      </c>
      <c r="B490" s="225">
        <v>-147.1</v>
      </c>
      <c r="C490" s="225">
        <f>B490</f>
        <v>-147.1</v>
      </c>
      <c r="D490" s="225">
        <v>0</v>
      </c>
      <c r="E490" s="226" t="s">
        <v>140</v>
      </c>
      <c r="F490" s="227" t="s">
        <v>698</v>
      </c>
      <c r="G490" s="227" t="s">
        <v>74</v>
      </c>
      <c r="H490" s="228">
        <v>70</v>
      </c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  <c r="Z490" s="222"/>
    </row>
    <row r="491" spans="1:26" ht="15.75" customHeight="1" x14ac:dyDescent="0.2">
      <c r="A491" s="224">
        <v>43586</v>
      </c>
      <c r="B491" s="225">
        <v>500</v>
      </c>
      <c r="C491" s="225">
        <f>B491</f>
        <v>500</v>
      </c>
      <c r="D491" s="225">
        <v>0</v>
      </c>
      <c r="E491" s="226" t="s">
        <v>205</v>
      </c>
      <c r="F491" s="227" t="s">
        <v>702</v>
      </c>
      <c r="G491" s="227" t="s">
        <v>19</v>
      </c>
      <c r="H491" s="228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  <c r="Z491" s="222"/>
    </row>
    <row r="492" spans="1:26" ht="15.75" customHeight="1" x14ac:dyDescent="0.2">
      <c r="A492" s="224">
        <v>43587</v>
      </c>
      <c r="B492" s="225">
        <v>-1500</v>
      </c>
      <c r="C492" s="225">
        <f>B492</f>
        <v>-1500</v>
      </c>
      <c r="D492" s="225">
        <v>0</v>
      </c>
      <c r="E492" s="226" t="s">
        <v>206</v>
      </c>
      <c r="F492" s="227" t="s">
        <v>702</v>
      </c>
      <c r="G492" s="227" t="s">
        <v>19</v>
      </c>
      <c r="H492" s="228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  <c r="Z492" s="222"/>
    </row>
    <row r="493" spans="1:26" ht="15.75" customHeight="1" x14ac:dyDescent="0.2">
      <c r="A493" s="224">
        <v>43591</v>
      </c>
      <c r="B493" s="225">
        <v>-2032</v>
      </c>
      <c r="C493" s="225">
        <f>B493</f>
        <v>-2032</v>
      </c>
      <c r="D493" s="225">
        <v>0</v>
      </c>
      <c r="E493" s="226" t="s">
        <v>207</v>
      </c>
      <c r="F493" s="227" t="s">
        <v>701</v>
      </c>
      <c r="G493" s="227"/>
      <c r="H493" s="228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  <c r="Z493" s="222"/>
    </row>
    <row r="494" spans="1:26" ht="15.75" customHeight="1" x14ac:dyDescent="0.2">
      <c r="A494" s="224">
        <v>43592</v>
      </c>
      <c r="B494" s="225">
        <v>2032</v>
      </c>
      <c r="C494" s="225">
        <f>B494</f>
        <v>2032</v>
      </c>
      <c r="D494" s="225">
        <v>0</v>
      </c>
      <c r="E494" s="226" t="s">
        <v>208</v>
      </c>
      <c r="F494" s="227" t="s">
        <v>702</v>
      </c>
      <c r="G494" s="227" t="s">
        <v>19</v>
      </c>
      <c r="H494" s="228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</row>
    <row r="495" spans="1:26" ht="15.75" customHeight="1" x14ac:dyDescent="0.2">
      <c r="A495" s="224">
        <v>43593</v>
      </c>
      <c r="B495" s="225">
        <v>-2032</v>
      </c>
      <c r="C495" s="225">
        <f>B495</f>
        <v>-2032</v>
      </c>
      <c r="D495" s="225">
        <v>0</v>
      </c>
      <c r="E495" s="226" t="s">
        <v>207</v>
      </c>
      <c r="F495" s="227" t="s">
        <v>702</v>
      </c>
      <c r="G495" s="227" t="s">
        <v>19</v>
      </c>
      <c r="H495" s="228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  <c r="Z495" s="222"/>
    </row>
    <row r="496" spans="1:26" ht="15.75" customHeight="1" x14ac:dyDescent="0.2">
      <c r="A496" s="224">
        <v>43598</v>
      </c>
      <c r="B496" s="225">
        <v>-1600</v>
      </c>
      <c r="C496" s="225">
        <f>B496</f>
        <v>-1600</v>
      </c>
      <c r="D496" s="225">
        <v>0</v>
      </c>
      <c r="E496" s="226" t="s">
        <v>209</v>
      </c>
      <c r="F496" s="227" t="s">
        <v>198</v>
      </c>
      <c r="G496" s="227"/>
      <c r="H496" s="228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  <c r="Z496" s="222"/>
    </row>
    <row r="497" spans="1:26" ht="15.75" customHeight="1" x14ac:dyDescent="0.2">
      <c r="A497" s="224">
        <v>43598</v>
      </c>
      <c r="B497" s="225">
        <v>-55</v>
      </c>
      <c r="C497" s="225">
        <f>B497</f>
        <v>-55</v>
      </c>
      <c r="D497" s="225">
        <v>0</v>
      </c>
      <c r="E497" s="226" t="s">
        <v>153</v>
      </c>
      <c r="F497" s="227" t="s">
        <v>698</v>
      </c>
      <c r="G497" s="227" t="s">
        <v>119</v>
      </c>
      <c r="H497" s="228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  <c r="Z497" s="222"/>
    </row>
    <row r="498" spans="1:26" ht="15.75" customHeight="1" x14ac:dyDescent="0.2">
      <c r="A498" s="224">
        <v>43598</v>
      </c>
      <c r="B498" s="225">
        <v>-55</v>
      </c>
      <c r="C498" s="225">
        <f>B498</f>
        <v>-55</v>
      </c>
      <c r="D498" s="225">
        <v>0</v>
      </c>
      <c r="E498" s="226" t="s">
        <v>118</v>
      </c>
      <c r="F498" s="227" t="s">
        <v>698</v>
      </c>
      <c r="G498" s="227" t="s">
        <v>119</v>
      </c>
      <c r="H498" s="228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  <c r="Z498" s="222"/>
    </row>
    <row r="499" spans="1:26" ht="15.75" customHeight="1" x14ac:dyDescent="0.2">
      <c r="A499" s="224">
        <v>43600</v>
      </c>
      <c r="B499" s="225">
        <v>-102.71</v>
      </c>
      <c r="C499" s="225">
        <f>B499</f>
        <v>-102.71</v>
      </c>
      <c r="D499" s="225">
        <v>0</v>
      </c>
      <c r="E499" s="226" t="s">
        <v>60</v>
      </c>
      <c r="F499" s="227" t="s">
        <v>698</v>
      </c>
      <c r="G499" s="227" t="s">
        <v>61</v>
      </c>
      <c r="H499" s="228">
        <v>68</v>
      </c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  <c r="Z499" s="222"/>
    </row>
    <row r="500" spans="1:26" ht="15.75" customHeight="1" x14ac:dyDescent="0.2">
      <c r="A500" s="224">
        <v>43600</v>
      </c>
      <c r="B500" s="225">
        <v>2000</v>
      </c>
      <c r="C500" s="225">
        <f>B500</f>
        <v>2000</v>
      </c>
      <c r="D500" s="225">
        <v>0</v>
      </c>
      <c r="E500" s="226" t="s">
        <v>210</v>
      </c>
      <c r="F500" s="227" t="s">
        <v>702</v>
      </c>
      <c r="G500" s="227" t="s">
        <v>19</v>
      </c>
      <c r="H500" s="228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  <c r="Z500" s="222"/>
    </row>
    <row r="501" spans="1:26" ht="15.75" customHeight="1" x14ac:dyDescent="0.2">
      <c r="A501" s="224">
        <v>43601</v>
      </c>
      <c r="B501" s="225">
        <v>-3740</v>
      </c>
      <c r="C501" s="225">
        <f>B501</f>
        <v>-3740</v>
      </c>
      <c r="D501" s="225">
        <v>0</v>
      </c>
      <c r="E501" s="226" t="s">
        <v>211</v>
      </c>
      <c r="F501" s="227" t="s">
        <v>48</v>
      </c>
      <c r="G501" s="227" t="s">
        <v>177</v>
      </c>
      <c r="H501" s="228" t="s">
        <v>212</v>
      </c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  <c r="Z501" s="222"/>
    </row>
    <row r="502" spans="1:26" ht="15.75" customHeight="1" x14ac:dyDescent="0.2">
      <c r="A502" s="224">
        <v>43601</v>
      </c>
      <c r="B502" s="225">
        <v>200</v>
      </c>
      <c r="C502" s="225">
        <f>B502</f>
        <v>200</v>
      </c>
      <c r="D502" s="225">
        <v>0</v>
      </c>
      <c r="E502" s="226" t="s">
        <v>38</v>
      </c>
      <c r="F502" s="227" t="s">
        <v>702</v>
      </c>
      <c r="G502" s="227" t="s">
        <v>39</v>
      </c>
      <c r="H502" s="228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  <c r="Z502" s="222"/>
    </row>
    <row r="503" spans="1:26" ht="15.75" customHeight="1" x14ac:dyDescent="0.2">
      <c r="A503" s="224">
        <v>43605</v>
      </c>
      <c r="B503" s="225">
        <v>200</v>
      </c>
      <c r="C503" s="225">
        <f>B503</f>
        <v>200</v>
      </c>
      <c r="D503" s="225">
        <v>0</v>
      </c>
      <c r="E503" s="226" t="s">
        <v>213</v>
      </c>
      <c r="F503" s="227" t="s">
        <v>702</v>
      </c>
      <c r="G503" s="227" t="s">
        <v>19</v>
      </c>
      <c r="H503" s="228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  <c r="Z503" s="222"/>
    </row>
    <row r="504" spans="1:26" ht="15.75" customHeight="1" x14ac:dyDescent="0.2">
      <c r="A504" s="224">
        <v>43606</v>
      </c>
      <c r="B504" s="225">
        <v>-108.4</v>
      </c>
      <c r="C504" s="225">
        <f>B504</f>
        <v>-108.4</v>
      </c>
      <c r="D504" s="225">
        <v>0</v>
      </c>
      <c r="E504" s="226" t="s">
        <v>214</v>
      </c>
      <c r="F504" s="227" t="s">
        <v>701</v>
      </c>
      <c r="G504" s="227"/>
      <c r="H504" s="228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  <c r="Z504" s="222"/>
    </row>
    <row r="505" spans="1:26" ht="15.75" customHeight="1" x14ac:dyDescent="0.2">
      <c r="A505" s="224">
        <v>43606</v>
      </c>
      <c r="B505" s="225">
        <v>1290</v>
      </c>
      <c r="C505" s="225">
        <f>B505</f>
        <v>1290</v>
      </c>
      <c r="D505" s="225">
        <v>0</v>
      </c>
      <c r="E505" s="226" t="s">
        <v>158</v>
      </c>
      <c r="F505" s="227" t="s">
        <v>36</v>
      </c>
      <c r="G505" s="227" t="s">
        <v>37</v>
      </c>
      <c r="H505" s="228">
        <v>68</v>
      </c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  <c r="Z505" s="222"/>
    </row>
    <row r="506" spans="1:26" ht="15.75" customHeight="1" x14ac:dyDescent="0.2">
      <c r="A506" s="224">
        <v>43606</v>
      </c>
      <c r="B506" s="225">
        <v>1473</v>
      </c>
      <c r="C506" s="225">
        <f>B506</f>
        <v>1473</v>
      </c>
      <c r="D506" s="225">
        <v>0</v>
      </c>
      <c r="E506" s="226" t="s">
        <v>168</v>
      </c>
      <c r="F506" s="227" t="s">
        <v>36</v>
      </c>
      <c r="G506" s="227" t="s">
        <v>37</v>
      </c>
      <c r="H506" s="228">
        <v>70</v>
      </c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</row>
    <row r="507" spans="1:26" ht="15.75" customHeight="1" x14ac:dyDescent="0.2">
      <c r="A507" s="224">
        <v>43611</v>
      </c>
      <c r="B507" s="225">
        <v>-1425</v>
      </c>
      <c r="C507" s="225">
        <f>B507</f>
        <v>-1425</v>
      </c>
      <c r="D507" s="225">
        <v>0</v>
      </c>
      <c r="E507" s="226" t="s">
        <v>215</v>
      </c>
      <c r="F507" s="227" t="s">
        <v>48</v>
      </c>
      <c r="G507" s="227" t="s">
        <v>177</v>
      </c>
      <c r="H507" s="228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  <c r="Z507" s="222"/>
    </row>
    <row r="508" spans="1:26" ht="15.75" customHeight="1" x14ac:dyDescent="0.2">
      <c r="A508" s="224">
        <v>43611</v>
      </c>
      <c r="B508" s="225">
        <v>-553</v>
      </c>
      <c r="C508" s="225">
        <f>B508</f>
        <v>-553</v>
      </c>
      <c r="D508" s="225">
        <v>0</v>
      </c>
      <c r="E508" s="226" t="s">
        <v>216</v>
      </c>
      <c r="F508" s="227" t="s">
        <v>701</v>
      </c>
      <c r="G508" s="227"/>
      <c r="H508" s="228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  <c r="Z508" s="222"/>
    </row>
    <row r="509" spans="1:26" ht="15.75" customHeight="1" x14ac:dyDescent="0.2">
      <c r="A509" s="224">
        <v>43612</v>
      </c>
      <c r="B509" s="225">
        <v>-1297.81</v>
      </c>
      <c r="C509" s="225">
        <f>B509</f>
        <v>-1297.81</v>
      </c>
      <c r="D509" s="225">
        <v>0</v>
      </c>
      <c r="E509" s="226" t="s">
        <v>40</v>
      </c>
      <c r="F509" s="227" t="s">
        <v>698</v>
      </c>
      <c r="G509" s="227" t="s">
        <v>6</v>
      </c>
      <c r="H509" s="228">
        <v>68</v>
      </c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  <c r="Z509" s="222"/>
    </row>
    <row r="510" spans="1:26" ht="15.75" customHeight="1" x14ac:dyDescent="0.2">
      <c r="A510" s="224">
        <v>43612</v>
      </c>
      <c r="B510" s="225">
        <v>-500</v>
      </c>
      <c r="C510" s="225">
        <f>B510</f>
        <v>-500</v>
      </c>
      <c r="D510" s="225">
        <v>0</v>
      </c>
      <c r="E510" s="226" t="s">
        <v>189</v>
      </c>
      <c r="F510" s="227" t="s">
        <v>702</v>
      </c>
      <c r="G510" s="227" t="s">
        <v>19</v>
      </c>
      <c r="H510" s="228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  <c r="Z510" s="222"/>
    </row>
    <row r="511" spans="1:26" ht="15.75" customHeight="1" x14ac:dyDescent="0.2">
      <c r="A511" s="224">
        <v>43612</v>
      </c>
      <c r="B511" s="225">
        <v>-500</v>
      </c>
      <c r="C511" s="225">
        <f>B511</f>
        <v>-500</v>
      </c>
      <c r="D511" s="225">
        <v>0</v>
      </c>
      <c r="E511" s="226" t="s">
        <v>217</v>
      </c>
      <c r="F511" s="227" t="s">
        <v>702</v>
      </c>
      <c r="G511" s="227" t="s">
        <v>19</v>
      </c>
      <c r="H511" s="228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  <c r="Z511" s="222"/>
    </row>
    <row r="512" spans="1:26" ht="15.75" customHeight="1" x14ac:dyDescent="0.2">
      <c r="A512" s="224">
        <v>43612</v>
      </c>
      <c r="B512" s="225">
        <v>2000</v>
      </c>
      <c r="C512" s="225">
        <f>B512</f>
        <v>2000</v>
      </c>
      <c r="D512" s="225">
        <v>0</v>
      </c>
      <c r="E512" s="226" t="s">
        <v>218</v>
      </c>
      <c r="F512" s="227" t="s">
        <v>702</v>
      </c>
      <c r="G512" s="227" t="s">
        <v>19</v>
      </c>
      <c r="H512" s="228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  <c r="Z512" s="222"/>
    </row>
    <row r="513" spans="1:26" ht="15.75" customHeight="1" x14ac:dyDescent="0.2">
      <c r="A513" s="224">
        <v>43613</v>
      </c>
      <c r="B513" s="225">
        <v>-1317.03</v>
      </c>
      <c r="C513" s="225">
        <f>B513</f>
        <v>-1317.03</v>
      </c>
      <c r="D513" s="225">
        <v>0</v>
      </c>
      <c r="E513" s="226" t="s">
        <v>84</v>
      </c>
      <c r="F513" s="227" t="s">
        <v>698</v>
      </c>
      <c r="G513" s="227" t="s">
        <v>6</v>
      </c>
      <c r="H513" s="228">
        <v>70</v>
      </c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  <c r="Z513" s="222"/>
    </row>
    <row r="514" spans="1:26" ht="15.75" customHeight="1" x14ac:dyDescent="0.2">
      <c r="A514" s="224">
        <v>43615</v>
      </c>
      <c r="B514" s="225">
        <v>-85.7</v>
      </c>
      <c r="C514" s="225">
        <f>B514</f>
        <v>-85.7</v>
      </c>
      <c r="D514" s="225">
        <v>0</v>
      </c>
      <c r="E514" s="226" t="s">
        <v>66</v>
      </c>
      <c r="F514" s="227" t="s">
        <v>698</v>
      </c>
      <c r="G514" s="227" t="s">
        <v>61</v>
      </c>
      <c r="H514" s="228">
        <v>70</v>
      </c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  <c r="Z514" s="222"/>
    </row>
    <row r="515" spans="1:26" ht="15.75" customHeight="1" x14ac:dyDescent="0.2">
      <c r="A515" s="224">
        <v>43616</v>
      </c>
      <c r="B515" s="225">
        <v>500</v>
      </c>
      <c r="C515" s="225">
        <f>B515</f>
        <v>500</v>
      </c>
      <c r="D515" s="225">
        <v>0</v>
      </c>
      <c r="E515" s="226" t="s">
        <v>219</v>
      </c>
      <c r="F515" s="227" t="s">
        <v>702</v>
      </c>
      <c r="G515" s="227" t="s">
        <v>19</v>
      </c>
      <c r="H515" s="228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  <c r="Z515" s="222"/>
    </row>
    <row r="516" spans="1:26" ht="15.75" customHeight="1" x14ac:dyDescent="0.2">
      <c r="A516" s="224">
        <v>43616</v>
      </c>
      <c r="B516" s="225">
        <v>500</v>
      </c>
      <c r="C516" s="225">
        <f>B516</f>
        <v>500</v>
      </c>
      <c r="D516" s="225">
        <v>0</v>
      </c>
      <c r="E516" s="226" t="s">
        <v>220</v>
      </c>
      <c r="F516" s="227" t="s">
        <v>702</v>
      </c>
      <c r="G516" s="227" t="s">
        <v>19</v>
      </c>
      <c r="H516" s="228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  <c r="Z516" s="222"/>
    </row>
    <row r="517" spans="1:26" ht="15.75" customHeight="1" x14ac:dyDescent="0.2">
      <c r="A517" s="224">
        <v>43619</v>
      </c>
      <c r="B517" s="225">
        <v>-6600</v>
      </c>
      <c r="C517" s="225">
        <f>B517</f>
        <v>-6600</v>
      </c>
      <c r="D517" s="225">
        <v>0</v>
      </c>
      <c r="E517" s="226" t="s">
        <v>221</v>
      </c>
      <c r="F517" s="227" t="s">
        <v>696</v>
      </c>
      <c r="G517" s="227" t="s">
        <v>223</v>
      </c>
      <c r="H517" s="228" t="s">
        <v>224</v>
      </c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  <c r="Z517" s="222"/>
    </row>
    <row r="518" spans="1:26" ht="15.75" customHeight="1" x14ac:dyDescent="0.2">
      <c r="A518" s="224">
        <v>43619</v>
      </c>
      <c r="B518" s="225">
        <v>500</v>
      </c>
      <c r="C518" s="225">
        <f>B518</f>
        <v>500</v>
      </c>
      <c r="D518" s="225">
        <v>0</v>
      </c>
      <c r="E518" s="226" t="s">
        <v>225</v>
      </c>
      <c r="F518" s="227" t="s">
        <v>702</v>
      </c>
      <c r="G518" s="227" t="s">
        <v>19</v>
      </c>
      <c r="H518" s="228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</row>
    <row r="519" spans="1:26" ht="15.75" customHeight="1" x14ac:dyDescent="0.2">
      <c r="A519" s="224">
        <v>43620</v>
      </c>
      <c r="B519" s="225">
        <v>1473</v>
      </c>
      <c r="C519" s="225">
        <f>B519</f>
        <v>1473</v>
      </c>
      <c r="D519" s="225">
        <v>0</v>
      </c>
      <c r="E519" s="226" t="s">
        <v>168</v>
      </c>
      <c r="F519" s="227" t="s">
        <v>36</v>
      </c>
      <c r="G519" s="227" t="s">
        <v>37</v>
      </c>
      <c r="H519" s="228">
        <v>70</v>
      </c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  <c r="Z519" s="222"/>
    </row>
    <row r="520" spans="1:26" ht="15.75" customHeight="1" x14ac:dyDescent="0.2">
      <c r="A520" s="224">
        <v>43621</v>
      </c>
      <c r="B520" s="225">
        <v>-99</v>
      </c>
      <c r="C520" s="225">
        <f>B520</f>
        <v>-99</v>
      </c>
      <c r="D520" s="225">
        <v>0</v>
      </c>
      <c r="E520" s="226" t="s">
        <v>226</v>
      </c>
      <c r="F520" s="227" t="s">
        <v>698</v>
      </c>
      <c r="G520" s="227" t="s">
        <v>117</v>
      </c>
      <c r="H520" s="228">
        <v>68</v>
      </c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  <c r="Z520" s="222"/>
    </row>
    <row r="521" spans="1:26" ht="15.75" customHeight="1" x14ac:dyDescent="0.2">
      <c r="A521" s="224">
        <v>43629</v>
      </c>
      <c r="B521" s="225">
        <v>-55</v>
      </c>
      <c r="C521" s="225">
        <f>B521</f>
        <v>-55</v>
      </c>
      <c r="D521" s="225">
        <v>0</v>
      </c>
      <c r="E521" s="226" t="s">
        <v>153</v>
      </c>
      <c r="F521" s="227" t="s">
        <v>698</v>
      </c>
      <c r="G521" s="227" t="s">
        <v>119</v>
      </c>
      <c r="H521" s="228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  <c r="Z521" s="222"/>
    </row>
    <row r="522" spans="1:26" ht="15.75" customHeight="1" x14ac:dyDescent="0.2">
      <c r="A522" s="224">
        <v>43629</v>
      </c>
      <c r="B522" s="225">
        <v>-55</v>
      </c>
      <c r="C522" s="225">
        <f>B522</f>
        <v>-55</v>
      </c>
      <c r="D522" s="225">
        <v>0</v>
      </c>
      <c r="E522" s="226" t="s">
        <v>118</v>
      </c>
      <c r="F522" s="227" t="s">
        <v>698</v>
      </c>
      <c r="G522" s="227" t="s">
        <v>119</v>
      </c>
      <c r="H522" s="228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  <c r="Z522" s="222"/>
    </row>
    <row r="523" spans="1:26" ht="15.75" customHeight="1" x14ac:dyDescent="0.2">
      <c r="A523" s="224">
        <v>43631</v>
      </c>
      <c r="B523" s="225">
        <v>-331</v>
      </c>
      <c r="C523" s="225">
        <f>B523</f>
        <v>-331</v>
      </c>
      <c r="D523" s="225">
        <v>0</v>
      </c>
      <c r="E523" s="226" t="s">
        <v>134</v>
      </c>
      <c r="F523" s="227" t="s">
        <v>698</v>
      </c>
      <c r="G523" s="227" t="s">
        <v>46</v>
      </c>
      <c r="H523" s="228">
        <v>70</v>
      </c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  <c r="Z523" s="222"/>
    </row>
    <row r="524" spans="1:26" ht="15.75" customHeight="1" x14ac:dyDescent="0.2">
      <c r="A524" s="224">
        <v>43631</v>
      </c>
      <c r="B524" s="225">
        <v>-320</v>
      </c>
      <c r="C524" s="225">
        <f>B524</f>
        <v>-320</v>
      </c>
      <c r="D524" s="225">
        <v>0</v>
      </c>
      <c r="E524" s="226" t="s">
        <v>97</v>
      </c>
      <c r="F524" s="227" t="s">
        <v>698</v>
      </c>
      <c r="G524" s="227" t="s">
        <v>46</v>
      </c>
      <c r="H524" s="228">
        <v>68</v>
      </c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  <c r="Z524" s="222"/>
    </row>
    <row r="525" spans="1:26" ht="15.75" customHeight="1" x14ac:dyDescent="0.2">
      <c r="A525" s="224">
        <v>43633</v>
      </c>
      <c r="B525" s="225">
        <v>-102.71</v>
      </c>
      <c r="C525" s="225">
        <f>B525</f>
        <v>-102.71</v>
      </c>
      <c r="D525" s="225">
        <v>0</v>
      </c>
      <c r="E525" s="226" t="s">
        <v>60</v>
      </c>
      <c r="F525" s="227" t="s">
        <v>698</v>
      </c>
      <c r="G525" s="227" t="s">
        <v>61</v>
      </c>
      <c r="H525" s="228">
        <v>68</v>
      </c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  <c r="Z525" s="222"/>
    </row>
    <row r="526" spans="1:26" ht="15.75" customHeight="1" x14ac:dyDescent="0.2">
      <c r="A526" s="224">
        <v>43633</v>
      </c>
      <c r="B526" s="225">
        <v>200</v>
      </c>
      <c r="C526" s="225">
        <f>B526</f>
        <v>200</v>
      </c>
      <c r="D526" s="225">
        <v>0</v>
      </c>
      <c r="E526" s="226" t="s">
        <v>38</v>
      </c>
      <c r="F526" s="227" t="s">
        <v>702</v>
      </c>
      <c r="G526" s="227" t="s">
        <v>39</v>
      </c>
      <c r="H526" s="228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  <c r="Z526" s="222"/>
    </row>
    <row r="527" spans="1:26" ht="15.75" customHeight="1" x14ac:dyDescent="0.2">
      <c r="A527" s="224">
        <v>43636</v>
      </c>
      <c r="B527" s="225">
        <v>200</v>
      </c>
      <c r="C527" s="225">
        <f>B527</f>
        <v>200</v>
      </c>
      <c r="D527" s="225">
        <v>0</v>
      </c>
      <c r="E527" s="226" t="s">
        <v>213</v>
      </c>
      <c r="F527" s="227" t="s">
        <v>702</v>
      </c>
      <c r="G527" s="227" t="s">
        <v>19</v>
      </c>
      <c r="H527" s="228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  <c r="Z527" s="222"/>
    </row>
    <row r="528" spans="1:26" ht="15.75" customHeight="1" x14ac:dyDescent="0.2">
      <c r="A528" s="224">
        <v>43637</v>
      </c>
      <c r="B528" s="225">
        <v>1290</v>
      </c>
      <c r="C528" s="225">
        <f>B528</f>
        <v>1290</v>
      </c>
      <c r="D528" s="225">
        <v>0</v>
      </c>
      <c r="E528" s="226" t="s">
        <v>158</v>
      </c>
      <c r="F528" s="227" t="s">
        <v>36</v>
      </c>
      <c r="G528" s="227" t="s">
        <v>37</v>
      </c>
      <c r="H528" s="228">
        <v>68</v>
      </c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  <c r="Z528" s="222"/>
    </row>
    <row r="529" spans="1:26" ht="15.75" customHeight="1" x14ac:dyDescent="0.2">
      <c r="A529" s="224">
        <v>43639</v>
      </c>
      <c r="B529" s="225">
        <v>-500</v>
      </c>
      <c r="C529" s="225">
        <f>B529</f>
        <v>-500</v>
      </c>
      <c r="D529" s="225">
        <v>0</v>
      </c>
      <c r="E529" s="226" t="s">
        <v>227</v>
      </c>
      <c r="F529" s="227" t="s">
        <v>11</v>
      </c>
      <c r="G529" s="227" t="s">
        <v>699</v>
      </c>
      <c r="H529" s="228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  <c r="Z529" s="222"/>
    </row>
    <row r="530" spans="1:26" ht="15.75" customHeight="1" x14ac:dyDescent="0.2">
      <c r="A530" s="224">
        <v>43639</v>
      </c>
      <c r="B530" s="225">
        <v>-350</v>
      </c>
      <c r="C530" s="225">
        <f>B530</f>
        <v>-350</v>
      </c>
      <c r="D530" s="225">
        <v>0</v>
      </c>
      <c r="E530" s="226" t="s">
        <v>228</v>
      </c>
      <c r="F530" s="227" t="s">
        <v>698</v>
      </c>
      <c r="G530" s="227" t="s">
        <v>117</v>
      </c>
      <c r="H530" s="228">
        <v>70</v>
      </c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  <c r="Z530" s="222"/>
    </row>
    <row r="531" spans="1:26" ht="15.75" customHeight="1" x14ac:dyDescent="0.2">
      <c r="A531" s="224">
        <v>43640</v>
      </c>
      <c r="B531" s="225">
        <v>2000</v>
      </c>
      <c r="C531" s="225">
        <f>B531</f>
        <v>2000</v>
      </c>
      <c r="D531" s="225">
        <v>0</v>
      </c>
      <c r="E531" s="226" t="s">
        <v>218</v>
      </c>
      <c r="F531" s="227" t="s">
        <v>702</v>
      </c>
      <c r="G531" s="227" t="s">
        <v>19</v>
      </c>
      <c r="H531" s="228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  <c r="Z531" s="222"/>
    </row>
    <row r="532" spans="1:26" ht="15.75" customHeight="1" x14ac:dyDescent="0.2">
      <c r="A532" s="224">
        <v>43643</v>
      </c>
      <c r="B532" s="225">
        <v>-1359.51</v>
      </c>
      <c r="C532" s="225">
        <f>B532</f>
        <v>-1359.51</v>
      </c>
      <c r="D532" s="225">
        <v>0</v>
      </c>
      <c r="E532" s="226" t="s">
        <v>40</v>
      </c>
      <c r="F532" s="227" t="s">
        <v>698</v>
      </c>
      <c r="G532" s="227" t="s">
        <v>6</v>
      </c>
      <c r="H532" s="228">
        <v>68</v>
      </c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  <c r="Z532" s="222"/>
    </row>
    <row r="533" spans="1:26" ht="15.75" customHeight="1" x14ac:dyDescent="0.2">
      <c r="A533" s="224">
        <v>43644</v>
      </c>
      <c r="B533" s="225">
        <v>-1328.78</v>
      </c>
      <c r="C533" s="225">
        <f>B533</f>
        <v>-1328.78</v>
      </c>
      <c r="D533" s="225">
        <v>0</v>
      </c>
      <c r="E533" s="226" t="s">
        <v>84</v>
      </c>
      <c r="F533" s="227" t="s">
        <v>698</v>
      </c>
      <c r="G533" s="227" t="s">
        <v>6</v>
      </c>
      <c r="H533" s="228">
        <v>70</v>
      </c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  <c r="Z533" s="222"/>
    </row>
    <row r="534" spans="1:26" ht="15.75" customHeight="1" x14ac:dyDescent="0.2">
      <c r="A534" s="224">
        <v>43646</v>
      </c>
      <c r="B534" s="225">
        <v>-650</v>
      </c>
      <c r="C534" s="225">
        <f>B534</f>
        <v>-650</v>
      </c>
      <c r="D534" s="225">
        <v>0</v>
      </c>
      <c r="E534" s="226" t="s">
        <v>217</v>
      </c>
      <c r="F534" s="227" t="s">
        <v>702</v>
      </c>
      <c r="G534" s="227" t="s">
        <v>19</v>
      </c>
      <c r="H534" s="228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  <c r="Z534" s="222"/>
    </row>
    <row r="535" spans="1:26" ht="15.75" customHeight="1" x14ac:dyDescent="0.2">
      <c r="A535" s="224">
        <v>43647</v>
      </c>
      <c r="B535" s="225">
        <v>-770</v>
      </c>
      <c r="C535" s="225">
        <f>B535</f>
        <v>-770</v>
      </c>
      <c r="D535" s="225">
        <v>0</v>
      </c>
      <c r="E535" s="226" t="s">
        <v>229</v>
      </c>
      <c r="F535" s="227" t="s">
        <v>48</v>
      </c>
      <c r="G535" s="227" t="s">
        <v>177</v>
      </c>
      <c r="H535" s="228" t="s">
        <v>230</v>
      </c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  <c r="Z535" s="222"/>
    </row>
    <row r="536" spans="1:26" ht="15.75" customHeight="1" x14ac:dyDescent="0.2">
      <c r="A536" s="224">
        <v>43647</v>
      </c>
      <c r="B536" s="225">
        <v>650</v>
      </c>
      <c r="C536" s="225">
        <f>B536</f>
        <v>650</v>
      </c>
      <c r="D536" s="225">
        <v>0</v>
      </c>
      <c r="E536" s="226" t="s">
        <v>231</v>
      </c>
      <c r="F536" s="227" t="s">
        <v>702</v>
      </c>
      <c r="G536" s="227" t="s">
        <v>19</v>
      </c>
      <c r="H536" s="228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  <c r="Z536" s="222"/>
    </row>
    <row r="537" spans="1:26" ht="15.75" customHeight="1" x14ac:dyDescent="0.2">
      <c r="A537" s="224">
        <v>43648</v>
      </c>
      <c r="B537" s="225">
        <v>-85.7</v>
      </c>
      <c r="C537" s="225">
        <f>B537</f>
        <v>-85.7</v>
      </c>
      <c r="D537" s="225">
        <v>0</v>
      </c>
      <c r="E537" s="226" t="s">
        <v>66</v>
      </c>
      <c r="F537" s="227" t="s">
        <v>698</v>
      </c>
      <c r="G537" s="227" t="s">
        <v>61</v>
      </c>
      <c r="H537" s="228">
        <v>70</v>
      </c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  <c r="Z537" s="222"/>
    </row>
    <row r="538" spans="1:26" ht="15.75" customHeight="1" x14ac:dyDescent="0.2">
      <c r="A538" s="224">
        <v>43657</v>
      </c>
      <c r="B538" s="225">
        <v>1473</v>
      </c>
      <c r="C538" s="225">
        <f>B538</f>
        <v>1473</v>
      </c>
      <c r="D538" s="225">
        <v>0</v>
      </c>
      <c r="E538" s="226" t="s">
        <v>168</v>
      </c>
      <c r="F538" s="227" t="s">
        <v>36</v>
      </c>
      <c r="G538" s="227" t="s">
        <v>37</v>
      </c>
      <c r="H538" s="228">
        <v>70</v>
      </c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  <c r="Z538" s="222"/>
    </row>
    <row r="539" spans="1:26" ht="15.75" customHeight="1" x14ac:dyDescent="0.2">
      <c r="A539" s="224">
        <v>43659</v>
      </c>
      <c r="B539" s="225">
        <v>-55</v>
      </c>
      <c r="C539" s="225">
        <f>B539</f>
        <v>-55</v>
      </c>
      <c r="D539" s="225">
        <v>0</v>
      </c>
      <c r="E539" s="226" t="s">
        <v>153</v>
      </c>
      <c r="F539" s="227" t="s">
        <v>698</v>
      </c>
      <c r="G539" s="227" t="s">
        <v>119</v>
      </c>
      <c r="H539" s="228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  <c r="Z539" s="222"/>
    </row>
    <row r="540" spans="1:26" ht="15.75" customHeight="1" x14ac:dyDescent="0.2">
      <c r="A540" s="224">
        <v>43659</v>
      </c>
      <c r="B540" s="225">
        <v>-55</v>
      </c>
      <c r="C540" s="225">
        <f>B540</f>
        <v>-55</v>
      </c>
      <c r="D540" s="225">
        <v>0</v>
      </c>
      <c r="E540" s="226" t="s">
        <v>118</v>
      </c>
      <c r="F540" s="227" t="s">
        <v>698</v>
      </c>
      <c r="G540" s="227" t="s">
        <v>119</v>
      </c>
      <c r="H540" s="228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  <c r="Z540" s="222"/>
    </row>
    <row r="541" spans="1:26" ht="15.75" customHeight="1" x14ac:dyDescent="0.2">
      <c r="A541" s="224">
        <v>43661</v>
      </c>
      <c r="B541" s="225">
        <v>-2100</v>
      </c>
      <c r="C541" s="225">
        <f>B541</f>
        <v>-2100</v>
      </c>
      <c r="D541" s="225">
        <v>0</v>
      </c>
      <c r="E541" s="226" t="s">
        <v>232</v>
      </c>
      <c r="F541" s="227" t="s">
        <v>701</v>
      </c>
      <c r="G541" s="227"/>
      <c r="H541" s="228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  <c r="Z541" s="222"/>
    </row>
    <row r="542" spans="1:26" ht="15.75" customHeight="1" x14ac:dyDescent="0.2">
      <c r="A542" s="224">
        <v>43661</v>
      </c>
      <c r="B542" s="225">
        <v>100</v>
      </c>
      <c r="C542" s="225">
        <f>B542</f>
        <v>100</v>
      </c>
      <c r="D542" s="225">
        <v>0</v>
      </c>
      <c r="E542" s="226" t="s">
        <v>233</v>
      </c>
      <c r="F542" s="227" t="s">
        <v>702</v>
      </c>
      <c r="G542" s="227" t="s">
        <v>19</v>
      </c>
      <c r="H542" s="228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  <c r="Z542" s="222"/>
    </row>
    <row r="543" spans="1:26" ht="15.75" customHeight="1" x14ac:dyDescent="0.2">
      <c r="A543" s="224">
        <v>43661</v>
      </c>
      <c r="B543" s="225">
        <v>550</v>
      </c>
      <c r="C543" s="225">
        <f>B543</f>
        <v>550</v>
      </c>
      <c r="D543" s="225">
        <v>0</v>
      </c>
      <c r="E543" s="226" t="s">
        <v>234</v>
      </c>
      <c r="F543" s="227" t="s">
        <v>702</v>
      </c>
      <c r="G543" s="227" t="s">
        <v>19</v>
      </c>
      <c r="H543" s="228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  <c r="Z543" s="222"/>
    </row>
    <row r="544" spans="1:26" ht="15.75" customHeight="1" x14ac:dyDescent="0.2">
      <c r="A544" s="224">
        <v>43661</v>
      </c>
      <c r="B544" s="225">
        <v>5000</v>
      </c>
      <c r="C544" s="225">
        <f>B544</f>
        <v>5000</v>
      </c>
      <c r="D544" s="225">
        <v>0</v>
      </c>
      <c r="E544" s="226" t="s">
        <v>218</v>
      </c>
      <c r="F544" s="227" t="s">
        <v>702</v>
      </c>
      <c r="G544" s="227" t="s">
        <v>19</v>
      </c>
      <c r="H544" s="228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  <c r="Z544" s="222"/>
    </row>
    <row r="545" spans="1:26" ht="15.75" customHeight="1" x14ac:dyDescent="0.2">
      <c r="A545" s="224">
        <v>43662</v>
      </c>
      <c r="B545" s="225">
        <v>-102.71</v>
      </c>
      <c r="C545" s="225">
        <f>B545</f>
        <v>-102.71</v>
      </c>
      <c r="D545" s="225">
        <v>0</v>
      </c>
      <c r="E545" s="226" t="s">
        <v>60</v>
      </c>
      <c r="F545" s="227" t="s">
        <v>698</v>
      </c>
      <c r="G545" s="227" t="s">
        <v>61</v>
      </c>
      <c r="H545" s="228">
        <v>68</v>
      </c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  <c r="Z545" s="222"/>
    </row>
    <row r="546" spans="1:26" ht="15.75" customHeight="1" x14ac:dyDescent="0.2">
      <c r="A546" s="224">
        <v>43662</v>
      </c>
      <c r="B546" s="225">
        <v>200</v>
      </c>
      <c r="C546" s="225">
        <f>B546</f>
        <v>200</v>
      </c>
      <c r="D546" s="225">
        <v>0</v>
      </c>
      <c r="E546" s="226" t="s">
        <v>38</v>
      </c>
      <c r="F546" s="227" t="s">
        <v>702</v>
      </c>
      <c r="G546" s="227" t="s">
        <v>39</v>
      </c>
      <c r="H546" s="228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  <c r="Z546" s="222"/>
    </row>
    <row r="547" spans="1:26" ht="15.75" customHeight="1" x14ac:dyDescent="0.2">
      <c r="A547" s="224">
        <v>43662</v>
      </c>
      <c r="B547" s="225">
        <v>5000</v>
      </c>
      <c r="C547" s="225">
        <f>B547</f>
        <v>5000</v>
      </c>
      <c r="D547" s="225">
        <v>0</v>
      </c>
      <c r="E547" s="226" t="s">
        <v>166</v>
      </c>
      <c r="F547" s="227" t="s">
        <v>702</v>
      </c>
      <c r="G547" s="227" t="s">
        <v>39</v>
      </c>
      <c r="H547" s="228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  <c r="Z547" s="222"/>
    </row>
    <row r="548" spans="1:26" ht="15.75" customHeight="1" x14ac:dyDescent="0.2">
      <c r="A548" s="224">
        <v>43663</v>
      </c>
      <c r="B548" s="225">
        <v>-5365.2</v>
      </c>
      <c r="C548" s="225">
        <f>B548</f>
        <v>-5365.2</v>
      </c>
      <c r="D548" s="225">
        <v>0</v>
      </c>
      <c r="E548" s="226" t="s">
        <v>235</v>
      </c>
      <c r="F548" s="227" t="s">
        <v>701</v>
      </c>
      <c r="G548" s="227"/>
      <c r="H548" s="228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  <c r="Z548" s="222"/>
    </row>
    <row r="549" spans="1:26" ht="15.75" customHeight="1" x14ac:dyDescent="0.2">
      <c r="A549" s="224">
        <v>43663</v>
      </c>
      <c r="B549" s="225">
        <v>-438.8</v>
      </c>
      <c r="C549" s="225">
        <f>B549</f>
        <v>-438.8</v>
      </c>
      <c r="D549" s="225">
        <v>0</v>
      </c>
      <c r="E549" s="226" t="s">
        <v>236</v>
      </c>
      <c r="F549" s="227" t="s">
        <v>698</v>
      </c>
      <c r="G549" s="227" t="s">
        <v>117</v>
      </c>
      <c r="H549" s="228">
        <v>70</v>
      </c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</row>
    <row r="550" spans="1:26" ht="15.75" customHeight="1" x14ac:dyDescent="0.2">
      <c r="A550" s="224">
        <v>43664</v>
      </c>
      <c r="B550" s="225">
        <v>5000</v>
      </c>
      <c r="C550" s="225">
        <f>B550</f>
        <v>5000</v>
      </c>
      <c r="D550" s="225">
        <v>0</v>
      </c>
      <c r="E550" s="226" t="s">
        <v>166</v>
      </c>
      <c r="F550" s="227" t="s">
        <v>702</v>
      </c>
      <c r="G550" s="227" t="s">
        <v>39</v>
      </c>
      <c r="H550" s="228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  <c r="Z550" s="222"/>
    </row>
    <row r="551" spans="1:26" ht="15.75" customHeight="1" x14ac:dyDescent="0.2">
      <c r="A551" s="224">
        <v>43666</v>
      </c>
      <c r="B551" s="225">
        <v>200</v>
      </c>
      <c r="C551" s="225">
        <f>B551</f>
        <v>200</v>
      </c>
      <c r="D551" s="225">
        <v>0</v>
      </c>
      <c r="E551" s="226" t="s">
        <v>213</v>
      </c>
      <c r="F551" s="227" t="s">
        <v>702</v>
      </c>
      <c r="G551" s="227" t="s">
        <v>19</v>
      </c>
      <c r="H551" s="228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  <c r="Z551" s="222"/>
    </row>
    <row r="552" spans="1:26" ht="15.75" customHeight="1" x14ac:dyDescent="0.2">
      <c r="A552" s="224">
        <v>43669</v>
      </c>
      <c r="B552" s="225">
        <v>-3600</v>
      </c>
      <c r="C552" s="225">
        <f>B552</f>
        <v>-3600</v>
      </c>
      <c r="D552" s="225">
        <v>0</v>
      </c>
      <c r="E552" s="226" t="s">
        <v>237</v>
      </c>
      <c r="F552" s="227" t="s">
        <v>701</v>
      </c>
      <c r="G552" s="227"/>
      <c r="H552" s="228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</row>
    <row r="553" spans="1:26" ht="15.75" customHeight="1" x14ac:dyDescent="0.2">
      <c r="A553" s="224">
        <v>43669</v>
      </c>
      <c r="B553" s="225">
        <v>1290</v>
      </c>
      <c r="C553" s="225">
        <f>B553</f>
        <v>1290</v>
      </c>
      <c r="D553" s="225">
        <v>0</v>
      </c>
      <c r="E553" s="226" t="s">
        <v>158</v>
      </c>
      <c r="F553" s="227" t="s">
        <v>36</v>
      </c>
      <c r="G553" s="227" t="s">
        <v>37</v>
      </c>
      <c r="H553" s="228">
        <v>68</v>
      </c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</row>
    <row r="554" spans="1:26" ht="15.75" customHeight="1" x14ac:dyDescent="0.2">
      <c r="A554" s="224">
        <v>43672</v>
      </c>
      <c r="B554" s="225">
        <v>-1309.67</v>
      </c>
      <c r="C554" s="225">
        <f>B554</f>
        <v>-1309.67</v>
      </c>
      <c r="D554" s="225">
        <v>0</v>
      </c>
      <c r="E554" s="226" t="s">
        <v>40</v>
      </c>
      <c r="F554" s="227" t="s">
        <v>698</v>
      </c>
      <c r="G554" s="227" t="s">
        <v>6</v>
      </c>
      <c r="H554" s="228">
        <v>68</v>
      </c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  <c r="Z554" s="222"/>
    </row>
    <row r="555" spans="1:26" ht="15.75" customHeight="1" x14ac:dyDescent="0.2">
      <c r="A555" s="224">
        <v>43675</v>
      </c>
      <c r="B555" s="225">
        <v>-9000</v>
      </c>
      <c r="C555" s="225">
        <f>B555</f>
        <v>-9000</v>
      </c>
      <c r="D555" s="225">
        <v>0</v>
      </c>
      <c r="E555" s="226" t="s">
        <v>238</v>
      </c>
      <c r="F555" s="227" t="s">
        <v>701</v>
      </c>
      <c r="G555" s="227"/>
      <c r="H555" s="228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</row>
    <row r="556" spans="1:26" ht="15.75" customHeight="1" x14ac:dyDescent="0.2">
      <c r="A556" s="224">
        <v>43675</v>
      </c>
      <c r="B556" s="225">
        <v>-1187.53</v>
      </c>
      <c r="C556" s="225">
        <f>B556</f>
        <v>-1187.53</v>
      </c>
      <c r="D556" s="225">
        <v>0</v>
      </c>
      <c r="E556" s="226" t="s">
        <v>84</v>
      </c>
      <c r="F556" s="227" t="s">
        <v>698</v>
      </c>
      <c r="G556" s="227" t="s">
        <v>6</v>
      </c>
      <c r="H556" s="228">
        <v>70</v>
      </c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  <c r="Z556" s="222"/>
    </row>
    <row r="557" spans="1:26" ht="15.75" customHeight="1" x14ac:dyDescent="0.2">
      <c r="A557" s="224">
        <v>43675</v>
      </c>
      <c r="B557" s="225">
        <v>5000</v>
      </c>
      <c r="C557" s="225">
        <f>B557</f>
        <v>5000</v>
      </c>
      <c r="D557" s="225">
        <v>0</v>
      </c>
      <c r="E557" s="226" t="s">
        <v>218</v>
      </c>
      <c r="F557" s="227" t="s">
        <v>702</v>
      </c>
      <c r="G557" s="227" t="s">
        <v>19</v>
      </c>
      <c r="H557" s="228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  <c r="Z557" s="222"/>
    </row>
    <row r="558" spans="1:26" ht="15.75" customHeight="1" x14ac:dyDescent="0.2">
      <c r="A558" s="224">
        <v>43676</v>
      </c>
      <c r="B558" s="225">
        <v>-225.98</v>
      </c>
      <c r="C558" s="225">
        <f>B558</f>
        <v>-225.98</v>
      </c>
      <c r="D558" s="225">
        <v>0</v>
      </c>
      <c r="E558" s="226" t="s">
        <v>73</v>
      </c>
      <c r="F558" s="227" t="s">
        <v>698</v>
      </c>
      <c r="G558" s="227" t="s">
        <v>74</v>
      </c>
      <c r="H558" s="228">
        <v>68</v>
      </c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  <c r="Z558" s="222"/>
    </row>
    <row r="559" spans="1:26" ht="15.75" customHeight="1" x14ac:dyDescent="0.2">
      <c r="A559" s="224">
        <v>43676</v>
      </c>
      <c r="B559" s="225">
        <v>-225.98</v>
      </c>
      <c r="C559" s="225">
        <f>B559</f>
        <v>-225.98</v>
      </c>
      <c r="D559" s="225">
        <v>0</v>
      </c>
      <c r="E559" s="226" t="s">
        <v>140</v>
      </c>
      <c r="F559" s="227" t="s">
        <v>698</v>
      </c>
      <c r="G559" s="227" t="s">
        <v>74</v>
      </c>
      <c r="H559" s="228">
        <v>70</v>
      </c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  <c r="Z559" s="222"/>
    </row>
    <row r="560" spans="1:26" ht="15.75" customHeight="1" x14ac:dyDescent="0.2">
      <c r="A560" s="224">
        <v>43676</v>
      </c>
      <c r="B560" s="225">
        <v>-92.13</v>
      </c>
      <c r="C560" s="225">
        <f>B560</f>
        <v>-92.13</v>
      </c>
      <c r="D560" s="225">
        <v>0</v>
      </c>
      <c r="E560" s="226" t="s">
        <v>66</v>
      </c>
      <c r="F560" s="227" t="s">
        <v>698</v>
      </c>
      <c r="G560" s="227" t="s">
        <v>61</v>
      </c>
      <c r="H560" s="228">
        <v>70</v>
      </c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  <c r="Z560" s="222"/>
    </row>
    <row r="561" spans="1:26" ht="15.75" customHeight="1" x14ac:dyDescent="0.2">
      <c r="A561" s="224">
        <v>43677</v>
      </c>
      <c r="B561" s="225">
        <v>-1000</v>
      </c>
      <c r="C561" s="225">
        <f>B561</f>
        <v>-1000</v>
      </c>
      <c r="D561" s="225">
        <v>0</v>
      </c>
      <c r="E561" s="226" t="s">
        <v>239</v>
      </c>
      <c r="F561" s="227" t="s">
        <v>701</v>
      </c>
      <c r="G561" s="227"/>
      <c r="H561" s="228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  <c r="Z561" s="222"/>
    </row>
    <row r="562" spans="1:26" ht="15.75" customHeight="1" x14ac:dyDescent="0.2">
      <c r="A562" s="224">
        <v>43677</v>
      </c>
      <c r="B562" s="225">
        <v>1000</v>
      </c>
      <c r="C562" s="225">
        <f>B562</f>
        <v>1000</v>
      </c>
      <c r="D562" s="225">
        <v>0</v>
      </c>
      <c r="E562" s="226" t="s">
        <v>218</v>
      </c>
      <c r="F562" s="227" t="s">
        <v>702</v>
      </c>
      <c r="G562" s="227" t="s">
        <v>19</v>
      </c>
      <c r="H562" s="228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</row>
    <row r="563" spans="1:26" ht="15.75" customHeight="1" x14ac:dyDescent="0.2">
      <c r="A563" s="224">
        <v>43682</v>
      </c>
      <c r="B563" s="225">
        <v>2000</v>
      </c>
      <c r="C563" s="225">
        <f>B563</f>
        <v>2000</v>
      </c>
      <c r="D563" s="225">
        <v>0</v>
      </c>
      <c r="E563" s="226" t="s">
        <v>240</v>
      </c>
      <c r="F563" s="227" t="s">
        <v>702</v>
      </c>
      <c r="G563" s="227" t="s">
        <v>39</v>
      </c>
      <c r="H563" s="228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  <c r="Z563" s="222"/>
    </row>
    <row r="564" spans="1:26" ht="15.75" customHeight="1" x14ac:dyDescent="0.2">
      <c r="A564" s="224">
        <v>43683</v>
      </c>
      <c r="B564" s="225">
        <v>-1000</v>
      </c>
      <c r="C564" s="225">
        <f>B564</f>
        <v>-1000</v>
      </c>
      <c r="D564" s="225">
        <v>0</v>
      </c>
      <c r="E564" s="226" t="s">
        <v>174</v>
      </c>
      <c r="F564" s="227" t="s">
        <v>702</v>
      </c>
      <c r="G564" s="227" t="s">
        <v>19</v>
      </c>
      <c r="H564" s="228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  <c r="Z564" s="222"/>
    </row>
    <row r="565" spans="1:26" ht="15.75" customHeight="1" x14ac:dyDescent="0.2">
      <c r="A565" s="224">
        <v>43683</v>
      </c>
      <c r="B565" s="225">
        <v>-635</v>
      </c>
      <c r="C565" s="225">
        <f>B565</f>
        <v>-635</v>
      </c>
      <c r="D565" s="225">
        <v>0</v>
      </c>
      <c r="E565" s="226" t="s">
        <v>241</v>
      </c>
      <c r="F565" s="227" t="s">
        <v>701</v>
      </c>
      <c r="G565" s="227"/>
      <c r="H565" s="228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  <c r="Z565" s="222"/>
    </row>
    <row r="566" spans="1:26" ht="15.75" customHeight="1" x14ac:dyDescent="0.2">
      <c r="A566" s="224">
        <v>43685</v>
      </c>
      <c r="B566" s="225">
        <v>-525</v>
      </c>
      <c r="C566" s="225">
        <f>B566</f>
        <v>-525</v>
      </c>
      <c r="D566" s="225">
        <v>0</v>
      </c>
      <c r="E566" s="226" t="s">
        <v>242</v>
      </c>
      <c r="F566" s="227" t="s">
        <v>698</v>
      </c>
      <c r="G566" s="227" t="s">
        <v>243</v>
      </c>
      <c r="H566" s="228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  <c r="Z566" s="222"/>
    </row>
    <row r="567" spans="1:26" ht="15.75" customHeight="1" x14ac:dyDescent="0.2">
      <c r="A567" s="224">
        <v>43692</v>
      </c>
      <c r="B567" s="225">
        <v>-102.71</v>
      </c>
      <c r="C567" s="225">
        <f>B567</f>
        <v>-102.71</v>
      </c>
      <c r="D567" s="225">
        <v>0</v>
      </c>
      <c r="E567" s="226" t="s">
        <v>60</v>
      </c>
      <c r="F567" s="227" t="s">
        <v>698</v>
      </c>
      <c r="G567" s="227" t="s">
        <v>61</v>
      </c>
      <c r="H567" s="228">
        <v>68</v>
      </c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  <c r="Z567" s="222"/>
    </row>
    <row r="568" spans="1:26" ht="15.75" customHeight="1" x14ac:dyDescent="0.2">
      <c r="A568" s="224">
        <v>43693</v>
      </c>
      <c r="B568" s="225">
        <v>-5</v>
      </c>
      <c r="C568" s="225">
        <f>B568</f>
        <v>-5</v>
      </c>
      <c r="D568" s="225">
        <v>0</v>
      </c>
      <c r="E568" s="226" t="s">
        <v>244</v>
      </c>
      <c r="F568" s="227" t="s">
        <v>11</v>
      </c>
      <c r="G568" s="227" t="s">
        <v>103</v>
      </c>
      <c r="H568" s="228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  <c r="Z568" s="222"/>
    </row>
    <row r="569" spans="1:26" ht="15.75" customHeight="1" x14ac:dyDescent="0.2">
      <c r="A569" s="224">
        <v>43693</v>
      </c>
      <c r="B569" s="225">
        <v>102.71</v>
      </c>
      <c r="C569" s="225">
        <f>B569</f>
        <v>102.71</v>
      </c>
      <c r="D569" s="225">
        <v>0</v>
      </c>
      <c r="E569" s="226" t="s">
        <v>245</v>
      </c>
      <c r="F569" s="227" t="s">
        <v>698</v>
      </c>
      <c r="G569" s="227" t="s">
        <v>61</v>
      </c>
      <c r="H569" s="228">
        <v>68</v>
      </c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  <c r="Z569" s="222"/>
    </row>
    <row r="570" spans="1:26" ht="15.75" customHeight="1" x14ac:dyDescent="0.2">
      <c r="A570" s="224">
        <v>43693</v>
      </c>
      <c r="B570" s="225">
        <v>200</v>
      </c>
      <c r="C570" s="225">
        <f>B570</f>
        <v>200</v>
      </c>
      <c r="D570" s="225">
        <v>0</v>
      </c>
      <c r="E570" s="226" t="s">
        <v>38</v>
      </c>
      <c r="F570" s="227" t="s">
        <v>702</v>
      </c>
      <c r="G570" s="227" t="s">
        <v>19</v>
      </c>
      <c r="H570" s="228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  <c r="Z570" s="222"/>
    </row>
    <row r="571" spans="1:26" ht="15.75" customHeight="1" x14ac:dyDescent="0.2">
      <c r="A571" s="224">
        <v>43693</v>
      </c>
      <c r="B571" s="225">
        <v>2000</v>
      </c>
      <c r="C571" s="225">
        <f>B571</f>
        <v>2000</v>
      </c>
      <c r="D571" s="225">
        <v>0</v>
      </c>
      <c r="E571" s="226" t="s">
        <v>166</v>
      </c>
      <c r="F571" s="227" t="s">
        <v>702</v>
      </c>
      <c r="G571" s="227" t="s">
        <v>39</v>
      </c>
      <c r="H571" s="228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  <c r="Z571" s="222"/>
    </row>
    <row r="572" spans="1:26" ht="15.75" customHeight="1" x14ac:dyDescent="0.2">
      <c r="A572" s="224">
        <v>43694</v>
      </c>
      <c r="B572" s="225">
        <v>-525</v>
      </c>
      <c r="C572" s="225">
        <f>B572</f>
        <v>-525</v>
      </c>
      <c r="D572" s="225">
        <v>0</v>
      </c>
      <c r="E572" s="226" t="s">
        <v>246</v>
      </c>
      <c r="F572" s="227" t="s">
        <v>698</v>
      </c>
      <c r="G572" s="227" t="s">
        <v>243</v>
      </c>
      <c r="H572" s="228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  <c r="Z572" s="222"/>
    </row>
    <row r="573" spans="1:26" ht="15.75" customHeight="1" x14ac:dyDescent="0.2">
      <c r="A573" s="224">
        <v>43695</v>
      </c>
      <c r="B573" s="225">
        <v>-55</v>
      </c>
      <c r="C573" s="225">
        <f>B573</f>
        <v>-55</v>
      </c>
      <c r="D573" s="225">
        <v>0</v>
      </c>
      <c r="E573" s="226" t="s">
        <v>153</v>
      </c>
      <c r="F573" s="227" t="s">
        <v>698</v>
      </c>
      <c r="G573" s="227" t="s">
        <v>119</v>
      </c>
      <c r="H573" s="228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  <c r="Z573" s="222"/>
    </row>
    <row r="574" spans="1:26" ht="15.75" customHeight="1" x14ac:dyDescent="0.2">
      <c r="A574" s="224">
        <v>43695</v>
      </c>
      <c r="B574" s="225">
        <v>-55</v>
      </c>
      <c r="C574" s="225">
        <f>B574</f>
        <v>-55</v>
      </c>
      <c r="D574" s="225">
        <v>0</v>
      </c>
      <c r="E574" s="226" t="s">
        <v>118</v>
      </c>
      <c r="F574" s="227" t="s">
        <v>698</v>
      </c>
      <c r="G574" s="227" t="s">
        <v>119</v>
      </c>
      <c r="H574" s="228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  <c r="Z574" s="222"/>
    </row>
    <row r="575" spans="1:26" ht="15.75" customHeight="1" x14ac:dyDescent="0.2">
      <c r="A575" s="224">
        <v>43697</v>
      </c>
      <c r="B575" s="225">
        <v>1473</v>
      </c>
      <c r="C575" s="225">
        <f>B575</f>
        <v>1473</v>
      </c>
      <c r="D575" s="225">
        <v>0</v>
      </c>
      <c r="E575" s="226" t="s">
        <v>168</v>
      </c>
      <c r="F575" s="227" t="s">
        <v>36</v>
      </c>
      <c r="G575" s="227" t="s">
        <v>37</v>
      </c>
      <c r="H575" s="228">
        <v>70</v>
      </c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  <c r="Z575" s="222"/>
    </row>
    <row r="576" spans="1:26" ht="15.75" customHeight="1" x14ac:dyDescent="0.2">
      <c r="A576" s="224">
        <v>43698</v>
      </c>
      <c r="B576" s="225">
        <v>1290</v>
      </c>
      <c r="C576" s="225">
        <f>B576</f>
        <v>1290</v>
      </c>
      <c r="D576" s="225">
        <v>0</v>
      </c>
      <c r="E576" s="226" t="s">
        <v>158</v>
      </c>
      <c r="F576" s="227" t="s">
        <v>36</v>
      </c>
      <c r="G576" s="227" t="s">
        <v>37</v>
      </c>
      <c r="H576" s="228">
        <v>68</v>
      </c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  <c r="Z576" s="222"/>
    </row>
    <row r="577" spans="1:26" ht="15.75" customHeight="1" x14ac:dyDescent="0.2">
      <c r="A577" s="224">
        <v>43704</v>
      </c>
      <c r="B577" s="225">
        <v>-1293.3800000000001</v>
      </c>
      <c r="C577" s="225">
        <f>B577</f>
        <v>-1293.3800000000001</v>
      </c>
      <c r="D577" s="225">
        <v>0</v>
      </c>
      <c r="E577" s="226" t="s">
        <v>40</v>
      </c>
      <c r="F577" s="227" t="s">
        <v>698</v>
      </c>
      <c r="G577" s="227" t="s">
        <v>6</v>
      </c>
      <c r="H577" s="228">
        <v>68</v>
      </c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  <c r="Z577" s="222"/>
    </row>
    <row r="578" spans="1:26" ht="15.75" customHeight="1" x14ac:dyDescent="0.2">
      <c r="A578" s="224">
        <v>43705</v>
      </c>
      <c r="B578" s="225">
        <v>-1175.8599999999999</v>
      </c>
      <c r="C578" s="225">
        <f>B578</f>
        <v>-1175.8599999999999</v>
      </c>
      <c r="D578" s="225">
        <v>0</v>
      </c>
      <c r="E578" s="226" t="s">
        <v>84</v>
      </c>
      <c r="F578" s="227" t="s">
        <v>698</v>
      </c>
      <c r="G578" s="227" t="s">
        <v>6</v>
      </c>
      <c r="H578" s="228">
        <v>70</v>
      </c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  <c r="Z578" s="222"/>
    </row>
    <row r="579" spans="1:26" ht="15.75" customHeight="1" x14ac:dyDescent="0.2">
      <c r="A579" s="224">
        <v>43706</v>
      </c>
      <c r="B579" s="225">
        <v>-102.71</v>
      </c>
      <c r="C579" s="225">
        <f>B579</f>
        <v>-102.71</v>
      </c>
      <c r="D579" s="225">
        <v>0</v>
      </c>
      <c r="E579" s="226" t="s">
        <v>60</v>
      </c>
      <c r="F579" s="227" t="s">
        <v>698</v>
      </c>
      <c r="G579" s="227" t="s">
        <v>61</v>
      </c>
      <c r="H579" s="228">
        <v>68</v>
      </c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</row>
    <row r="580" spans="1:26" ht="15.75" customHeight="1" x14ac:dyDescent="0.2">
      <c r="A580" s="224">
        <v>43707</v>
      </c>
      <c r="B580" s="225">
        <v>-92.13</v>
      </c>
      <c r="C580" s="225">
        <f>B580</f>
        <v>-92.13</v>
      </c>
      <c r="D580" s="225">
        <v>0</v>
      </c>
      <c r="E580" s="226" t="s">
        <v>66</v>
      </c>
      <c r="F580" s="227" t="s">
        <v>698</v>
      </c>
      <c r="G580" s="227" t="s">
        <v>61</v>
      </c>
      <c r="H580" s="228">
        <v>70</v>
      </c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</row>
    <row r="581" spans="1:26" ht="15.75" customHeight="1" x14ac:dyDescent="0.2">
      <c r="A581" s="224">
        <v>43720</v>
      </c>
      <c r="B581" s="225">
        <v>-190</v>
      </c>
      <c r="C581" s="225">
        <f>B581</f>
        <v>-190</v>
      </c>
      <c r="D581" s="225">
        <v>0</v>
      </c>
      <c r="E581" s="226" t="s">
        <v>247</v>
      </c>
      <c r="F581" s="227" t="s">
        <v>701</v>
      </c>
      <c r="G581" s="227"/>
      <c r="H581" s="228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</row>
    <row r="582" spans="1:26" ht="15.75" customHeight="1" x14ac:dyDescent="0.2">
      <c r="A582" s="224">
        <v>43720</v>
      </c>
      <c r="B582" s="225">
        <v>1000</v>
      </c>
      <c r="C582" s="225">
        <f>B582</f>
        <v>1000</v>
      </c>
      <c r="D582" s="225">
        <v>0</v>
      </c>
      <c r="E582" s="226" t="s">
        <v>248</v>
      </c>
      <c r="F582" s="227" t="s">
        <v>702</v>
      </c>
      <c r="G582" s="227" t="s">
        <v>19</v>
      </c>
      <c r="H582" s="228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</row>
    <row r="583" spans="1:26" ht="15.75" customHeight="1" x14ac:dyDescent="0.2">
      <c r="A583" s="224">
        <v>43721</v>
      </c>
      <c r="B583" s="225">
        <v>-55</v>
      </c>
      <c r="C583" s="225">
        <f>B583</f>
        <v>-55</v>
      </c>
      <c r="D583" s="225">
        <v>0</v>
      </c>
      <c r="E583" s="226" t="s">
        <v>153</v>
      </c>
      <c r="F583" s="227" t="s">
        <v>698</v>
      </c>
      <c r="G583" s="227" t="s">
        <v>119</v>
      </c>
      <c r="H583" s="228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</row>
    <row r="584" spans="1:26" ht="15.75" customHeight="1" x14ac:dyDescent="0.2">
      <c r="A584" s="224">
        <v>43721</v>
      </c>
      <c r="B584" s="225">
        <v>-55</v>
      </c>
      <c r="C584" s="225">
        <f>B584</f>
        <v>-55</v>
      </c>
      <c r="D584" s="225">
        <v>0</v>
      </c>
      <c r="E584" s="226" t="s">
        <v>118</v>
      </c>
      <c r="F584" s="227" t="s">
        <v>698</v>
      </c>
      <c r="G584" s="227" t="s">
        <v>119</v>
      </c>
      <c r="H584" s="228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  <c r="Z584" s="222"/>
    </row>
    <row r="585" spans="1:26" ht="15.75" customHeight="1" x14ac:dyDescent="0.2">
      <c r="A585" s="224">
        <v>43724</v>
      </c>
      <c r="B585" s="225">
        <v>200</v>
      </c>
      <c r="C585" s="225">
        <f>B585</f>
        <v>200</v>
      </c>
      <c r="D585" s="225">
        <v>0</v>
      </c>
      <c r="E585" s="226" t="s">
        <v>38</v>
      </c>
      <c r="F585" s="227" t="s">
        <v>702</v>
      </c>
      <c r="G585" s="227" t="s">
        <v>39</v>
      </c>
      <c r="H585" s="228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  <c r="Z585" s="222"/>
    </row>
    <row r="586" spans="1:26" ht="15.75" customHeight="1" x14ac:dyDescent="0.2">
      <c r="A586" s="224">
        <v>43725</v>
      </c>
      <c r="B586" s="225">
        <v>-102.71</v>
      </c>
      <c r="C586" s="225">
        <f>B586</f>
        <v>-102.71</v>
      </c>
      <c r="D586" s="225">
        <v>0</v>
      </c>
      <c r="E586" s="226" t="s">
        <v>60</v>
      </c>
      <c r="F586" s="227" t="s">
        <v>698</v>
      </c>
      <c r="G586" s="227" t="s">
        <v>61</v>
      </c>
      <c r="H586" s="228">
        <v>68</v>
      </c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  <c r="Z586" s="222"/>
    </row>
    <row r="587" spans="1:26" ht="15.75" customHeight="1" x14ac:dyDescent="0.2">
      <c r="A587" s="224">
        <v>43731</v>
      </c>
      <c r="B587" s="225">
        <v>1473</v>
      </c>
      <c r="C587" s="225">
        <f>B587</f>
        <v>1473</v>
      </c>
      <c r="D587" s="225">
        <v>0</v>
      </c>
      <c r="E587" s="226" t="s">
        <v>168</v>
      </c>
      <c r="F587" s="227" t="s">
        <v>36</v>
      </c>
      <c r="G587" s="227" t="s">
        <v>37</v>
      </c>
      <c r="H587" s="228">
        <v>70</v>
      </c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  <c r="Z587" s="222"/>
    </row>
    <row r="588" spans="1:26" ht="15.75" customHeight="1" x14ac:dyDescent="0.2">
      <c r="A588" s="224">
        <v>43732</v>
      </c>
      <c r="B588" s="225">
        <v>-926.5</v>
      </c>
      <c r="C588" s="225">
        <f>B588</f>
        <v>-926.5</v>
      </c>
      <c r="D588" s="225">
        <v>0</v>
      </c>
      <c r="E588" s="226" t="s">
        <v>249</v>
      </c>
      <c r="F588" s="227" t="s">
        <v>697</v>
      </c>
      <c r="G588" s="227" t="s">
        <v>203</v>
      </c>
      <c r="H588" s="228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  <c r="Z588" s="222"/>
    </row>
    <row r="589" spans="1:26" ht="15.75" customHeight="1" x14ac:dyDescent="0.2">
      <c r="A589" s="224">
        <v>43734</v>
      </c>
      <c r="B589" s="225">
        <v>-1244.97</v>
      </c>
      <c r="C589" s="225">
        <f>B589</f>
        <v>-1244.97</v>
      </c>
      <c r="D589" s="225">
        <v>0</v>
      </c>
      <c r="E589" s="226" t="s">
        <v>40</v>
      </c>
      <c r="F589" s="227" t="s">
        <v>698</v>
      </c>
      <c r="G589" s="227" t="s">
        <v>6</v>
      </c>
      <c r="H589" s="228">
        <v>68</v>
      </c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  <c r="Z589" s="222"/>
    </row>
    <row r="590" spans="1:26" ht="15.75" customHeight="1" x14ac:dyDescent="0.2">
      <c r="A590" s="224">
        <v>43734</v>
      </c>
      <c r="B590" s="225">
        <v>200</v>
      </c>
      <c r="C590" s="225">
        <f>B590</f>
        <v>200</v>
      </c>
      <c r="D590" s="225">
        <v>0</v>
      </c>
      <c r="E590" s="226" t="s">
        <v>213</v>
      </c>
      <c r="F590" s="227" t="s">
        <v>702</v>
      </c>
      <c r="G590" s="227" t="s">
        <v>19</v>
      </c>
      <c r="H590" s="228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  <c r="Z590" s="222"/>
    </row>
    <row r="591" spans="1:26" ht="15.75" customHeight="1" x14ac:dyDescent="0.2">
      <c r="A591" s="224">
        <v>43738</v>
      </c>
      <c r="B591" s="225">
        <v>-1175.8599999999999</v>
      </c>
      <c r="C591" s="225">
        <f>B591</f>
        <v>-1175.8599999999999</v>
      </c>
      <c r="D591" s="225">
        <v>0</v>
      </c>
      <c r="E591" s="226" t="s">
        <v>84</v>
      </c>
      <c r="F591" s="227" t="s">
        <v>698</v>
      </c>
      <c r="G591" s="227" t="s">
        <v>6</v>
      </c>
      <c r="H591" s="228">
        <v>70</v>
      </c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  <c r="Z591" s="222"/>
    </row>
    <row r="592" spans="1:26" ht="15.75" customHeight="1" x14ac:dyDescent="0.2">
      <c r="A592" s="224">
        <v>43739</v>
      </c>
      <c r="B592" s="225">
        <v>-92.13</v>
      </c>
      <c r="C592" s="225">
        <f>B592</f>
        <v>-92.13</v>
      </c>
      <c r="D592" s="225">
        <v>0</v>
      </c>
      <c r="E592" s="226" t="s">
        <v>66</v>
      </c>
      <c r="F592" s="227" t="s">
        <v>698</v>
      </c>
      <c r="G592" s="227" t="s">
        <v>61</v>
      </c>
      <c r="H592" s="228">
        <v>70</v>
      </c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  <c r="Z592" s="222"/>
    </row>
    <row r="593" spans="1:26" ht="15.75" customHeight="1" x14ac:dyDescent="0.2">
      <c r="A593" s="224">
        <v>43740</v>
      </c>
      <c r="B593" s="225">
        <v>848</v>
      </c>
      <c r="C593" s="225">
        <f>B593</f>
        <v>848</v>
      </c>
      <c r="D593" s="225">
        <v>0</v>
      </c>
      <c r="E593" s="226" t="s">
        <v>158</v>
      </c>
      <c r="F593" s="227" t="s">
        <v>36</v>
      </c>
      <c r="G593" s="227" t="s">
        <v>37</v>
      </c>
      <c r="H593" s="228">
        <v>68</v>
      </c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  <c r="Z593" s="222"/>
    </row>
    <row r="594" spans="1:26" ht="15.75" customHeight="1" x14ac:dyDescent="0.2">
      <c r="A594" s="224">
        <v>43743</v>
      </c>
      <c r="B594" s="225">
        <v>-2062.5</v>
      </c>
      <c r="C594" s="225">
        <f>B594-D594</f>
        <v>-1875</v>
      </c>
      <c r="D594" s="234">
        <f>B594/11</f>
        <v>-187.5</v>
      </c>
      <c r="E594" s="226" t="s">
        <v>250</v>
      </c>
      <c r="F594" s="227" t="s">
        <v>251</v>
      </c>
      <c r="G594" s="227" t="s">
        <v>252</v>
      </c>
      <c r="H594" s="228" t="s">
        <v>253</v>
      </c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  <c r="Z594" s="222"/>
    </row>
    <row r="595" spans="1:26" ht="15.75" customHeight="1" x14ac:dyDescent="0.2">
      <c r="A595" s="224">
        <v>43743</v>
      </c>
      <c r="B595" s="225">
        <v>50</v>
      </c>
      <c r="C595" s="225">
        <f>B595</f>
        <v>50</v>
      </c>
      <c r="D595" s="225">
        <v>0</v>
      </c>
      <c r="E595" s="226" t="s">
        <v>254</v>
      </c>
      <c r="F595" s="227" t="s">
        <v>702</v>
      </c>
      <c r="G595" s="227" t="s">
        <v>19</v>
      </c>
      <c r="H595" s="228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  <c r="Z595" s="222"/>
    </row>
    <row r="596" spans="1:26" ht="15.75" customHeight="1" x14ac:dyDescent="0.2">
      <c r="A596" s="224">
        <v>43743</v>
      </c>
      <c r="B596" s="225">
        <v>500</v>
      </c>
      <c r="C596" s="225">
        <f>B596</f>
        <v>500</v>
      </c>
      <c r="D596" s="225">
        <v>0</v>
      </c>
      <c r="E596" s="226" t="s">
        <v>254</v>
      </c>
      <c r="F596" s="227" t="s">
        <v>702</v>
      </c>
      <c r="G596" s="227" t="s">
        <v>19</v>
      </c>
      <c r="H596" s="228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  <c r="Z596" s="222"/>
    </row>
    <row r="597" spans="1:26" ht="15.75" customHeight="1" x14ac:dyDescent="0.2">
      <c r="A597" s="224">
        <v>43745</v>
      </c>
      <c r="B597" s="225">
        <v>581</v>
      </c>
      <c r="C597" s="225">
        <f>B597</f>
        <v>581</v>
      </c>
      <c r="D597" s="225">
        <v>0</v>
      </c>
      <c r="E597" s="226" t="s">
        <v>168</v>
      </c>
      <c r="F597" s="227" t="s">
        <v>36</v>
      </c>
      <c r="G597" s="227" t="s">
        <v>37</v>
      </c>
      <c r="H597" s="228">
        <v>70</v>
      </c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  <c r="Z597" s="222"/>
    </row>
    <row r="598" spans="1:26" ht="15.75" customHeight="1" x14ac:dyDescent="0.2">
      <c r="A598" s="224">
        <v>43746</v>
      </c>
      <c r="B598" s="225">
        <v>15000</v>
      </c>
      <c r="C598" s="225">
        <f>B598</f>
        <v>15000</v>
      </c>
      <c r="D598" s="225">
        <v>0</v>
      </c>
      <c r="E598" s="226" t="s">
        <v>255</v>
      </c>
      <c r="F598" s="227" t="s">
        <v>702</v>
      </c>
      <c r="G598" s="227" t="s">
        <v>39</v>
      </c>
      <c r="H598" s="228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  <c r="Z598" s="222"/>
    </row>
    <row r="599" spans="1:26" ht="15.75" customHeight="1" x14ac:dyDescent="0.2">
      <c r="A599" s="224">
        <v>43749</v>
      </c>
      <c r="B599" s="225">
        <v>-500</v>
      </c>
      <c r="C599" s="225">
        <f>B599-D599</f>
        <v>-454.54545454545456</v>
      </c>
      <c r="D599" s="234">
        <f>B599/11</f>
        <v>-45.454545454545453</v>
      </c>
      <c r="E599" s="226" t="s">
        <v>256</v>
      </c>
      <c r="F599" s="227" t="s">
        <v>251</v>
      </c>
      <c r="G599" s="227" t="s">
        <v>252</v>
      </c>
      <c r="H599" s="228" t="s">
        <v>253</v>
      </c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  <c r="Z599" s="222"/>
    </row>
    <row r="600" spans="1:26" ht="15.75" customHeight="1" x14ac:dyDescent="0.2">
      <c r="A600" s="224">
        <v>43751</v>
      </c>
      <c r="B600" s="225">
        <v>-55</v>
      </c>
      <c r="C600" s="225">
        <f>B600</f>
        <v>-55</v>
      </c>
      <c r="D600" s="225">
        <v>0</v>
      </c>
      <c r="E600" s="226" t="s">
        <v>153</v>
      </c>
      <c r="F600" s="227" t="s">
        <v>698</v>
      </c>
      <c r="G600" s="227" t="s">
        <v>119</v>
      </c>
      <c r="H600" s="228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  <c r="Z600" s="222"/>
    </row>
    <row r="601" spans="1:26" ht="15.75" customHeight="1" x14ac:dyDescent="0.2">
      <c r="A601" s="224">
        <v>43751</v>
      </c>
      <c r="B601" s="225">
        <v>-55</v>
      </c>
      <c r="C601" s="225">
        <f>B601</f>
        <v>-55</v>
      </c>
      <c r="D601" s="225">
        <v>0</v>
      </c>
      <c r="E601" s="226" t="s">
        <v>118</v>
      </c>
      <c r="F601" s="227" t="s">
        <v>698</v>
      </c>
      <c r="G601" s="227" t="s">
        <v>119</v>
      </c>
      <c r="H601" s="228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  <c r="Z601" s="222"/>
    </row>
    <row r="602" spans="1:26" ht="15.75" customHeight="1" x14ac:dyDescent="0.2">
      <c r="A602" s="224">
        <v>43753</v>
      </c>
      <c r="B602" s="225">
        <v>-102.71</v>
      </c>
      <c r="C602" s="225">
        <f>B602</f>
        <v>-102.71</v>
      </c>
      <c r="D602" s="225">
        <v>0</v>
      </c>
      <c r="E602" s="226" t="s">
        <v>60</v>
      </c>
      <c r="F602" s="227" t="s">
        <v>698</v>
      </c>
      <c r="G602" s="227" t="s">
        <v>61</v>
      </c>
      <c r="H602" s="228">
        <v>68</v>
      </c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  <c r="Z602" s="222"/>
    </row>
    <row r="603" spans="1:26" ht="15.75" customHeight="1" x14ac:dyDescent="0.2">
      <c r="A603" s="224">
        <v>43754</v>
      </c>
      <c r="B603" s="225">
        <v>200</v>
      </c>
      <c r="C603" s="225">
        <f>B603</f>
        <v>200</v>
      </c>
      <c r="D603" s="225">
        <v>0</v>
      </c>
      <c r="E603" s="226" t="s">
        <v>38</v>
      </c>
      <c r="F603" s="227" t="s">
        <v>702</v>
      </c>
      <c r="G603" s="227" t="s">
        <v>39</v>
      </c>
      <c r="H603" s="228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  <c r="Z603" s="222"/>
    </row>
    <row r="604" spans="1:26" ht="15.75" customHeight="1" x14ac:dyDescent="0.2">
      <c r="A604" s="224">
        <v>43758</v>
      </c>
      <c r="B604" s="225">
        <v>200</v>
      </c>
      <c r="C604" s="225">
        <f>B604</f>
        <v>200</v>
      </c>
      <c r="D604" s="225">
        <v>0</v>
      </c>
      <c r="E604" s="226" t="s">
        <v>213</v>
      </c>
      <c r="F604" s="227" t="s">
        <v>702</v>
      </c>
      <c r="G604" s="227" t="s">
        <v>19</v>
      </c>
      <c r="H604" s="228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  <c r="Z604" s="222"/>
    </row>
    <row r="605" spans="1:26" ht="15.75" customHeight="1" x14ac:dyDescent="0.2">
      <c r="A605" s="224">
        <v>43759</v>
      </c>
      <c r="B605" s="225">
        <v>1300</v>
      </c>
      <c r="C605" s="225">
        <f>B605</f>
        <v>1300</v>
      </c>
      <c r="D605" s="225">
        <v>0</v>
      </c>
      <c r="E605" s="226" t="s">
        <v>166</v>
      </c>
      <c r="F605" s="227" t="s">
        <v>702</v>
      </c>
      <c r="G605" s="227" t="s">
        <v>39</v>
      </c>
      <c r="H605" s="228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  <c r="Z605" s="222"/>
    </row>
    <row r="606" spans="1:26" ht="15.75" customHeight="1" x14ac:dyDescent="0.2">
      <c r="A606" s="224">
        <v>43763</v>
      </c>
      <c r="B606" s="225">
        <v>-1203.06</v>
      </c>
      <c r="C606" s="225">
        <f>B606</f>
        <v>-1203.06</v>
      </c>
      <c r="D606" s="225">
        <v>0</v>
      </c>
      <c r="E606" s="226" t="s">
        <v>40</v>
      </c>
      <c r="F606" s="227" t="s">
        <v>698</v>
      </c>
      <c r="G606" s="227" t="s">
        <v>6</v>
      </c>
      <c r="H606" s="228">
        <v>68</v>
      </c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  <c r="Z606" s="222"/>
    </row>
    <row r="607" spans="1:26" ht="15.75" customHeight="1" x14ac:dyDescent="0.2">
      <c r="A607" s="224">
        <v>43764</v>
      </c>
      <c r="B607" s="225">
        <v>-2750</v>
      </c>
      <c r="C607" s="225">
        <f>B607-D607</f>
        <v>-2500</v>
      </c>
      <c r="D607" s="234">
        <f>B607/11</f>
        <v>-250</v>
      </c>
      <c r="E607" s="226" t="s">
        <v>257</v>
      </c>
      <c r="F607" s="227" t="s">
        <v>701</v>
      </c>
      <c r="G607" s="227"/>
      <c r="H607" s="228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  <c r="Z607" s="222"/>
    </row>
    <row r="608" spans="1:26" ht="15.75" customHeight="1" x14ac:dyDescent="0.2">
      <c r="A608" s="224">
        <v>43764</v>
      </c>
      <c r="B608" s="225">
        <v>-1200</v>
      </c>
      <c r="C608" s="225">
        <f>B608</f>
        <v>-1200</v>
      </c>
      <c r="D608" s="225">
        <v>0</v>
      </c>
      <c r="E608" s="226" t="s">
        <v>258</v>
      </c>
      <c r="F608" s="227" t="s">
        <v>702</v>
      </c>
      <c r="G608" s="227" t="s">
        <v>19</v>
      </c>
      <c r="H608" s="228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  <c r="Z608" s="222"/>
    </row>
    <row r="609" spans="1:26" ht="15.75" customHeight="1" x14ac:dyDescent="0.2">
      <c r="A609" s="224">
        <v>43764</v>
      </c>
      <c r="B609" s="225">
        <v>-1000</v>
      </c>
      <c r="C609" s="225">
        <f>B609</f>
        <v>-1000</v>
      </c>
      <c r="D609" s="225">
        <v>0</v>
      </c>
      <c r="E609" s="226" t="s">
        <v>197</v>
      </c>
      <c r="F609" s="227" t="s">
        <v>702</v>
      </c>
      <c r="G609" s="227" t="s">
        <v>19</v>
      </c>
      <c r="H609" s="228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</row>
    <row r="610" spans="1:26" ht="15.75" customHeight="1" x14ac:dyDescent="0.2">
      <c r="A610" s="224">
        <v>43764</v>
      </c>
      <c r="B610" s="225">
        <v>-340.1</v>
      </c>
      <c r="C610" s="225">
        <f>B610</f>
        <v>-340.1</v>
      </c>
      <c r="D610" s="225">
        <v>0</v>
      </c>
      <c r="E610" s="226" t="s">
        <v>97</v>
      </c>
      <c r="F610" s="227" t="s">
        <v>698</v>
      </c>
      <c r="G610" s="227" t="s">
        <v>46</v>
      </c>
      <c r="H610" s="228">
        <v>68</v>
      </c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  <c r="Z610" s="222"/>
    </row>
    <row r="611" spans="1:26" ht="15.75" customHeight="1" x14ac:dyDescent="0.2">
      <c r="A611" s="224">
        <v>43765</v>
      </c>
      <c r="B611" s="225">
        <v>1000</v>
      </c>
      <c r="C611" s="225">
        <f>B611</f>
        <v>1000</v>
      </c>
      <c r="D611" s="225">
        <v>0</v>
      </c>
      <c r="E611" s="226" t="s">
        <v>259</v>
      </c>
      <c r="F611" s="227" t="s">
        <v>702</v>
      </c>
      <c r="G611" s="227" t="s">
        <v>19</v>
      </c>
      <c r="H611" s="228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  <c r="Z611" s="222"/>
    </row>
    <row r="612" spans="1:26" ht="15.75" customHeight="1" x14ac:dyDescent="0.2">
      <c r="A612" s="224">
        <v>43765</v>
      </c>
      <c r="B612" s="225">
        <v>1300</v>
      </c>
      <c r="C612" s="225">
        <f>B612</f>
        <v>1300</v>
      </c>
      <c r="D612" s="225">
        <v>0</v>
      </c>
      <c r="E612" s="226" t="s">
        <v>260</v>
      </c>
      <c r="F612" s="227" t="s">
        <v>702</v>
      </c>
      <c r="G612" s="227" t="s">
        <v>19</v>
      </c>
      <c r="H612" s="228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  <c r="Z612" s="222"/>
    </row>
    <row r="613" spans="1:26" ht="15.75" customHeight="1" x14ac:dyDescent="0.2">
      <c r="A613" s="224">
        <v>43766</v>
      </c>
      <c r="B613" s="225">
        <v>-1121.4000000000001</v>
      </c>
      <c r="C613" s="225">
        <f>B613</f>
        <v>-1121.4000000000001</v>
      </c>
      <c r="D613" s="225">
        <v>0</v>
      </c>
      <c r="E613" s="226" t="s">
        <v>84</v>
      </c>
      <c r="F613" s="227" t="s">
        <v>698</v>
      </c>
      <c r="G613" s="227" t="s">
        <v>6</v>
      </c>
      <c r="H613" s="228">
        <v>70</v>
      </c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  <c r="Z613" s="222"/>
    </row>
    <row r="614" spans="1:26" ht="15.75" customHeight="1" x14ac:dyDescent="0.2">
      <c r="A614" s="224">
        <v>43767</v>
      </c>
      <c r="B614" s="225">
        <v>-146.96</v>
      </c>
      <c r="C614" s="225">
        <f>B614</f>
        <v>-146.96</v>
      </c>
      <c r="D614" s="225">
        <v>0</v>
      </c>
      <c r="E614" s="226" t="s">
        <v>261</v>
      </c>
      <c r="F614" s="227" t="s">
        <v>698</v>
      </c>
      <c r="G614" s="227" t="s">
        <v>74</v>
      </c>
      <c r="H614" s="228">
        <v>70</v>
      </c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</row>
    <row r="615" spans="1:26" ht="15.75" customHeight="1" x14ac:dyDescent="0.2">
      <c r="A615" s="224">
        <v>43767</v>
      </c>
      <c r="B615" s="225">
        <v>-146</v>
      </c>
      <c r="C615" s="225">
        <f>B615</f>
        <v>-146</v>
      </c>
      <c r="D615" s="225">
        <v>0</v>
      </c>
      <c r="E615" s="226" t="s">
        <v>262</v>
      </c>
      <c r="F615" s="227" t="s">
        <v>698</v>
      </c>
      <c r="G615" s="227" t="s">
        <v>74</v>
      </c>
      <c r="H615" s="228">
        <v>68</v>
      </c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  <c r="Z615" s="222"/>
    </row>
    <row r="616" spans="1:26" ht="15.75" customHeight="1" x14ac:dyDescent="0.2">
      <c r="A616" s="224">
        <v>43767</v>
      </c>
      <c r="B616" s="225">
        <v>1200</v>
      </c>
      <c r="C616" s="225">
        <f>B616</f>
        <v>1200</v>
      </c>
      <c r="D616" s="225">
        <v>0</v>
      </c>
      <c r="E616" s="226" t="s">
        <v>263</v>
      </c>
      <c r="F616" s="227" t="s">
        <v>702</v>
      </c>
      <c r="G616" s="227" t="s">
        <v>19</v>
      </c>
      <c r="H616" s="228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  <c r="Z616" s="222"/>
    </row>
    <row r="617" spans="1:26" ht="15.75" customHeight="1" x14ac:dyDescent="0.2">
      <c r="A617" s="224">
        <v>43768</v>
      </c>
      <c r="B617" s="225">
        <v>-92.13</v>
      </c>
      <c r="C617" s="225">
        <f>B617</f>
        <v>-92.13</v>
      </c>
      <c r="D617" s="225">
        <v>0</v>
      </c>
      <c r="E617" s="226" t="s">
        <v>66</v>
      </c>
      <c r="F617" s="227" t="s">
        <v>698</v>
      </c>
      <c r="G617" s="227" t="s">
        <v>61</v>
      </c>
      <c r="H617" s="228">
        <v>70</v>
      </c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  <c r="Z617" s="222"/>
    </row>
    <row r="618" spans="1:26" ht="15.75" customHeight="1" x14ac:dyDescent="0.2">
      <c r="A618" s="224">
        <v>43771</v>
      </c>
      <c r="B618" s="225">
        <v>-353.75</v>
      </c>
      <c r="C618" s="225">
        <f>B618</f>
        <v>-353.75</v>
      </c>
      <c r="D618" s="225">
        <v>0</v>
      </c>
      <c r="E618" s="226" t="s">
        <v>134</v>
      </c>
      <c r="F618" s="227" t="s">
        <v>698</v>
      </c>
      <c r="G618" s="227" t="s">
        <v>46</v>
      </c>
      <c r="H618" s="228">
        <v>70</v>
      </c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</row>
    <row r="619" spans="1:26" ht="15.75" customHeight="1" x14ac:dyDescent="0.2">
      <c r="A619" s="224">
        <v>43772</v>
      </c>
      <c r="B619" s="225">
        <v>-850</v>
      </c>
      <c r="C619" s="225">
        <f>B619</f>
        <v>-850</v>
      </c>
      <c r="D619" s="225">
        <v>0</v>
      </c>
      <c r="E619" s="226" t="s">
        <v>174</v>
      </c>
      <c r="F619" s="227" t="s">
        <v>702</v>
      </c>
      <c r="G619" s="227" t="s">
        <v>19</v>
      </c>
      <c r="H619" s="228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  <c r="Z619" s="222"/>
    </row>
    <row r="620" spans="1:26" ht="15.75" customHeight="1" x14ac:dyDescent="0.2">
      <c r="A620" s="224">
        <v>43782</v>
      </c>
      <c r="B620" s="225">
        <v>-55</v>
      </c>
      <c r="C620" s="225">
        <f>B620</f>
        <v>-55</v>
      </c>
      <c r="D620" s="225">
        <v>0</v>
      </c>
      <c r="E620" s="226" t="s">
        <v>153</v>
      </c>
      <c r="F620" s="227" t="s">
        <v>698</v>
      </c>
      <c r="G620" s="227" t="s">
        <v>119</v>
      </c>
      <c r="H620" s="228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  <c r="Z620" s="222"/>
    </row>
    <row r="621" spans="1:26" ht="15.75" customHeight="1" x14ac:dyDescent="0.2">
      <c r="A621" s="224">
        <v>43782</v>
      </c>
      <c r="B621" s="225">
        <v>-55</v>
      </c>
      <c r="C621" s="225">
        <f>B621</f>
        <v>-55</v>
      </c>
      <c r="D621" s="225">
        <v>0</v>
      </c>
      <c r="E621" s="226" t="s">
        <v>118</v>
      </c>
      <c r="F621" s="227" t="s">
        <v>698</v>
      </c>
      <c r="G621" s="227" t="s">
        <v>119</v>
      </c>
      <c r="H621" s="228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  <c r="Z621" s="222"/>
    </row>
    <row r="622" spans="1:26" ht="15.75" customHeight="1" x14ac:dyDescent="0.2">
      <c r="A622" s="224">
        <v>43784</v>
      </c>
      <c r="B622" s="225">
        <v>-102.71</v>
      </c>
      <c r="C622" s="225">
        <f>B622</f>
        <v>-102.71</v>
      </c>
      <c r="D622" s="225">
        <v>0</v>
      </c>
      <c r="E622" s="226" t="s">
        <v>60</v>
      </c>
      <c r="F622" s="227" t="s">
        <v>698</v>
      </c>
      <c r="G622" s="227" t="s">
        <v>61</v>
      </c>
      <c r="H622" s="228">
        <v>68</v>
      </c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  <c r="Z622" s="222"/>
    </row>
    <row r="623" spans="1:26" ht="15.75" customHeight="1" x14ac:dyDescent="0.2">
      <c r="A623" s="224">
        <v>43785</v>
      </c>
      <c r="B623" s="225">
        <v>-10312.5</v>
      </c>
      <c r="C623" s="225">
        <f>B623-D623</f>
        <v>-9375</v>
      </c>
      <c r="D623" s="234">
        <f>B623/11</f>
        <v>-937.5</v>
      </c>
      <c r="E623" s="226" t="s">
        <v>264</v>
      </c>
      <c r="F623" s="227" t="s">
        <v>251</v>
      </c>
      <c r="G623" s="227" t="s">
        <v>252</v>
      </c>
      <c r="H623" s="228" t="s">
        <v>253</v>
      </c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  <c r="Z623" s="222"/>
    </row>
    <row r="624" spans="1:26" ht="15.75" customHeight="1" x14ac:dyDescent="0.2">
      <c r="A624" s="224">
        <v>43787</v>
      </c>
      <c r="B624" s="225">
        <v>200</v>
      </c>
      <c r="C624" s="225">
        <f>B624</f>
        <v>200</v>
      </c>
      <c r="D624" s="225">
        <v>0</v>
      </c>
      <c r="E624" s="226" t="s">
        <v>38</v>
      </c>
      <c r="F624" s="227" t="s">
        <v>702</v>
      </c>
      <c r="G624" s="227" t="s">
        <v>39</v>
      </c>
      <c r="H624" s="228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  <c r="Z624" s="222"/>
    </row>
    <row r="625" spans="1:26" ht="15.75" customHeight="1" x14ac:dyDescent="0.2">
      <c r="A625" s="224">
        <v>43790</v>
      </c>
      <c r="B625" s="225">
        <v>200</v>
      </c>
      <c r="C625" s="225">
        <f>B625</f>
        <v>200</v>
      </c>
      <c r="D625" s="225">
        <v>0</v>
      </c>
      <c r="E625" s="226" t="s">
        <v>213</v>
      </c>
      <c r="F625" s="227" t="s">
        <v>702</v>
      </c>
      <c r="G625" s="227" t="s">
        <v>19</v>
      </c>
      <c r="H625" s="228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  <c r="Z625" s="222"/>
    </row>
    <row r="626" spans="1:26" ht="15.75" customHeight="1" x14ac:dyDescent="0.2">
      <c r="A626" s="224">
        <v>43791</v>
      </c>
      <c r="B626" s="225">
        <v>1300</v>
      </c>
      <c r="C626" s="225">
        <f>B626</f>
        <v>1300</v>
      </c>
      <c r="D626" s="225">
        <v>0</v>
      </c>
      <c r="E626" s="226" t="s">
        <v>220</v>
      </c>
      <c r="F626" s="227" t="s">
        <v>702</v>
      </c>
      <c r="G626" s="227" t="s">
        <v>19</v>
      </c>
      <c r="H626" s="228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  <c r="Z626" s="222"/>
    </row>
    <row r="627" spans="1:26" ht="15.75" customHeight="1" x14ac:dyDescent="0.2">
      <c r="A627" s="224">
        <v>43794</v>
      </c>
      <c r="B627" s="225">
        <v>1300</v>
      </c>
      <c r="C627" s="225">
        <f>B627</f>
        <v>1300</v>
      </c>
      <c r="D627" s="225">
        <v>0</v>
      </c>
      <c r="E627" s="226" t="s">
        <v>265</v>
      </c>
      <c r="F627" s="227" t="s">
        <v>702</v>
      </c>
      <c r="G627" s="227" t="s">
        <v>39</v>
      </c>
      <c r="H627" s="228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  <c r="Z627" s="222"/>
    </row>
    <row r="628" spans="1:26" ht="15.75" customHeight="1" x14ac:dyDescent="0.2">
      <c r="A628" s="224">
        <v>43796</v>
      </c>
      <c r="B628" s="225">
        <v>-1238.9100000000001</v>
      </c>
      <c r="C628" s="225">
        <f>B628</f>
        <v>-1238.9100000000001</v>
      </c>
      <c r="D628" s="225">
        <v>0</v>
      </c>
      <c r="E628" s="226" t="s">
        <v>40</v>
      </c>
      <c r="F628" s="227" t="s">
        <v>698</v>
      </c>
      <c r="G628" s="227" t="s">
        <v>6</v>
      </c>
      <c r="H628" s="228">
        <v>68</v>
      </c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  <c r="Z628" s="222"/>
    </row>
    <row r="629" spans="1:26" ht="15.75" customHeight="1" x14ac:dyDescent="0.2">
      <c r="A629" s="224">
        <v>43797</v>
      </c>
      <c r="B629" s="225">
        <v>-1133.1600000000001</v>
      </c>
      <c r="C629" s="225">
        <f>B629</f>
        <v>-1133.1600000000001</v>
      </c>
      <c r="D629" s="225">
        <v>0</v>
      </c>
      <c r="E629" s="226" t="s">
        <v>84</v>
      </c>
      <c r="F629" s="227" t="s">
        <v>698</v>
      </c>
      <c r="G629" s="227" t="s">
        <v>6</v>
      </c>
      <c r="H629" s="228">
        <v>70</v>
      </c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  <c r="Z629" s="222"/>
    </row>
    <row r="630" spans="1:26" ht="15.75" customHeight="1" x14ac:dyDescent="0.2">
      <c r="A630" s="224">
        <v>43800</v>
      </c>
      <c r="B630" s="225">
        <v>-340</v>
      </c>
      <c r="C630" s="225">
        <f>B630</f>
        <v>-340</v>
      </c>
      <c r="D630" s="225">
        <v>0</v>
      </c>
      <c r="E630" s="226" t="s">
        <v>97</v>
      </c>
      <c r="F630" s="227" t="s">
        <v>698</v>
      </c>
      <c r="G630" s="227" t="s">
        <v>46</v>
      </c>
      <c r="H630" s="228">
        <v>68</v>
      </c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  <c r="Z630" s="222"/>
    </row>
    <row r="631" spans="1:26" ht="15.75" customHeight="1" x14ac:dyDescent="0.2">
      <c r="A631" s="224">
        <v>43801</v>
      </c>
      <c r="B631" s="225">
        <v>-92.13</v>
      </c>
      <c r="C631" s="225">
        <f>B631</f>
        <v>-92.13</v>
      </c>
      <c r="D631" s="225">
        <v>0</v>
      </c>
      <c r="E631" s="226" t="s">
        <v>66</v>
      </c>
      <c r="F631" s="227" t="s">
        <v>698</v>
      </c>
      <c r="G631" s="227" t="s">
        <v>61</v>
      </c>
      <c r="H631" s="228">
        <v>70</v>
      </c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  <c r="Z631" s="222"/>
    </row>
    <row r="632" spans="1:26" ht="15.75" customHeight="1" x14ac:dyDescent="0.2">
      <c r="A632" s="224">
        <v>43802</v>
      </c>
      <c r="B632" s="225">
        <v>-2750</v>
      </c>
      <c r="C632" s="225">
        <f>B632-D632</f>
        <v>-2500</v>
      </c>
      <c r="D632" s="234">
        <f>B632/11</f>
        <v>-250</v>
      </c>
      <c r="E632" s="226" t="s">
        <v>266</v>
      </c>
      <c r="F632" s="227" t="s">
        <v>251</v>
      </c>
      <c r="G632" s="227" t="s">
        <v>267</v>
      </c>
      <c r="H632" s="228" t="s">
        <v>268</v>
      </c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  <c r="Z632" s="222"/>
    </row>
    <row r="633" spans="1:26" ht="15.75" customHeight="1" x14ac:dyDescent="0.2">
      <c r="A633" s="224">
        <v>43802</v>
      </c>
      <c r="B633" s="225">
        <v>-706.75</v>
      </c>
      <c r="C633" s="225">
        <f>B633</f>
        <v>-706.75</v>
      </c>
      <c r="D633" s="225">
        <v>0</v>
      </c>
      <c r="E633" s="226" t="s">
        <v>134</v>
      </c>
      <c r="F633" s="227" t="s">
        <v>698</v>
      </c>
      <c r="G633" s="227" t="s">
        <v>46</v>
      </c>
      <c r="H633" s="228">
        <v>70</v>
      </c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  <c r="Z633" s="222"/>
    </row>
    <row r="634" spans="1:26" ht="15.75" customHeight="1" x14ac:dyDescent="0.2">
      <c r="A634" s="224">
        <v>43802</v>
      </c>
      <c r="B634" s="225">
        <v>8500</v>
      </c>
      <c r="C634" s="225">
        <f>B634</f>
        <v>8500</v>
      </c>
      <c r="D634" s="225">
        <v>0</v>
      </c>
      <c r="E634" s="226" t="s">
        <v>259</v>
      </c>
      <c r="F634" s="227" t="s">
        <v>702</v>
      </c>
      <c r="G634" s="227" t="s">
        <v>19</v>
      </c>
      <c r="H634" s="228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  <c r="Z634" s="222"/>
    </row>
    <row r="635" spans="1:26" ht="15.75" customHeight="1" x14ac:dyDescent="0.2">
      <c r="A635" s="224">
        <v>43802</v>
      </c>
      <c r="B635" s="225">
        <v>9300</v>
      </c>
      <c r="C635" s="225">
        <f>B635</f>
        <v>9300</v>
      </c>
      <c r="D635" s="225">
        <v>0</v>
      </c>
      <c r="E635" s="226" t="s">
        <v>269</v>
      </c>
      <c r="F635" s="227" t="s">
        <v>702</v>
      </c>
      <c r="G635" s="227" t="s">
        <v>39</v>
      </c>
      <c r="H635" s="228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  <c r="Z635" s="222"/>
    </row>
    <row r="636" spans="1:26" ht="15.75" customHeight="1" x14ac:dyDescent="0.2">
      <c r="A636" s="224">
        <v>43803</v>
      </c>
      <c r="B636" s="225">
        <v>-350</v>
      </c>
      <c r="C636" s="225">
        <f>B636-D636</f>
        <v>-318.18181818181819</v>
      </c>
      <c r="D636" s="234">
        <f>B636/11</f>
        <v>-31.818181818181817</v>
      </c>
      <c r="E636" s="226" t="s">
        <v>270</v>
      </c>
      <c r="F636" s="227" t="s">
        <v>701</v>
      </c>
      <c r="G636" s="227"/>
      <c r="H636" s="228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</row>
    <row r="637" spans="1:26" ht="15.75" customHeight="1" x14ac:dyDescent="0.2">
      <c r="A637" s="224">
        <v>43804</v>
      </c>
      <c r="B637" s="225">
        <v>-8600</v>
      </c>
      <c r="C637" s="225">
        <f>B637-D637</f>
        <v>-7818.181818181818</v>
      </c>
      <c r="D637" s="234">
        <f>B637/11</f>
        <v>-781.81818181818187</v>
      </c>
      <c r="E637" s="226" t="s">
        <v>271</v>
      </c>
      <c r="F637" s="227" t="s">
        <v>251</v>
      </c>
      <c r="G637" s="227" t="s">
        <v>252</v>
      </c>
      <c r="H637" s="228" t="s">
        <v>253</v>
      </c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  <c r="Z637" s="222"/>
    </row>
    <row r="638" spans="1:26" ht="15.75" customHeight="1" x14ac:dyDescent="0.2">
      <c r="A638" s="224">
        <v>43804</v>
      </c>
      <c r="B638" s="225">
        <v>-3056.9</v>
      </c>
      <c r="C638" s="225">
        <f>B638-D638</f>
        <v>-2779</v>
      </c>
      <c r="D638" s="234">
        <f>B638/11</f>
        <v>-277.90000000000003</v>
      </c>
      <c r="E638" s="226" t="s">
        <v>272</v>
      </c>
      <c r="F638" s="227" t="s">
        <v>697</v>
      </c>
      <c r="G638" s="227" t="s">
        <v>203</v>
      </c>
      <c r="H638" s="228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  <c r="Z638" s="222"/>
    </row>
    <row r="639" spans="1:26" ht="15.75" customHeight="1" x14ac:dyDescent="0.2">
      <c r="A639" s="224">
        <v>43810</v>
      </c>
      <c r="B639" s="225">
        <v>-10000</v>
      </c>
      <c r="C639" s="225">
        <f>B639-D639</f>
        <v>-9090.9090909090901</v>
      </c>
      <c r="D639" s="234">
        <f>B639/11</f>
        <v>-909.09090909090912</v>
      </c>
      <c r="E639" s="226" t="s">
        <v>273</v>
      </c>
      <c r="F639" s="227" t="s">
        <v>251</v>
      </c>
      <c r="G639" s="227" t="s">
        <v>267</v>
      </c>
      <c r="H639" s="228" t="s">
        <v>268</v>
      </c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  <c r="Z639" s="222"/>
    </row>
    <row r="640" spans="1:26" ht="15.75" customHeight="1" x14ac:dyDescent="0.2">
      <c r="A640" s="224">
        <v>43810</v>
      </c>
      <c r="B640" s="225">
        <v>8000</v>
      </c>
      <c r="C640" s="225">
        <f>B640</f>
        <v>8000</v>
      </c>
      <c r="D640" s="225">
        <v>0</v>
      </c>
      <c r="E640" s="226" t="s">
        <v>204</v>
      </c>
      <c r="F640" s="227" t="s">
        <v>702</v>
      </c>
      <c r="G640" s="227" t="s">
        <v>19</v>
      </c>
      <c r="H640" s="228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  <c r="Z640" s="222"/>
    </row>
    <row r="641" spans="1:26" ht="15.75" customHeight="1" x14ac:dyDescent="0.2">
      <c r="A641" s="224">
        <v>43814</v>
      </c>
      <c r="B641" s="225">
        <v>-110</v>
      </c>
      <c r="C641" s="225">
        <f>B641</f>
        <v>-110</v>
      </c>
      <c r="D641" s="225">
        <v>0</v>
      </c>
      <c r="E641" s="226" t="s">
        <v>274</v>
      </c>
      <c r="F641" s="227" t="s">
        <v>698</v>
      </c>
      <c r="G641" s="227" t="s">
        <v>119</v>
      </c>
      <c r="H641" s="228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  <c r="Z641" s="222"/>
    </row>
    <row r="642" spans="1:26" ht="15.75" customHeight="1" x14ac:dyDescent="0.2">
      <c r="A642" s="224">
        <v>43815</v>
      </c>
      <c r="B642" s="225">
        <v>200</v>
      </c>
      <c r="C642" s="225">
        <f>B642</f>
        <v>200</v>
      </c>
      <c r="D642" s="225">
        <v>0</v>
      </c>
      <c r="E642" s="226" t="s">
        <v>38</v>
      </c>
      <c r="F642" s="227" t="s">
        <v>702</v>
      </c>
      <c r="G642" s="227" t="s">
        <v>39</v>
      </c>
      <c r="H642" s="228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  <c r="Z642" s="222"/>
    </row>
    <row r="643" spans="1:26" ht="15.75" customHeight="1" x14ac:dyDescent="0.2">
      <c r="A643" s="224">
        <v>43816</v>
      </c>
      <c r="B643" s="225">
        <v>-102.71</v>
      </c>
      <c r="C643" s="225">
        <f>B643</f>
        <v>-102.71</v>
      </c>
      <c r="D643" s="225">
        <v>0</v>
      </c>
      <c r="E643" s="226" t="s">
        <v>60</v>
      </c>
      <c r="F643" s="227" t="s">
        <v>698</v>
      </c>
      <c r="G643" s="227" t="s">
        <v>61</v>
      </c>
      <c r="H643" s="228">
        <v>68</v>
      </c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  <c r="Z643" s="222"/>
    </row>
    <row r="644" spans="1:26" ht="15.75" customHeight="1" x14ac:dyDescent="0.2">
      <c r="A644" s="224">
        <v>43817</v>
      </c>
      <c r="B644" s="225">
        <v>2850</v>
      </c>
      <c r="C644" s="225">
        <f>B644</f>
        <v>2850</v>
      </c>
      <c r="D644" s="225">
        <v>0</v>
      </c>
      <c r="E644" s="226" t="s">
        <v>275</v>
      </c>
      <c r="F644" s="227" t="s">
        <v>702</v>
      </c>
      <c r="G644" s="227" t="s">
        <v>39</v>
      </c>
      <c r="H644" s="228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  <c r="Z644" s="222"/>
    </row>
    <row r="645" spans="1:26" ht="15.75" customHeight="1" x14ac:dyDescent="0.2">
      <c r="A645" s="224">
        <v>43819</v>
      </c>
      <c r="B645" s="225">
        <v>200</v>
      </c>
      <c r="C645" s="225">
        <f>B645</f>
        <v>200</v>
      </c>
      <c r="D645" s="225">
        <v>0</v>
      </c>
      <c r="E645" s="226" t="s">
        <v>213</v>
      </c>
      <c r="F645" s="227" t="s">
        <v>702</v>
      </c>
      <c r="G645" s="227" t="s">
        <v>19</v>
      </c>
      <c r="H645" s="228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</row>
    <row r="646" spans="1:26" ht="15.75" customHeight="1" x14ac:dyDescent="0.2">
      <c r="A646" s="224">
        <v>43826</v>
      </c>
      <c r="B646" s="225">
        <v>-1164.8800000000001</v>
      </c>
      <c r="C646" s="225">
        <f>B646</f>
        <v>-1164.8800000000001</v>
      </c>
      <c r="D646" s="225">
        <v>0</v>
      </c>
      <c r="E646" s="226" t="s">
        <v>40</v>
      </c>
      <c r="F646" s="227" t="s">
        <v>698</v>
      </c>
      <c r="G646" s="227" t="s">
        <v>6</v>
      </c>
      <c r="H646" s="228">
        <v>68</v>
      </c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  <c r="Z646" s="222"/>
    </row>
    <row r="647" spans="1:26" ht="15.75" customHeight="1" x14ac:dyDescent="0.2">
      <c r="A647" s="224">
        <v>43829</v>
      </c>
      <c r="B647" s="225">
        <v>-1096.5999999999999</v>
      </c>
      <c r="C647" s="225">
        <f>B647</f>
        <v>-1096.5999999999999</v>
      </c>
      <c r="D647" s="225">
        <v>0</v>
      </c>
      <c r="E647" s="226" t="s">
        <v>84</v>
      </c>
      <c r="F647" s="227" t="s">
        <v>698</v>
      </c>
      <c r="G647" s="227" t="s">
        <v>6</v>
      </c>
      <c r="H647" s="228">
        <v>70</v>
      </c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  <c r="Z647" s="222"/>
    </row>
    <row r="648" spans="1:26" ht="15.75" customHeight="1" x14ac:dyDescent="0.2">
      <c r="A648" s="224">
        <v>43830</v>
      </c>
      <c r="B648" s="225">
        <v>-92.13</v>
      </c>
      <c r="C648" s="225">
        <f>B648</f>
        <v>-92.13</v>
      </c>
      <c r="D648" s="225">
        <v>0</v>
      </c>
      <c r="E648" s="226" t="s">
        <v>66</v>
      </c>
      <c r="F648" s="227" t="s">
        <v>698</v>
      </c>
      <c r="G648" s="227" t="s">
        <v>61</v>
      </c>
      <c r="H648" s="228">
        <v>70</v>
      </c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  <c r="Z648" s="222"/>
    </row>
    <row r="649" spans="1:26" ht="15.75" customHeight="1" x14ac:dyDescent="0.2">
      <c r="A649" s="224">
        <v>43843</v>
      </c>
      <c r="B649" s="225">
        <v>-220</v>
      </c>
      <c r="C649" s="225">
        <f>B649-D649</f>
        <v>-200</v>
      </c>
      <c r="D649" s="234">
        <f>B649/11</f>
        <v>-20</v>
      </c>
      <c r="E649" s="226" t="s">
        <v>276</v>
      </c>
      <c r="F649" s="227" t="s">
        <v>701</v>
      </c>
      <c r="G649" s="227"/>
      <c r="H649" s="228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  <c r="Z649" s="222"/>
    </row>
    <row r="650" spans="1:26" ht="15.75" customHeight="1" x14ac:dyDescent="0.2">
      <c r="A650" s="224">
        <v>43845</v>
      </c>
      <c r="B650" s="225">
        <v>-122.07</v>
      </c>
      <c r="C650" s="225">
        <f>B650</f>
        <v>-122.07</v>
      </c>
      <c r="D650" s="225">
        <v>0</v>
      </c>
      <c r="E650" s="226" t="s">
        <v>60</v>
      </c>
      <c r="F650" s="227" t="s">
        <v>698</v>
      </c>
      <c r="G650" s="227" t="s">
        <v>61</v>
      </c>
      <c r="H650" s="228">
        <v>68</v>
      </c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  <c r="Z650" s="222"/>
    </row>
    <row r="651" spans="1:26" ht="15.75" customHeight="1" x14ac:dyDescent="0.2">
      <c r="A651" s="224">
        <v>43845</v>
      </c>
      <c r="B651" s="225">
        <v>-110</v>
      </c>
      <c r="C651" s="225">
        <f>B651</f>
        <v>-110</v>
      </c>
      <c r="D651" s="225">
        <v>0</v>
      </c>
      <c r="E651" s="226" t="s">
        <v>274</v>
      </c>
      <c r="F651" s="227" t="s">
        <v>698</v>
      </c>
      <c r="G651" s="227" t="s">
        <v>119</v>
      </c>
      <c r="H651" s="228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  <c r="Z651" s="222"/>
    </row>
    <row r="652" spans="1:26" ht="15.75" customHeight="1" x14ac:dyDescent="0.2">
      <c r="A652" s="224">
        <v>43846</v>
      </c>
      <c r="B652" s="225">
        <v>200</v>
      </c>
      <c r="C652" s="225">
        <f>B652</f>
        <v>200</v>
      </c>
      <c r="D652" s="225">
        <v>0</v>
      </c>
      <c r="E652" s="226" t="s">
        <v>38</v>
      </c>
      <c r="F652" s="227" t="s">
        <v>702</v>
      </c>
      <c r="G652" s="227" t="s">
        <v>39</v>
      </c>
      <c r="H652" s="228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  <c r="Z652" s="222"/>
    </row>
    <row r="653" spans="1:26" ht="15.75" customHeight="1" x14ac:dyDescent="0.2">
      <c r="A653" s="224">
        <v>43850</v>
      </c>
      <c r="B653" s="225">
        <v>200</v>
      </c>
      <c r="C653" s="225">
        <f>B653</f>
        <v>200</v>
      </c>
      <c r="D653" s="225">
        <v>0</v>
      </c>
      <c r="E653" s="226" t="s">
        <v>213</v>
      </c>
      <c r="F653" s="227" t="s">
        <v>702</v>
      </c>
      <c r="G653" s="227" t="s">
        <v>19</v>
      </c>
      <c r="H653" s="228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  <c r="Z653" s="222"/>
    </row>
    <row r="654" spans="1:26" ht="15.75" customHeight="1" x14ac:dyDescent="0.2">
      <c r="A654" s="224">
        <v>43851</v>
      </c>
      <c r="B654" s="225">
        <v>-7000</v>
      </c>
      <c r="C654" s="225">
        <f>B654</f>
        <v>-7000</v>
      </c>
      <c r="D654" s="225">
        <v>0</v>
      </c>
      <c r="E654" s="226" t="s">
        <v>277</v>
      </c>
      <c r="F654" s="227" t="s">
        <v>198</v>
      </c>
      <c r="G654" s="227"/>
      <c r="H654" s="228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  <c r="Z654" s="222"/>
    </row>
    <row r="655" spans="1:26" ht="15.75" customHeight="1" x14ac:dyDescent="0.2">
      <c r="A655" s="224">
        <v>43851</v>
      </c>
      <c r="B655" s="225">
        <v>10000</v>
      </c>
      <c r="C655" s="225">
        <f>B655</f>
        <v>10000</v>
      </c>
      <c r="D655" s="225">
        <v>0</v>
      </c>
      <c r="E655" s="226" t="s">
        <v>210</v>
      </c>
      <c r="F655" s="227" t="s">
        <v>702</v>
      </c>
      <c r="G655" s="227" t="s">
        <v>19</v>
      </c>
      <c r="H655" s="228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  <c r="Z655" s="222"/>
    </row>
    <row r="656" spans="1:26" ht="15.75" customHeight="1" x14ac:dyDescent="0.2">
      <c r="A656" s="224">
        <v>43853</v>
      </c>
      <c r="B656" s="225">
        <v>1300</v>
      </c>
      <c r="C656" s="225">
        <f>B656</f>
        <v>1300</v>
      </c>
      <c r="D656" s="225">
        <v>0</v>
      </c>
      <c r="E656" s="226" t="s">
        <v>278</v>
      </c>
      <c r="F656" s="227" t="s">
        <v>702</v>
      </c>
      <c r="G656" s="227" t="s">
        <v>39</v>
      </c>
      <c r="H656" s="228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  <c r="Z656" s="222"/>
    </row>
    <row r="657" spans="1:26" ht="15.75" customHeight="1" x14ac:dyDescent="0.2">
      <c r="A657" s="224">
        <v>43854</v>
      </c>
      <c r="B657" s="225">
        <v>-1204.43</v>
      </c>
      <c r="C657" s="225">
        <f>B657</f>
        <v>-1204.43</v>
      </c>
      <c r="D657" s="225">
        <v>0</v>
      </c>
      <c r="E657" s="226" t="s">
        <v>40</v>
      </c>
      <c r="F657" s="227" t="s">
        <v>698</v>
      </c>
      <c r="G657" s="227" t="s">
        <v>6</v>
      </c>
      <c r="H657" s="228">
        <v>68</v>
      </c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  <c r="Z657" s="222"/>
    </row>
    <row r="658" spans="1:26" ht="15.75" customHeight="1" x14ac:dyDescent="0.2">
      <c r="A658" s="224">
        <v>43858</v>
      </c>
      <c r="B658" s="225">
        <v>-1133.1600000000001</v>
      </c>
      <c r="C658" s="225">
        <f>B658</f>
        <v>-1133.1600000000001</v>
      </c>
      <c r="D658" s="225">
        <v>0</v>
      </c>
      <c r="E658" s="226" t="s">
        <v>84</v>
      </c>
      <c r="F658" s="227" t="s">
        <v>698</v>
      </c>
      <c r="G658" s="227" t="s">
        <v>6</v>
      </c>
      <c r="H658" s="228">
        <v>70</v>
      </c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  <c r="Z658" s="222"/>
    </row>
    <row r="659" spans="1:26" ht="15.75" customHeight="1" x14ac:dyDescent="0.2">
      <c r="A659" s="224">
        <v>43860</v>
      </c>
      <c r="B659" s="225">
        <v>-92.13</v>
      </c>
      <c r="C659" s="225">
        <f>B659</f>
        <v>-92.13</v>
      </c>
      <c r="D659" s="225">
        <v>0</v>
      </c>
      <c r="E659" s="226" t="s">
        <v>66</v>
      </c>
      <c r="F659" s="227" t="s">
        <v>698</v>
      </c>
      <c r="G659" s="227" t="s">
        <v>61</v>
      </c>
      <c r="H659" s="228">
        <v>70</v>
      </c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  <c r="Z659" s="222"/>
    </row>
    <row r="660" spans="1:26" ht="15.75" customHeight="1" x14ac:dyDescent="0.2">
      <c r="A660" s="224">
        <v>43868</v>
      </c>
      <c r="B660" s="225">
        <v>-200</v>
      </c>
      <c r="C660" s="225">
        <f>B660</f>
        <v>-200</v>
      </c>
      <c r="D660" s="225">
        <v>0</v>
      </c>
      <c r="E660" s="226" t="s">
        <v>279</v>
      </c>
      <c r="F660" s="227" t="s">
        <v>702</v>
      </c>
      <c r="G660" s="227" t="s">
        <v>19</v>
      </c>
      <c r="H660" s="228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  <c r="Z660" s="222"/>
    </row>
    <row r="661" spans="1:26" ht="15.75" customHeight="1" x14ac:dyDescent="0.2">
      <c r="A661" s="224">
        <v>43869</v>
      </c>
      <c r="B661" s="225">
        <v>-200</v>
      </c>
      <c r="C661" s="225">
        <f>B661</f>
        <v>-200</v>
      </c>
      <c r="D661" s="225">
        <v>0</v>
      </c>
      <c r="E661" s="226" t="s">
        <v>174</v>
      </c>
      <c r="F661" s="227" t="s">
        <v>702</v>
      </c>
      <c r="G661" s="227" t="s">
        <v>19</v>
      </c>
      <c r="H661" s="228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  <c r="Z661" s="222"/>
    </row>
    <row r="662" spans="1:26" ht="15.75" customHeight="1" x14ac:dyDescent="0.2">
      <c r="A662" s="224">
        <v>43870</v>
      </c>
      <c r="B662" s="225">
        <v>-100</v>
      </c>
      <c r="C662" s="225">
        <f>B662</f>
        <v>-100</v>
      </c>
      <c r="D662" s="225">
        <v>0</v>
      </c>
      <c r="E662" s="226" t="s">
        <v>280</v>
      </c>
      <c r="F662" s="227" t="s">
        <v>702</v>
      </c>
      <c r="G662" s="227" t="s">
        <v>19</v>
      </c>
      <c r="H662" s="228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  <c r="Z662" s="222"/>
    </row>
    <row r="663" spans="1:26" ht="15.75" customHeight="1" x14ac:dyDescent="0.2">
      <c r="A663" s="224">
        <v>43872</v>
      </c>
      <c r="B663" s="225">
        <v>-3135</v>
      </c>
      <c r="C663" s="225">
        <f>B663-D663</f>
        <v>-2850</v>
      </c>
      <c r="D663" s="234">
        <f>B663/11</f>
        <v>-285</v>
      </c>
      <c r="E663" s="226" t="s">
        <v>281</v>
      </c>
      <c r="F663" s="227" t="s">
        <v>696</v>
      </c>
      <c r="G663" s="227" t="s">
        <v>223</v>
      </c>
      <c r="H663" s="228" t="s">
        <v>224</v>
      </c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  <c r="Z663" s="222"/>
    </row>
    <row r="664" spans="1:26" ht="15.75" customHeight="1" x14ac:dyDescent="0.2">
      <c r="A664" s="224">
        <v>43872</v>
      </c>
      <c r="B664" s="225">
        <v>-407.53</v>
      </c>
      <c r="C664" s="225">
        <f>B664</f>
        <v>-407.53</v>
      </c>
      <c r="D664" s="225">
        <v>0</v>
      </c>
      <c r="E664" s="226" t="s">
        <v>140</v>
      </c>
      <c r="F664" s="227" t="s">
        <v>698</v>
      </c>
      <c r="G664" s="227" t="s">
        <v>74</v>
      </c>
      <c r="H664" s="228">
        <v>70</v>
      </c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  <c r="Z664" s="222"/>
    </row>
    <row r="665" spans="1:26" ht="15.75" customHeight="1" x14ac:dyDescent="0.2">
      <c r="A665" s="224">
        <v>43872</v>
      </c>
      <c r="B665" s="225">
        <v>650</v>
      </c>
      <c r="C665" s="225">
        <f>B665</f>
        <v>650</v>
      </c>
      <c r="D665" s="225">
        <v>0</v>
      </c>
      <c r="E665" s="226" t="s">
        <v>282</v>
      </c>
      <c r="F665" s="227" t="s">
        <v>702</v>
      </c>
      <c r="G665" s="227" t="s">
        <v>19</v>
      </c>
      <c r="H665" s="228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  <c r="Z665" s="222"/>
    </row>
    <row r="666" spans="1:26" ht="15.75" customHeight="1" x14ac:dyDescent="0.2">
      <c r="A666" s="224">
        <v>43878</v>
      </c>
      <c r="B666" s="225">
        <v>-122.07</v>
      </c>
      <c r="C666" s="225">
        <f>B666</f>
        <v>-122.07</v>
      </c>
      <c r="D666" s="225">
        <v>0</v>
      </c>
      <c r="E666" s="226" t="s">
        <v>60</v>
      </c>
      <c r="F666" s="227" t="s">
        <v>698</v>
      </c>
      <c r="G666" s="227" t="s">
        <v>61</v>
      </c>
      <c r="H666" s="228">
        <v>68</v>
      </c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  <c r="Z666" s="222"/>
    </row>
    <row r="667" spans="1:26" ht="15.75" customHeight="1" x14ac:dyDescent="0.2">
      <c r="A667" s="224">
        <v>43878</v>
      </c>
      <c r="B667" s="225">
        <v>200</v>
      </c>
      <c r="C667" s="225">
        <f>B667</f>
        <v>200</v>
      </c>
      <c r="D667" s="225">
        <v>0</v>
      </c>
      <c r="E667" s="226" t="s">
        <v>38</v>
      </c>
      <c r="F667" s="227" t="s">
        <v>702</v>
      </c>
      <c r="G667" s="227" t="s">
        <v>39</v>
      </c>
      <c r="H667" s="228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  <c r="Z667" s="222"/>
    </row>
    <row r="668" spans="1:26" ht="15.75" customHeight="1" x14ac:dyDescent="0.2">
      <c r="A668" s="224">
        <v>43881</v>
      </c>
      <c r="B668" s="225">
        <v>-5</v>
      </c>
      <c r="C668" s="225">
        <f>B668</f>
        <v>-5</v>
      </c>
      <c r="D668" s="225">
        <v>0</v>
      </c>
      <c r="E668" s="226" t="s">
        <v>283</v>
      </c>
      <c r="F668" s="227" t="s">
        <v>11</v>
      </c>
      <c r="G668" s="227" t="s">
        <v>284</v>
      </c>
      <c r="H668" s="228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  <c r="Z668" s="222"/>
    </row>
    <row r="669" spans="1:26" ht="15.75" customHeight="1" x14ac:dyDescent="0.2">
      <c r="A669" s="224">
        <v>43885</v>
      </c>
      <c r="B669" s="225">
        <v>1500</v>
      </c>
      <c r="C669" s="225">
        <f>B669</f>
        <v>1500</v>
      </c>
      <c r="D669" s="225">
        <v>0</v>
      </c>
      <c r="E669" s="226" t="s">
        <v>285</v>
      </c>
      <c r="F669" s="227" t="s">
        <v>702</v>
      </c>
      <c r="G669" s="227" t="s">
        <v>19</v>
      </c>
      <c r="H669" s="228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  <c r="Z669" s="222"/>
    </row>
    <row r="670" spans="1:26" ht="15.75" customHeight="1" x14ac:dyDescent="0.2">
      <c r="A670" s="224">
        <v>43886</v>
      </c>
      <c r="B670" s="225">
        <v>3000</v>
      </c>
      <c r="C670" s="225">
        <f>B670</f>
        <v>3000</v>
      </c>
      <c r="D670" s="225">
        <v>0</v>
      </c>
      <c r="E670" s="226" t="s">
        <v>240</v>
      </c>
      <c r="F670" s="227" t="s">
        <v>702</v>
      </c>
      <c r="G670" s="227" t="s">
        <v>39</v>
      </c>
      <c r="H670" s="228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  <c r="Z670" s="222"/>
    </row>
    <row r="671" spans="1:26" ht="15.75" customHeight="1" x14ac:dyDescent="0.2">
      <c r="A671" s="224">
        <v>43888</v>
      </c>
      <c r="B671" s="225">
        <v>-1206.68</v>
      </c>
      <c r="C671" s="225">
        <f>B671</f>
        <v>-1206.68</v>
      </c>
      <c r="D671" s="225">
        <v>0</v>
      </c>
      <c r="E671" s="226" t="s">
        <v>40</v>
      </c>
      <c r="F671" s="227" t="s">
        <v>698</v>
      </c>
      <c r="G671" s="227" t="s">
        <v>6</v>
      </c>
      <c r="H671" s="228">
        <v>68</v>
      </c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  <c r="Z671" s="222"/>
    </row>
    <row r="672" spans="1:26" ht="15.75" customHeight="1" x14ac:dyDescent="0.2">
      <c r="A672" s="224">
        <v>43889</v>
      </c>
      <c r="B672" s="225">
        <v>-1133.1600000000001</v>
      </c>
      <c r="C672" s="225">
        <f>B672</f>
        <v>-1133.1600000000001</v>
      </c>
      <c r="D672" s="225">
        <v>0</v>
      </c>
      <c r="E672" s="226" t="s">
        <v>84</v>
      </c>
      <c r="F672" s="227" t="s">
        <v>698</v>
      </c>
      <c r="G672" s="227" t="s">
        <v>6</v>
      </c>
      <c r="H672" s="228">
        <v>70</v>
      </c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  <c r="Z672" s="222"/>
    </row>
    <row r="673" spans="1:26" ht="15.75" customHeight="1" x14ac:dyDescent="0.2">
      <c r="A673" s="224">
        <v>43889</v>
      </c>
      <c r="B673" s="225">
        <v>-261.83</v>
      </c>
      <c r="C673" s="225">
        <f>B673</f>
        <v>-261.83</v>
      </c>
      <c r="D673" s="225">
        <v>0</v>
      </c>
      <c r="E673" s="226" t="s">
        <v>73</v>
      </c>
      <c r="F673" s="227" t="s">
        <v>698</v>
      </c>
      <c r="G673" s="227" t="s">
        <v>74</v>
      </c>
      <c r="H673" s="228">
        <v>68</v>
      </c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  <c r="Z673" s="222"/>
    </row>
    <row r="674" spans="1:26" ht="15.75" customHeight="1" x14ac:dyDescent="0.2">
      <c r="A674" s="224">
        <v>43893</v>
      </c>
      <c r="B674" s="225">
        <v>-92.13</v>
      </c>
      <c r="C674" s="225">
        <f>B674</f>
        <v>-92.13</v>
      </c>
      <c r="D674" s="225">
        <v>0</v>
      </c>
      <c r="E674" s="226" t="s">
        <v>66</v>
      </c>
      <c r="F674" s="227" t="s">
        <v>698</v>
      </c>
      <c r="G674" s="227" t="s">
        <v>61</v>
      </c>
      <c r="H674" s="228">
        <v>70</v>
      </c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</row>
    <row r="675" spans="1:26" ht="15.75" customHeight="1" x14ac:dyDescent="0.2">
      <c r="A675" s="224">
        <v>43894</v>
      </c>
      <c r="B675" s="225">
        <v>-340</v>
      </c>
      <c r="C675" s="225">
        <f>B675</f>
        <v>-340</v>
      </c>
      <c r="D675" s="225">
        <v>0</v>
      </c>
      <c r="E675" s="226" t="s">
        <v>97</v>
      </c>
      <c r="F675" s="227" t="s">
        <v>698</v>
      </c>
      <c r="G675" s="227" t="s">
        <v>46</v>
      </c>
      <c r="H675" s="228">
        <v>68</v>
      </c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  <c r="Z675" s="222"/>
    </row>
    <row r="676" spans="1:26" ht="15.75" customHeight="1" x14ac:dyDescent="0.2">
      <c r="A676" s="224">
        <v>43901</v>
      </c>
      <c r="B676" s="225">
        <v>-522.5</v>
      </c>
      <c r="C676" s="225">
        <f>B676-D676</f>
        <v>-475</v>
      </c>
      <c r="D676" s="234">
        <f>B676/11</f>
        <v>-47.5</v>
      </c>
      <c r="E676" s="226" t="s">
        <v>286</v>
      </c>
      <c r="F676" s="227" t="s">
        <v>697</v>
      </c>
      <c r="G676" s="227" t="s">
        <v>203</v>
      </c>
      <c r="H676" s="228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</row>
    <row r="677" spans="1:26" ht="15.75" customHeight="1" x14ac:dyDescent="0.2">
      <c r="A677" s="224">
        <v>43905</v>
      </c>
      <c r="B677" s="225">
        <v>-110</v>
      </c>
      <c r="C677" s="225">
        <f>B677</f>
        <v>-110</v>
      </c>
      <c r="D677" s="225">
        <v>0</v>
      </c>
      <c r="E677" s="226" t="s">
        <v>274</v>
      </c>
      <c r="F677" s="227" t="s">
        <v>698</v>
      </c>
      <c r="G677" s="227" t="s">
        <v>119</v>
      </c>
      <c r="H677" s="228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  <c r="Z677" s="222"/>
    </row>
    <row r="678" spans="1:26" ht="15.75" customHeight="1" x14ac:dyDescent="0.2">
      <c r="A678" s="224">
        <v>43906</v>
      </c>
      <c r="B678" s="225">
        <v>200</v>
      </c>
      <c r="C678" s="225">
        <f>B678</f>
        <v>200</v>
      </c>
      <c r="D678" s="225">
        <v>0</v>
      </c>
      <c r="E678" s="226" t="s">
        <v>38</v>
      </c>
      <c r="F678" s="227" t="s">
        <v>702</v>
      </c>
      <c r="G678" s="227" t="s">
        <v>39</v>
      </c>
      <c r="H678" s="228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  <c r="Z678" s="222"/>
    </row>
    <row r="679" spans="1:26" ht="15.75" customHeight="1" x14ac:dyDescent="0.2">
      <c r="A679" s="224">
        <v>43907</v>
      </c>
      <c r="B679" s="225">
        <v>-122.07</v>
      </c>
      <c r="C679" s="225">
        <f>B679</f>
        <v>-122.07</v>
      </c>
      <c r="D679" s="225">
        <v>0</v>
      </c>
      <c r="E679" s="226" t="s">
        <v>60</v>
      </c>
      <c r="F679" s="227" t="s">
        <v>698</v>
      </c>
      <c r="G679" s="227" t="s">
        <v>61</v>
      </c>
      <c r="H679" s="228">
        <v>68</v>
      </c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  <c r="Z679" s="222"/>
    </row>
    <row r="680" spans="1:26" ht="15.75" customHeight="1" x14ac:dyDescent="0.2">
      <c r="A680" s="224">
        <v>43916</v>
      </c>
      <c r="B680" s="225">
        <v>1300</v>
      </c>
      <c r="C680" s="225">
        <f>B680</f>
        <v>1300</v>
      </c>
      <c r="D680" s="225">
        <v>0</v>
      </c>
      <c r="E680" s="226" t="s">
        <v>278</v>
      </c>
      <c r="F680" s="227" t="s">
        <v>702</v>
      </c>
      <c r="G680" s="227" t="s">
        <v>39</v>
      </c>
      <c r="H680" s="228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  <c r="Z680" s="222"/>
    </row>
    <row r="681" spans="1:26" ht="15.75" customHeight="1" x14ac:dyDescent="0.2">
      <c r="A681" s="224">
        <v>43923</v>
      </c>
      <c r="B681" s="225">
        <v>174.08</v>
      </c>
      <c r="C681" s="225">
        <f>B681</f>
        <v>174.08</v>
      </c>
      <c r="D681" s="225">
        <v>0</v>
      </c>
      <c r="E681" s="226" t="s">
        <v>287</v>
      </c>
      <c r="F681" s="227" t="s">
        <v>702</v>
      </c>
      <c r="G681" s="227" t="s">
        <v>19</v>
      </c>
      <c r="H681" s="228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  <c r="Z681" s="222"/>
    </row>
    <row r="682" spans="1:26" ht="15.75" customHeight="1" x14ac:dyDescent="0.2">
      <c r="A682" s="224">
        <v>43927</v>
      </c>
      <c r="B682" s="225">
        <v>-435.25</v>
      </c>
      <c r="C682" s="225">
        <f>B682-D682</f>
        <v>-395.68181818181819</v>
      </c>
      <c r="D682" s="234">
        <f>B682/11</f>
        <v>-39.56818181818182</v>
      </c>
      <c r="E682" s="226" t="s">
        <v>288</v>
      </c>
      <c r="F682" s="227" t="s">
        <v>251</v>
      </c>
      <c r="G682" s="227" t="s">
        <v>252</v>
      </c>
      <c r="H682" s="228" t="s">
        <v>289</v>
      </c>
      <c r="I682" s="222"/>
      <c r="J682" s="222"/>
      <c r="K682" s="222" t="s">
        <v>56</v>
      </c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  <c r="Z682" s="222"/>
    </row>
    <row r="683" spans="1:26" ht="15.75" customHeight="1" x14ac:dyDescent="0.2">
      <c r="A683" s="224">
        <v>43927</v>
      </c>
      <c r="B683" s="225">
        <v>-77</v>
      </c>
      <c r="C683" s="225">
        <f>B683-D683</f>
        <v>-70</v>
      </c>
      <c r="D683" s="234">
        <f>B683/11</f>
        <v>-7</v>
      </c>
      <c r="E683" s="226" t="s">
        <v>290</v>
      </c>
      <c r="F683" s="227" t="s">
        <v>251</v>
      </c>
      <c r="G683" s="227" t="s">
        <v>252</v>
      </c>
      <c r="H683" s="228" t="s">
        <v>289</v>
      </c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  <c r="Z683" s="222"/>
    </row>
    <row r="684" spans="1:26" ht="15.75" customHeight="1" x14ac:dyDescent="0.2">
      <c r="A684" s="224">
        <v>43927</v>
      </c>
      <c r="B684" s="225">
        <v>500</v>
      </c>
      <c r="C684" s="225">
        <f>B684</f>
        <v>500</v>
      </c>
      <c r="D684" s="225">
        <v>0</v>
      </c>
      <c r="E684" s="226" t="s">
        <v>291</v>
      </c>
      <c r="F684" s="227" t="s">
        <v>702</v>
      </c>
      <c r="G684" s="227" t="s">
        <v>19</v>
      </c>
      <c r="H684" s="228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  <c r="Z684" s="222"/>
    </row>
    <row r="685" spans="1:26" ht="15.75" customHeight="1" x14ac:dyDescent="0.2">
      <c r="A685" s="224">
        <v>43942</v>
      </c>
      <c r="B685" s="225">
        <v>-100</v>
      </c>
      <c r="C685" s="225">
        <f>B685</f>
        <v>-100</v>
      </c>
      <c r="D685" s="225">
        <v>0</v>
      </c>
      <c r="E685" s="226" t="s">
        <v>292</v>
      </c>
      <c r="F685" s="227" t="s">
        <v>702</v>
      </c>
      <c r="G685" s="227" t="s">
        <v>19</v>
      </c>
      <c r="H685" s="228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  <c r="Z685" s="222"/>
    </row>
    <row r="686" spans="1:26" ht="15.75" customHeight="1" x14ac:dyDescent="0.2">
      <c r="A686" s="224">
        <v>43949</v>
      </c>
      <c r="B686" s="225">
        <v>-2575.7800000000002</v>
      </c>
      <c r="C686" s="225">
        <f>B686-D686</f>
        <v>-2341.6181818181822</v>
      </c>
      <c r="D686" s="234">
        <f>B686/11</f>
        <v>-234.16181818181821</v>
      </c>
      <c r="E686" s="226" t="s">
        <v>293</v>
      </c>
      <c r="F686" s="227" t="s">
        <v>697</v>
      </c>
      <c r="G686" s="227" t="s">
        <v>203</v>
      </c>
      <c r="H686" s="228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  <c r="Z686" s="222"/>
    </row>
    <row r="687" spans="1:26" ht="15.75" customHeight="1" x14ac:dyDescent="0.2">
      <c r="A687" s="224">
        <v>43949</v>
      </c>
      <c r="B687" s="225">
        <v>2575</v>
      </c>
      <c r="C687" s="225">
        <f>B687</f>
        <v>2575</v>
      </c>
      <c r="D687" s="225">
        <v>0</v>
      </c>
      <c r="E687" s="226" t="s">
        <v>294</v>
      </c>
      <c r="F687" s="227" t="s">
        <v>702</v>
      </c>
      <c r="G687" s="227" t="s">
        <v>19</v>
      </c>
      <c r="H687" s="228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  <c r="Z687" s="222"/>
    </row>
    <row r="688" spans="1:26" ht="15.75" customHeight="1" x14ac:dyDescent="0.2">
      <c r="A688" s="224">
        <v>43966</v>
      </c>
      <c r="B688" s="225">
        <v>-500</v>
      </c>
      <c r="C688" s="225">
        <f>B688</f>
        <v>-500</v>
      </c>
      <c r="D688" s="225">
        <v>0</v>
      </c>
      <c r="E688" s="226" t="s">
        <v>295</v>
      </c>
      <c r="F688" s="227" t="s">
        <v>702</v>
      </c>
      <c r="G688" s="227" t="s">
        <v>19</v>
      </c>
      <c r="H688" s="228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  <c r="Z688" s="222"/>
    </row>
    <row r="689" spans="1:26" ht="15.75" customHeight="1" x14ac:dyDescent="0.2">
      <c r="A689" s="224">
        <v>43966</v>
      </c>
      <c r="B689" s="225">
        <v>500</v>
      </c>
      <c r="C689" s="225">
        <f>B689</f>
        <v>500</v>
      </c>
      <c r="D689" s="225">
        <v>0</v>
      </c>
      <c r="E689" s="226" t="s">
        <v>296</v>
      </c>
      <c r="F689" s="227" t="s">
        <v>702</v>
      </c>
      <c r="G689" s="227" t="s">
        <v>19</v>
      </c>
      <c r="H689" s="228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  <c r="Z689" s="222"/>
    </row>
    <row r="690" spans="1:26" ht="15.75" customHeight="1" x14ac:dyDescent="0.2">
      <c r="A690" s="224">
        <v>43973</v>
      </c>
      <c r="B690" s="225">
        <v>-165</v>
      </c>
      <c r="C690" s="225">
        <f>B690-D690</f>
        <v>-150</v>
      </c>
      <c r="D690" s="234">
        <f>B690/11</f>
        <v>-15</v>
      </c>
      <c r="E690" s="226" t="s">
        <v>297</v>
      </c>
      <c r="F690" s="227" t="s">
        <v>251</v>
      </c>
      <c r="G690" s="227" t="s">
        <v>252</v>
      </c>
      <c r="H690" s="228" t="s">
        <v>289</v>
      </c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  <c r="Z690" s="222"/>
    </row>
    <row r="691" spans="1:26" ht="15.75" customHeight="1" x14ac:dyDescent="0.2">
      <c r="A691" s="224">
        <v>43973</v>
      </c>
      <c r="B691" s="225">
        <v>200</v>
      </c>
      <c r="C691" s="225">
        <f>B691</f>
        <v>200</v>
      </c>
      <c r="D691" s="225">
        <v>0</v>
      </c>
      <c r="E691" s="226" t="s">
        <v>298</v>
      </c>
      <c r="F691" s="227" t="s">
        <v>702</v>
      </c>
      <c r="G691" s="227" t="s">
        <v>19</v>
      </c>
      <c r="H691" s="228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  <c r="Z691" s="222"/>
    </row>
    <row r="692" spans="1:26" ht="15.75" customHeight="1" x14ac:dyDescent="0.2">
      <c r="A692" s="224">
        <v>43977</v>
      </c>
      <c r="B692" s="225">
        <v>200</v>
      </c>
      <c r="C692" s="225">
        <f>B692</f>
        <v>200</v>
      </c>
      <c r="D692" s="225">
        <v>0</v>
      </c>
      <c r="E692" s="226" t="s">
        <v>299</v>
      </c>
      <c r="F692" s="227" t="s">
        <v>702</v>
      </c>
      <c r="G692" s="227" t="s">
        <v>39</v>
      </c>
      <c r="H692" s="228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  <c r="Z692" s="222"/>
    </row>
    <row r="693" spans="1:26" ht="15.75" customHeight="1" x14ac:dyDescent="0.2">
      <c r="A693" s="224">
        <v>43978</v>
      </c>
      <c r="B693" s="225">
        <v>-100</v>
      </c>
      <c r="C693" s="225">
        <f>B693</f>
        <v>-100</v>
      </c>
      <c r="D693" s="225">
        <v>0</v>
      </c>
      <c r="E693" s="226" t="s">
        <v>292</v>
      </c>
      <c r="F693" s="227" t="s">
        <v>698</v>
      </c>
      <c r="G693" s="227" t="s">
        <v>119</v>
      </c>
      <c r="H693" s="228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  <c r="Z693" s="222"/>
    </row>
    <row r="694" spans="1:26" ht="15.75" customHeight="1" x14ac:dyDescent="0.2">
      <c r="A694" s="224">
        <v>44004</v>
      </c>
      <c r="B694" s="225">
        <v>-100</v>
      </c>
      <c r="C694" s="225">
        <f>B694</f>
        <v>-100</v>
      </c>
      <c r="D694" s="225">
        <v>0</v>
      </c>
      <c r="E694" s="226" t="s">
        <v>292</v>
      </c>
      <c r="F694" s="227" t="s">
        <v>698</v>
      </c>
      <c r="G694" s="227" t="s">
        <v>119</v>
      </c>
      <c r="H694" s="228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  <c r="Z694" s="222"/>
    </row>
    <row r="695" spans="1:26" ht="15.75" customHeight="1" x14ac:dyDescent="0.2">
      <c r="A695" s="224">
        <v>44007</v>
      </c>
      <c r="B695" s="225">
        <v>500</v>
      </c>
      <c r="C695" s="225">
        <f>B695</f>
        <v>500</v>
      </c>
      <c r="D695" s="225">
        <v>0</v>
      </c>
      <c r="E695" s="226" t="s">
        <v>299</v>
      </c>
      <c r="F695" s="227" t="s">
        <v>702</v>
      </c>
      <c r="G695" s="227" t="s">
        <v>39</v>
      </c>
      <c r="H695" s="228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  <c r="Z695" s="222"/>
    </row>
    <row r="696" spans="1:26" ht="15.75" customHeight="1" x14ac:dyDescent="0.2">
      <c r="A696" s="224">
        <v>44011</v>
      </c>
      <c r="B696" s="225">
        <v>-340</v>
      </c>
      <c r="C696" s="225">
        <f>B696</f>
        <v>-340</v>
      </c>
      <c r="D696" s="225">
        <v>0</v>
      </c>
      <c r="E696" s="226" t="s">
        <v>300</v>
      </c>
      <c r="F696" s="227" t="s">
        <v>698</v>
      </c>
      <c r="G696" s="227" t="s">
        <v>46</v>
      </c>
      <c r="H696" s="228">
        <v>68</v>
      </c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  <c r="Z696" s="222"/>
    </row>
    <row r="697" spans="1:26" ht="15.75" customHeight="1" x14ac:dyDescent="0.2">
      <c r="A697" s="224">
        <v>44011</v>
      </c>
      <c r="B697" s="225">
        <v>500</v>
      </c>
      <c r="C697" s="225">
        <f>B697</f>
        <v>500</v>
      </c>
      <c r="D697" s="225">
        <v>0</v>
      </c>
      <c r="E697" s="226" t="s">
        <v>301</v>
      </c>
      <c r="F697" s="227" t="s">
        <v>702</v>
      </c>
      <c r="G697" s="227" t="s">
        <v>19</v>
      </c>
      <c r="H697" s="228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  <c r="Z697" s="222"/>
    </row>
    <row r="698" spans="1:26" ht="15.75" customHeight="1" x14ac:dyDescent="0.2">
      <c r="A698" s="224">
        <v>44014</v>
      </c>
      <c r="B698" s="225">
        <v>5000</v>
      </c>
      <c r="C698" s="225">
        <f>B698</f>
        <v>5000</v>
      </c>
      <c r="D698" s="225">
        <v>0</v>
      </c>
      <c r="E698" s="226" t="s">
        <v>302</v>
      </c>
      <c r="F698" s="227" t="s">
        <v>702</v>
      </c>
      <c r="G698" s="227" t="s">
        <v>39</v>
      </c>
      <c r="H698" s="228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  <c r="Z698" s="222"/>
    </row>
    <row r="699" spans="1:26" ht="15.75" customHeight="1" x14ac:dyDescent="0.2">
      <c r="A699" s="224">
        <v>44020</v>
      </c>
      <c r="B699" s="225">
        <v>-5000</v>
      </c>
      <c r="C699" s="225">
        <f>B699</f>
        <v>-5000</v>
      </c>
      <c r="D699" s="225">
        <v>0</v>
      </c>
      <c r="E699" s="226" t="s">
        <v>303</v>
      </c>
      <c r="F699" s="227" t="s">
        <v>702</v>
      </c>
      <c r="G699" s="227" t="s">
        <v>39</v>
      </c>
      <c r="H699" s="228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  <c r="Z699" s="222"/>
    </row>
    <row r="700" spans="1:26" ht="15.75" customHeight="1" x14ac:dyDescent="0.2">
      <c r="A700" s="224">
        <v>44033</v>
      </c>
      <c r="B700" s="225">
        <v>-100</v>
      </c>
      <c r="C700" s="225">
        <f>B700</f>
        <v>-100</v>
      </c>
      <c r="D700" s="225">
        <v>0</v>
      </c>
      <c r="E700" s="226" t="s">
        <v>292</v>
      </c>
      <c r="F700" s="227" t="s">
        <v>698</v>
      </c>
      <c r="G700" s="227" t="s">
        <v>119</v>
      </c>
      <c r="H700" s="228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  <c r="Z700" s="222"/>
    </row>
    <row r="701" spans="1:26" ht="15.75" customHeight="1" x14ac:dyDescent="0.2">
      <c r="A701" s="224">
        <v>44039</v>
      </c>
      <c r="B701" s="225">
        <v>200</v>
      </c>
      <c r="C701" s="225">
        <f>B701</f>
        <v>200</v>
      </c>
      <c r="D701" s="225">
        <v>0</v>
      </c>
      <c r="E701" s="226" t="s">
        <v>299</v>
      </c>
      <c r="F701" s="227" t="s">
        <v>702</v>
      </c>
      <c r="G701" s="227" t="s">
        <v>39</v>
      </c>
      <c r="H701" s="228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  <c r="Z701" s="222"/>
    </row>
    <row r="702" spans="1:26" ht="15.75" customHeight="1" x14ac:dyDescent="0.2">
      <c r="A702" s="224">
        <v>44064</v>
      </c>
      <c r="B702" s="225">
        <v>-100</v>
      </c>
      <c r="C702" s="225">
        <f>B702</f>
        <v>-100</v>
      </c>
      <c r="D702" s="225">
        <v>0</v>
      </c>
      <c r="E702" s="226" t="s">
        <v>292</v>
      </c>
      <c r="F702" s="227" t="s">
        <v>698</v>
      </c>
      <c r="G702" s="227" t="s">
        <v>119</v>
      </c>
      <c r="H702" s="228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  <c r="Z702" s="222"/>
    </row>
    <row r="703" spans="1:26" ht="15.75" customHeight="1" x14ac:dyDescent="0.2">
      <c r="A703" s="224">
        <v>44068</v>
      </c>
      <c r="B703" s="225">
        <v>200</v>
      </c>
      <c r="C703" s="225">
        <f>B703</f>
        <v>200</v>
      </c>
      <c r="D703" s="225">
        <v>0</v>
      </c>
      <c r="E703" s="226" t="s">
        <v>299</v>
      </c>
      <c r="F703" s="227" t="s">
        <v>702</v>
      </c>
      <c r="G703" s="227" t="s">
        <v>39</v>
      </c>
      <c r="H703" s="228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  <c r="Z703" s="222"/>
    </row>
    <row r="704" spans="1:26" ht="15.75" customHeight="1" x14ac:dyDescent="0.2">
      <c r="A704" s="224">
        <v>44070</v>
      </c>
      <c r="B704" s="225">
        <v>-380.85</v>
      </c>
      <c r="C704" s="225">
        <f>B704</f>
        <v>-380.85</v>
      </c>
      <c r="D704" s="225">
        <v>0</v>
      </c>
      <c r="E704" s="226" t="s">
        <v>304</v>
      </c>
      <c r="F704" s="227" t="s">
        <v>698</v>
      </c>
      <c r="G704" s="227" t="s">
        <v>74</v>
      </c>
      <c r="H704" s="228">
        <v>68</v>
      </c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  <c r="Z704" s="222"/>
    </row>
    <row r="705" spans="1:26" ht="15.75" customHeight="1" x14ac:dyDescent="0.2">
      <c r="A705" s="224">
        <v>44070</v>
      </c>
      <c r="B705" s="225">
        <v>200</v>
      </c>
      <c r="C705" s="225">
        <f>B705</f>
        <v>200</v>
      </c>
      <c r="D705" s="225">
        <v>0</v>
      </c>
      <c r="E705" s="226" t="s">
        <v>305</v>
      </c>
      <c r="F705" s="227" t="s">
        <v>702</v>
      </c>
      <c r="G705" s="227" t="s">
        <v>19</v>
      </c>
      <c r="H705" s="228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</row>
    <row r="706" spans="1:26" ht="15.75" customHeight="1" x14ac:dyDescent="0.2">
      <c r="A706" s="224">
        <v>44084</v>
      </c>
      <c r="B706" s="225">
        <v>-346.25</v>
      </c>
      <c r="C706" s="225">
        <f>B706</f>
        <v>-346.25</v>
      </c>
      <c r="D706" s="225">
        <v>0</v>
      </c>
      <c r="E706" s="226" t="s">
        <v>306</v>
      </c>
      <c r="F706" s="227" t="s">
        <v>698</v>
      </c>
      <c r="G706" s="227" t="s">
        <v>46</v>
      </c>
      <c r="H706" s="228">
        <v>70</v>
      </c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  <c r="Z706" s="222"/>
    </row>
    <row r="707" spans="1:26" ht="15.75" customHeight="1" x14ac:dyDescent="0.2">
      <c r="A707" s="224">
        <v>44085</v>
      </c>
      <c r="B707" s="225">
        <v>-367.91</v>
      </c>
      <c r="C707" s="225">
        <f>B707</f>
        <v>-367.91</v>
      </c>
      <c r="D707" s="225">
        <v>0</v>
      </c>
      <c r="E707" s="226" t="s">
        <v>307</v>
      </c>
      <c r="F707" s="227" t="s">
        <v>698</v>
      </c>
      <c r="G707" s="227" t="s">
        <v>74</v>
      </c>
      <c r="H707" s="228">
        <v>70</v>
      </c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  <c r="Z707" s="222"/>
    </row>
    <row r="708" spans="1:26" ht="15.75" customHeight="1" x14ac:dyDescent="0.2">
      <c r="A708" s="224">
        <v>44088</v>
      </c>
      <c r="B708" s="225">
        <v>1250</v>
      </c>
      <c r="C708" s="225">
        <f>B708</f>
        <v>1250</v>
      </c>
      <c r="D708" s="225">
        <v>0</v>
      </c>
      <c r="E708" s="226" t="s">
        <v>308</v>
      </c>
      <c r="F708" s="227" t="s">
        <v>702</v>
      </c>
      <c r="G708" s="227" t="s">
        <v>39</v>
      </c>
      <c r="H708" s="228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  <c r="Z708" s="222"/>
    </row>
    <row r="709" spans="1:26" ht="15.75" customHeight="1" x14ac:dyDescent="0.2">
      <c r="A709" s="224">
        <v>44088</v>
      </c>
      <c r="B709" s="225">
        <v>1250</v>
      </c>
      <c r="C709" s="225">
        <f>B709</f>
        <v>1250</v>
      </c>
      <c r="D709" s="225">
        <v>0</v>
      </c>
      <c r="E709" s="226" t="s">
        <v>309</v>
      </c>
      <c r="F709" s="227" t="s">
        <v>702</v>
      </c>
      <c r="G709" s="227" t="s">
        <v>19</v>
      </c>
      <c r="H709" s="228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  <c r="Z709" s="222"/>
    </row>
    <row r="710" spans="1:26" ht="15.75" customHeight="1" x14ac:dyDescent="0.2">
      <c r="A710" s="224">
        <v>44095</v>
      </c>
      <c r="B710" s="225">
        <v>-100</v>
      </c>
      <c r="C710" s="225">
        <f>B710</f>
        <v>-100</v>
      </c>
      <c r="D710" s="225">
        <v>0</v>
      </c>
      <c r="E710" s="226" t="s">
        <v>292</v>
      </c>
      <c r="F710" s="227" t="s">
        <v>698</v>
      </c>
      <c r="G710" s="227" t="s">
        <v>119</v>
      </c>
      <c r="H710" s="228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  <c r="Z710" s="222"/>
    </row>
    <row r="711" spans="1:26" ht="15.75" customHeight="1" x14ac:dyDescent="0.2">
      <c r="A711" s="224">
        <v>44099</v>
      </c>
      <c r="B711" s="225">
        <v>200</v>
      </c>
      <c r="C711" s="225">
        <f>B711</f>
        <v>200</v>
      </c>
      <c r="D711" s="225">
        <v>0</v>
      </c>
      <c r="E711" s="226" t="s">
        <v>299</v>
      </c>
      <c r="F711" s="227" t="s">
        <v>702</v>
      </c>
      <c r="G711" s="227" t="s">
        <v>39</v>
      </c>
      <c r="H711" s="228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  <c r="Z711" s="222"/>
    </row>
    <row r="712" spans="1:26" ht="15.75" customHeight="1" x14ac:dyDescent="0.2">
      <c r="A712" s="224">
        <v>44104</v>
      </c>
      <c r="B712" s="225">
        <v>0.03</v>
      </c>
      <c r="C712" s="225">
        <f>B712</f>
        <v>0.03</v>
      </c>
      <c r="D712" s="225">
        <v>0</v>
      </c>
      <c r="E712" s="226" t="s">
        <v>310</v>
      </c>
      <c r="F712" s="227" t="s">
        <v>11</v>
      </c>
      <c r="G712" s="227" t="s">
        <v>103</v>
      </c>
      <c r="H712" s="228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  <c r="Z712" s="222"/>
    </row>
    <row r="713" spans="1:26" ht="15.75" customHeight="1" x14ac:dyDescent="0.2">
      <c r="A713" s="224">
        <v>44109</v>
      </c>
      <c r="B713" s="225">
        <v>-1135.8699999999999</v>
      </c>
      <c r="C713" s="225">
        <f>B713</f>
        <v>-1135.8699999999999</v>
      </c>
      <c r="D713" s="225">
        <v>0</v>
      </c>
      <c r="E713" s="226" t="s">
        <v>311</v>
      </c>
      <c r="F713" s="227" t="s">
        <v>698</v>
      </c>
      <c r="G713" s="227" t="s">
        <v>6</v>
      </c>
      <c r="H713" s="228">
        <v>68</v>
      </c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  <c r="Z713" s="222"/>
    </row>
    <row r="714" spans="1:26" ht="15.75" customHeight="1" x14ac:dyDescent="0.2">
      <c r="A714" s="224">
        <v>44116</v>
      </c>
      <c r="B714" s="225">
        <v>-706.55</v>
      </c>
      <c r="C714" s="225">
        <f>B714</f>
        <v>-706.55</v>
      </c>
      <c r="D714" s="225">
        <v>0</v>
      </c>
      <c r="E714" s="226" t="s">
        <v>306</v>
      </c>
      <c r="F714" s="227" t="s">
        <v>698</v>
      </c>
      <c r="G714" s="227" t="s">
        <v>46</v>
      </c>
      <c r="H714" s="228">
        <v>70</v>
      </c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  <c r="Z714" s="222"/>
    </row>
    <row r="715" spans="1:26" ht="15.75" customHeight="1" x14ac:dyDescent="0.2">
      <c r="A715" s="224">
        <v>44116</v>
      </c>
      <c r="B715" s="225">
        <v>-337.55</v>
      </c>
      <c r="C715" s="225">
        <f>B715</f>
        <v>-337.55</v>
      </c>
      <c r="D715" s="225">
        <v>0</v>
      </c>
      <c r="E715" s="226" t="s">
        <v>300</v>
      </c>
      <c r="F715" s="227" t="s">
        <v>698</v>
      </c>
      <c r="G715" s="227" t="s">
        <v>46</v>
      </c>
      <c r="H715" s="228">
        <v>68</v>
      </c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</row>
    <row r="716" spans="1:26" ht="15.75" customHeight="1" x14ac:dyDescent="0.2">
      <c r="A716" s="224">
        <v>44117</v>
      </c>
      <c r="B716" s="225">
        <v>1250</v>
      </c>
      <c r="C716" s="225">
        <f>B716</f>
        <v>1250</v>
      </c>
      <c r="D716" s="225">
        <v>0</v>
      </c>
      <c r="E716" s="226" t="s">
        <v>308</v>
      </c>
      <c r="F716" s="227" t="s">
        <v>702</v>
      </c>
      <c r="G716" s="227" t="s">
        <v>39</v>
      </c>
      <c r="H716" s="228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</row>
    <row r="717" spans="1:26" ht="15.75" customHeight="1" x14ac:dyDescent="0.2">
      <c r="A717" s="224">
        <v>44125</v>
      </c>
      <c r="B717" s="225">
        <v>-100</v>
      </c>
      <c r="C717" s="225">
        <f>B717</f>
        <v>-100</v>
      </c>
      <c r="D717" s="225">
        <v>0</v>
      </c>
      <c r="E717" s="226" t="s">
        <v>292</v>
      </c>
      <c r="F717" s="227" t="s">
        <v>698</v>
      </c>
      <c r="G717" s="227" t="s">
        <v>119</v>
      </c>
      <c r="H717" s="228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</row>
    <row r="718" spans="1:26" ht="15.75" customHeight="1" x14ac:dyDescent="0.2">
      <c r="A718" s="224">
        <v>44130</v>
      </c>
      <c r="B718" s="225">
        <v>-1684.15</v>
      </c>
      <c r="C718" s="225">
        <f>B718</f>
        <v>-1684.15</v>
      </c>
      <c r="D718" s="225">
        <v>0</v>
      </c>
      <c r="E718" s="226" t="s">
        <v>312</v>
      </c>
      <c r="F718" s="227" t="s">
        <v>702</v>
      </c>
      <c r="G718" s="227" t="s">
        <v>19</v>
      </c>
      <c r="H718" s="228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</row>
    <row r="719" spans="1:26" ht="15.75" customHeight="1" x14ac:dyDescent="0.2">
      <c r="A719" s="224">
        <v>44131</v>
      </c>
      <c r="B719" s="225">
        <v>50</v>
      </c>
      <c r="C719" s="225">
        <f>B719</f>
        <v>50</v>
      </c>
      <c r="D719" s="225">
        <v>0</v>
      </c>
      <c r="E719" s="226" t="s">
        <v>313</v>
      </c>
      <c r="F719" s="227" t="s">
        <v>702</v>
      </c>
      <c r="G719" s="227" t="s">
        <v>19</v>
      </c>
      <c r="H719" s="228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</row>
    <row r="720" spans="1:26" ht="15.75" customHeight="1" x14ac:dyDescent="0.2">
      <c r="A720" s="224">
        <v>44131</v>
      </c>
      <c r="B720" s="225">
        <v>1500</v>
      </c>
      <c r="C720" s="225">
        <f>B720</f>
        <v>1500</v>
      </c>
      <c r="D720" s="225">
        <v>0</v>
      </c>
      <c r="E720" s="226" t="s">
        <v>314</v>
      </c>
      <c r="F720" s="227" t="s">
        <v>702</v>
      </c>
      <c r="G720" s="227" t="s">
        <v>19</v>
      </c>
      <c r="H720" s="228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</row>
    <row r="721" spans="1:26" ht="15.75" customHeight="1" x14ac:dyDescent="0.2">
      <c r="A721" s="224">
        <v>44131</v>
      </c>
      <c r="B721" s="225">
        <v>1684.15</v>
      </c>
      <c r="C721" s="225">
        <f>B721</f>
        <v>1684.15</v>
      </c>
      <c r="D721" s="225">
        <v>0</v>
      </c>
      <c r="E721" s="226" t="s">
        <v>315</v>
      </c>
      <c r="F721" s="227" t="s">
        <v>702</v>
      </c>
      <c r="G721" s="227" t="s">
        <v>19</v>
      </c>
      <c r="H721" s="228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</row>
    <row r="722" spans="1:26" ht="15.75" customHeight="1" x14ac:dyDescent="0.2">
      <c r="A722" s="224">
        <v>44132</v>
      </c>
      <c r="B722" s="225">
        <v>-3850</v>
      </c>
      <c r="C722" s="225">
        <f>B722-D722</f>
        <v>-3500</v>
      </c>
      <c r="D722" s="234">
        <f>B722/11</f>
        <v>-350</v>
      </c>
      <c r="E722" s="226" t="s">
        <v>316</v>
      </c>
      <c r="F722" s="227" t="s">
        <v>696</v>
      </c>
      <c r="G722" s="227" t="s">
        <v>317</v>
      </c>
      <c r="H722" s="228" t="s">
        <v>318</v>
      </c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</row>
    <row r="723" spans="1:26" ht="15.75" customHeight="1" x14ac:dyDescent="0.2">
      <c r="A723" s="224">
        <v>44132</v>
      </c>
      <c r="B723" s="225">
        <v>1200</v>
      </c>
      <c r="C723" s="225">
        <f>B723</f>
        <v>1200</v>
      </c>
      <c r="D723" s="225">
        <v>0</v>
      </c>
      <c r="E723" s="226" t="s">
        <v>319</v>
      </c>
      <c r="F723" s="227" t="s">
        <v>702</v>
      </c>
      <c r="G723" s="227" t="s">
        <v>19</v>
      </c>
      <c r="H723" s="228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</row>
    <row r="724" spans="1:26" ht="15.75" customHeight="1" x14ac:dyDescent="0.2">
      <c r="A724" s="224">
        <v>44146</v>
      </c>
      <c r="B724" s="225">
        <v>-1135.8699999999999</v>
      </c>
      <c r="C724" s="225">
        <f>B724</f>
        <v>-1135.8699999999999</v>
      </c>
      <c r="D724" s="225">
        <v>0</v>
      </c>
      <c r="E724" s="226" t="s">
        <v>320</v>
      </c>
      <c r="F724" s="227" t="s">
        <v>698</v>
      </c>
      <c r="G724" s="227" t="s">
        <v>6</v>
      </c>
      <c r="H724" s="228">
        <v>68</v>
      </c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</row>
    <row r="725" spans="1:26" ht="15.75" customHeight="1" x14ac:dyDescent="0.2">
      <c r="A725" s="224">
        <v>44146</v>
      </c>
      <c r="B725" s="225">
        <v>1250</v>
      </c>
      <c r="C725" s="225">
        <f>B725</f>
        <v>1250</v>
      </c>
      <c r="D725" s="225">
        <v>0</v>
      </c>
      <c r="E725" s="226" t="s">
        <v>321</v>
      </c>
      <c r="F725" s="227" t="s">
        <v>702</v>
      </c>
      <c r="G725" s="227" t="s">
        <v>19</v>
      </c>
      <c r="H725" s="228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</row>
    <row r="726" spans="1:26" ht="15.75" customHeight="1" x14ac:dyDescent="0.2">
      <c r="A726" s="224">
        <v>44148</v>
      </c>
      <c r="B726" s="225">
        <v>1250</v>
      </c>
      <c r="C726" s="225">
        <f>B726</f>
        <v>1250</v>
      </c>
      <c r="D726" s="225">
        <v>0</v>
      </c>
      <c r="E726" s="226" t="s">
        <v>322</v>
      </c>
      <c r="F726" s="227" t="s">
        <v>702</v>
      </c>
      <c r="G726" s="227" t="s">
        <v>39</v>
      </c>
      <c r="H726" s="228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</row>
    <row r="727" spans="1:26" ht="15.75" customHeight="1" x14ac:dyDescent="0.2">
      <c r="A727" s="224">
        <v>44154</v>
      </c>
      <c r="B727" s="225">
        <v>-2035</v>
      </c>
      <c r="C727" s="225">
        <f>B727-D727</f>
        <v>-1850</v>
      </c>
      <c r="D727" s="234">
        <f>B727/11</f>
        <v>-185</v>
      </c>
      <c r="E727" s="226" t="s">
        <v>323</v>
      </c>
      <c r="F727" s="227" t="s">
        <v>696</v>
      </c>
      <c r="G727" s="227" t="s">
        <v>223</v>
      </c>
      <c r="H727" s="228" t="s">
        <v>224</v>
      </c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</row>
    <row r="728" spans="1:26" ht="15.75" customHeight="1" x14ac:dyDescent="0.2">
      <c r="A728" s="224">
        <v>44154</v>
      </c>
      <c r="B728" s="225">
        <v>4000</v>
      </c>
      <c r="C728" s="225">
        <f>B728</f>
        <v>4000</v>
      </c>
      <c r="D728" s="225">
        <v>0</v>
      </c>
      <c r="E728" s="226" t="s">
        <v>324</v>
      </c>
      <c r="F728" s="227" t="s">
        <v>702</v>
      </c>
      <c r="G728" s="227" t="s">
        <v>19</v>
      </c>
      <c r="H728" s="228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</row>
    <row r="729" spans="1:26" ht="15.75" customHeight="1" x14ac:dyDescent="0.2">
      <c r="A729" s="224">
        <v>44154</v>
      </c>
      <c r="B729" s="225">
        <v>4000</v>
      </c>
      <c r="C729" s="225">
        <f>B729</f>
        <v>4000</v>
      </c>
      <c r="D729" s="225">
        <v>0</v>
      </c>
      <c r="E729" s="226" t="s">
        <v>325</v>
      </c>
      <c r="F729" s="227" t="s">
        <v>702</v>
      </c>
      <c r="G729" s="227" t="s">
        <v>39</v>
      </c>
      <c r="H729" s="228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</row>
    <row r="730" spans="1:26" ht="15.75" customHeight="1" x14ac:dyDescent="0.2">
      <c r="A730" s="224">
        <v>44158</v>
      </c>
      <c r="B730" s="225">
        <v>-100</v>
      </c>
      <c r="C730" s="225">
        <f>B730</f>
        <v>-100</v>
      </c>
      <c r="D730" s="225">
        <v>0</v>
      </c>
      <c r="E730" s="226" t="s">
        <v>292</v>
      </c>
      <c r="F730" s="227" t="s">
        <v>702</v>
      </c>
      <c r="G730" s="227" t="s">
        <v>19</v>
      </c>
      <c r="H730" s="228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</row>
    <row r="731" spans="1:26" ht="15.75" customHeight="1" x14ac:dyDescent="0.2">
      <c r="A731" s="224">
        <v>44159</v>
      </c>
      <c r="B731" s="225">
        <v>-4950</v>
      </c>
      <c r="C731" s="225">
        <f>B731-D731</f>
        <v>-4500</v>
      </c>
      <c r="D731" s="234">
        <f>B731/11</f>
        <v>-450</v>
      </c>
      <c r="E731" s="226" t="s">
        <v>326</v>
      </c>
      <c r="F731" s="227" t="s">
        <v>696</v>
      </c>
      <c r="G731" s="227" t="s">
        <v>327</v>
      </c>
      <c r="H731" s="228" t="s">
        <v>7</v>
      </c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</row>
    <row r="732" spans="1:26" ht="15.75" customHeight="1" x14ac:dyDescent="0.2">
      <c r="A732" s="224">
        <v>44159</v>
      </c>
      <c r="B732" s="225">
        <v>-70</v>
      </c>
      <c r="C732" s="225">
        <f>B732</f>
        <v>-70</v>
      </c>
      <c r="D732" s="225">
        <v>0</v>
      </c>
      <c r="E732" s="226" t="s">
        <v>328</v>
      </c>
      <c r="F732" s="227" t="s">
        <v>698</v>
      </c>
      <c r="G732" s="227" t="s">
        <v>117</v>
      </c>
      <c r="H732" s="228">
        <v>70</v>
      </c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</row>
    <row r="733" spans="1:26" ht="15.75" customHeight="1" x14ac:dyDescent="0.2">
      <c r="A733" s="224">
        <v>44159</v>
      </c>
      <c r="B733" s="225">
        <v>-70</v>
      </c>
      <c r="C733" s="225">
        <f>B733</f>
        <v>-70</v>
      </c>
      <c r="D733" s="225">
        <v>0</v>
      </c>
      <c r="E733" s="226" t="s">
        <v>328</v>
      </c>
      <c r="F733" s="227" t="s">
        <v>698</v>
      </c>
      <c r="G733" s="227" t="s">
        <v>117</v>
      </c>
      <c r="H733" s="228">
        <v>70</v>
      </c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</row>
    <row r="734" spans="1:26" ht="15.75" customHeight="1" x14ac:dyDescent="0.2">
      <c r="A734" s="224">
        <v>44169</v>
      </c>
      <c r="B734" s="225">
        <v>-1800.29</v>
      </c>
      <c r="C734" s="225">
        <f>B734</f>
        <v>-1800.29</v>
      </c>
      <c r="D734" s="225">
        <v>0</v>
      </c>
      <c r="E734" s="226" t="s">
        <v>311</v>
      </c>
      <c r="F734" s="227" t="s">
        <v>698</v>
      </c>
      <c r="G734" s="227" t="s">
        <v>6</v>
      </c>
      <c r="H734" s="228">
        <v>70</v>
      </c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</row>
    <row r="735" spans="1:26" ht="15.75" customHeight="1" x14ac:dyDescent="0.2">
      <c r="A735" s="224">
        <v>44169</v>
      </c>
      <c r="B735" s="225">
        <v>5000</v>
      </c>
      <c r="C735" s="225">
        <f>B735</f>
        <v>5000</v>
      </c>
      <c r="D735" s="225">
        <v>0</v>
      </c>
      <c r="E735" s="226" t="s">
        <v>314</v>
      </c>
      <c r="F735" s="227" t="s">
        <v>702</v>
      </c>
      <c r="G735" s="227" t="s">
        <v>39</v>
      </c>
      <c r="H735" s="228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</row>
    <row r="736" spans="1:26" ht="15.75" customHeight="1" x14ac:dyDescent="0.2">
      <c r="A736" s="224">
        <v>44172</v>
      </c>
      <c r="B736" s="225">
        <v>-110</v>
      </c>
      <c r="C736" s="225">
        <f>B736</f>
        <v>-110</v>
      </c>
      <c r="D736" s="225">
        <v>0</v>
      </c>
      <c r="E736" s="226" t="s">
        <v>329</v>
      </c>
      <c r="F736" s="227" t="s">
        <v>11</v>
      </c>
      <c r="G736" s="227" t="s">
        <v>330</v>
      </c>
      <c r="H736" s="228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</row>
    <row r="737" spans="1:26" ht="15.75" customHeight="1" x14ac:dyDescent="0.2">
      <c r="A737" s="224">
        <v>44174</v>
      </c>
      <c r="B737" s="225">
        <v>-50</v>
      </c>
      <c r="C737" s="225">
        <f>B737</f>
        <v>-50</v>
      </c>
      <c r="D737" s="225">
        <v>0</v>
      </c>
      <c r="E737" s="226" t="s">
        <v>331</v>
      </c>
      <c r="F737" s="227" t="s">
        <v>702</v>
      </c>
      <c r="G737" s="227" t="s">
        <v>19</v>
      </c>
      <c r="H737" s="228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</row>
    <row r="738" spans="1:26" ht="15.75" customHeight="1" x14ac:dyDescent="0.2">
      <c r="A738" s="224">
        <v>44179</v>
      </c>
      <c r="B738" s="225">
        <v>1250</v>
      </c>
      <c r="C738" s="225">
        <f>B738</f>
        <v>1250</v>
      </c>
      <c r="D738" s="225">
        <v>0</v>
      </c>
      <c r="E738" s="226" t="s">
        <v>308</v>
      </c>
      <c r="F738" s="227" t="s">
        <v>702</v>
      </c>
      <c r="G738" s="227" t="s">
        <v>39</v>
      </c>
      <c r="H738" s="228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</row>
    <row r="739" spans="1:26" ht="15.75" customHeight="1" x14ac:dyDescent="0.2">
      <c r="A739" s="224">
        <v>44180</v>
      </c>
      <c r="B739" s="225">
        <v>-1100</v>
      </c>
      <c r="C739" s="225">
        <f>B739-D739</f>
        <v>-1000</v>
      </c>
      <c r="D739" s="234">
        <f>B739/11</f>
        <v>-100</v>
      </c>
      <c r="E739" s="226" t="s">
        <v>332</v>
      </c>
      <c r="F739" s="227" t="s">
        <v>696</v>
      </c>
      <c r="G739" s="227" t="s">
        <v>223</v>
      </c>
      <c r="H739" s="228" t="s">
        <v>224</v>
      </c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</row>
    <row r="740" spans="1:26" ht="15.75" customHeight="1" x14ac:dyDescent="0.2">
      <c r="A740" s="224">
        <v>44180</v>
      </c>
      <c r="B740" s="225">
        <v>-337</v>
      </c>
      <c r="C740" s="225">
        <f>B740</f>
        <v>-337</v>
      </c>
      <c r="D740" s="225">
        <v>0</v>
      </c>
      <c r="E740" s="226" t="s">
        <v>300</v>
      </c>
      <c r="F740" s="227" t="s">
        <v>698</v>
      </c>
      <c r="G740" s="227" t="s">
        <v>46</v>
      </c>
      <c r="H740" s="228">
        <v>68</v>
      </c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</row>
    <row r="741" spans="1:26" ht="15.75" customHeight="1" x14ac:dyDescent="0.2">
      <c r="A741" s="224">
        <v>44180</v>
      </c>
      <c r="B741" s="225">
        <v>-141.93</v>
      </c>
      <c r="C741" s="225">
        <f>B741</f>
        <v>-141.93</v>
      </c>
      <c r="D741" s="225">
        <v>0</v>
      </c>
      <c r="E741" s="226" t="s">
        <v>307</v>
      </c>
      <c r="F741" s="227" t="s">
        <v>698</v>
      </c>
      <c r="G741" s="227" t="s">
        <v>74</v>
      </c>
      <c r="H741" s="228">
        <v>70</v>
      </c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</row>
    <row r="742" spans="1:26" ht="15.75" customHeight="1" x14ac:dyDescent="0.2">
      <c r="A742" s="224">
        <v>44180</v>
      </c>
      <c r="B742" s="225">
        <v>-141.93</v>
      </c>
      <c r="C742" s="225">
        <f>B742</f>
        <v>-141.93</v>
      </c>
      <c r="D742" s="225">
        <v>0</v>
      </c>
      <c r="E742" s="226" t="s">
        <v>304</v>
      </c>
      <c r="F742" s="227" t="s">
        <v>698</v>
      </c>
      <c r="G742" s="227" t="s">
        <v>74</v>
      </c>
      <c r="H742" s="228">
        <v>68</v>
      </c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</row>
    <row r="743" spans="1:26" ht="15.75" customHeight="1" x14ac:dyDescent="0.2">
      <c r="A743" s="224">
        <v>44183</v>
      </c>
      <c r="B743" s="225">
        <v>-726</v>
      </c>
      <c r="C743" s="225">
        <f>B743-D743</f>
        <v>-660</v>
      </c>
      <c r="D743" s="234">
        <f>B743/11</f>
        <v>-66</v>
      </c>
      <c r="E743" s="226" t="s">
        <v>333</v>
      </c>
      <c r="F743" s="227" t="s">
        <v>48</v>
      </c>
      <c r="G743" s="227" t="s">
        <v>177</v>
      </c>
      <c r="H743" s="228" t="s">
        <v>50</v>
      </c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</row>
    <row r="744" spans="1:26" ht="15.75" customHeight="1" x14ac:dyDescent="0.2">
      <c r="A744" s="224">
        <v>44186</v>
      </c>
      <c r="B744" s="225">
        <v>-100</v>
      </c>
      <c r="C744" s="225">
        <f>B744</f>
        <v>-100</v>
      </c>
      <c r="D744" s="225">
        <v>0</v>
      </c>
      <c r="E744" s="226" t="s">
        <v>292</v>
      </c>
      <c r="F744" s="227" t="s">
        <v>702</v>
      </c>
      <c r="G744" s="227" t="s">
        <v>19</v>
      </c>
      <c r="H744" s="228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</row>
    <row r="745" spans="1:26" ht="15.75" customHeight="1" x14ac:dyDescent="0.2">
      <c r="A745" s="224">
        <v>44189</v>
      </c>
      <c r="B745" s="225">
        <v>-1800.29</v>
      </c>
      <c r="C745" s="225">
        <f>B745</f>
        <v>-1800.29</v>
      </c>
      <c r="D745" s="225">
        <v>0</v>
      </c>
      <c r="E745" s="226" t="s">
        <v>334</v>
      </c>
      <c r="F745" s="227" t="s">
        <v>698</v>
      </c>
      <c r="G745" s="227" t="s">
        <v>6</v>
      </c>
      <c r="H745" s="228">
        <v>70</v>
      </c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</row>
    <row r="746" spans="1:26" ht="15.75" customHeight="1" x14ac:dyDescent="0.2">
      <c r="A746" s="224">
        <v>44189</v>
      </c>
      <c r="B746" s="225">
        <v>1500</v>
      </c>
      <c r="C746" s="225">
        <f>B746</f>
        <v>1500</v>
      </c>
      <c r="D746" s="225">
        <v>0</v>
      </c>
      <c r="E746" s="226" t="s">
        <v>335</v>
      </c>
      <c r="F746" s="227" t="s">
        <v>702</v>
      </c>
      <c r="G746" s="227" t="s">
        <v>19</v>
      </c>
      <c r="H746" s="228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</row>
    <row r="747" spans="1:26" ht="15.75" customHeight="1" x14ac:dyDescent="0.2">
      <c r="A747" s="224">
        <v>44196</v>
      </c>
      <c r="B747" s="225">
        <v>0.06</v>
      </c>
      <c r="C747" s="225">
        <f>B747</f>
        <v>0.06</v>
      </c>
      <c r="D747" s="225">
        <v>0</v>
      </c>
      <c r="E747" s="226" t="s">
        <v>310</v>
      </c>
      <c r="F747" s="227" t="s">
        <v>11</v>
      </c>
      <c r="G747" s="227" t="s">
        <v>336</v>
      </c>
      <c r="H747" s="228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</row>
    <row r="748" spans="1:26" ht="15.75" customHeight="1" x14ac:dyDescent="0.2">
      <c r="A748" s="224">
        <v>44202</v>
      </c>
      <c r="B748" s="225">
        <f>-14411.1</f>
        <v>-14411.1</v>
      </c>
      <c r="C748" s="225">
        <f>B748-D748</f>
        <v>-13101</v>
      </c>
      <c r="D748" s="234">
        <f>B748/11</f>
        <v>-1310.1000000000001</v>
      </c>
      <c r="E748" s="226" t="s">
        <v>337</v>
      </c>
      <c r="F748" s="227" t="s">
        <v>251</v>
      </c>
      <c r="G748" s="227" t="s">
        <v>337</v>
      </c>
      <c r="H748" s="228" t="s">
        <v>268</v>
      </c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</row>
    <row r="749" spans="1:26" ht="15.75" customHeight="1" x14ac:dyDescent="0.2">
      <c r="A749" s="224">
        <v>44203</v>
      </c>
      <c r="B749" s="225">
        <f>-1667.32</f>
        <v>-1667.32</v>
      </c>
      <c r="C749" s="225">
        <f>B749-D749</f>
        <v>-1515.7454545454545</v>
      </c>
      <c r="D749" s="234">
        <f>B749/11</f>
        <v>-151.57454545454544</v>
      </c>
      <c r="E749" s="226" t="s">
        <v>337</v>
      </c>
      <c r="F749" s="227" t="s">
        <v>251</v>
      </c>
      <c r="G749" s="227" t="s">
        <v>337</v>
      </c>
      <c r="H749" s="228" t="s">
        <v>268</v>
      </c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</row>
    <row r="750" spans="1:26" ht="15.75" customHeight="1" x14ac:dyDescent="0.2">
      <c r="A750" s="224">
        <v>44209</v>
      </c>
      <c r="B750" s="225">
        <v>1250</v>
      </c>
      <c r="C750" s="225">
        <f>B750</f>
        <v>1250</v>
      </c>
      <c r="D750" s="225">
        <v>0</v>
      </c>
      <c r="E750" s="226" t="s">
        <v>338</v>
      </c>
      <c r="F750" s="227" t="s">
        <v>702</v>
      </c>
      <c r="G750" s="227" t="s">
        <v>39</v>
      </c>
      <c r="H750" s="228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</row>
    <row r="751" spans="1:26" ht="15.75" customHeight="1" x14ac:dyDescent="0.2">
      <c r="A751" s="224">
        <v>44217</v>
      </c>
      <c r="B751" s="225">
        <v>-100</v>
      </c>
      <c r="C751" s="225">
        <f>B751</f>
        <v>-100</v>
      </c>
      <c r="D751" s="225">
        <v>0</v>
      </c>
      <c r="E751" s="226" t="s">
        <v>292</v>
      </c>
      <c r="F751" s="227" t="s">
        <v>702</v>
      </c>
      <c r="G751" s="227" t="s">
        <v>19</v>
      </c>
      <c r="H751" s="228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</row>
    <row r="752" spans="1:26" ht="15.75" customHeight="1" x14ac:dyDescent="0.2">
      <c r="A752" s="224">
        <v>44223</v>
      </c>
      <c r="B752" s="225">
        <v>-1789.83</v>
      </c>
      <c r="C752" s="225">
        <f>B752</f>
        <v>-1789.83</v>
      </c>
      <c r="D752" s="225">
        <v>0</v>
      </c>
      <c r="E752" s="226" t="s">
        <v>334</v>
      </c>
      <c r="F752" s="227" t="s">
        <v>698</v>
      </c>
      <c r="G752" s="227" t="s">
        <v>6</v>
      </c>
      <c r="H752" s="228">
        <v>68</v>
      </c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</row>
    <row r="753" spans="1:26" ht="15.75" customHeight="1" x14ac:dyDescent="0.2">
      <c r="A753" s="224">
        <v>44223</v>
      </c>
      <c r="B753" s="225">
        <v>500</v>
      </c>
      <c r="C753" s="225">
        <f>B753</f>
        <v>500</v>
      </c>
      <c r="D753" s="225">
        <v>0</v>
      </c>
      <c r="E753" s="226" t="s">
        <v>339</v>
      </c>
      <c r="F753" s="227" t="s">
        <v>702</v>
      </c>
      <c r="G753" s="227" t="s">
        <v>39</v>
      </c>
      <c r="H753" s="228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</row>
    <row r="754" spans="1:26" ht="15.75" customHeight="1" x14ac:dyDescent="0.2">
      <c r="A754" s="224">
        <v>44223</v>
      </c>
      <c r="B754" s="225">
        <v>1000</v>
      </c>
      <c r="C754" s="225">
        <f>B754</f>
        <v>1000</v>
      </c>
      <c r="D754" s="225">
        <v>0</v>
      </c>
      <c r="E754" s="226" t="s">
        <v>340</v>
      </c>
      <c r="F754" s="227" t="s">
        <v>702</v>
      </c>
      <c r="G754" s="227" t="s">
        <v>19</v>
      </c>
      <c r="H754" s="228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</row>
    <row r="755" spans="1:26" ht="15.75" customHeight="1" x14ac:dyDescent="0.2">
      <c r="A755" s="224">
        <v>44224</v>
      </c>
      <c r="B755" s="225">
        <v>100</v>
      </c>
      <c r="C755" s="225">
        <f>B755</f>
        <v>100</v>
      </c>
      <c r="D755" s="225">
        <v>0</v>
      </c>
      <c r="E755" s="226" t="s">
        <v>341</v>
      </c>
      <c r="F755" s="227" t="s">
        <v>702</v>
      </c>
      <c r="G755" s="227" t="s">
        <v>19</v>
      </c>
      <c r="H755" s="228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</row>
    <row r="756" spans="1:26" ht="15.75" customHeight="1" x14ac:dyDescent="0.2">
      <c r="A756" s="224">
        <v>44225</v>
      </c>
      <c r="B756" s="225">
        <v>50</v>
      </c>
      <c r="C756" s="225">
        <f>B756</f>
        <v>50</v>
      </c>
      <c r="D756" s="225">
        <v>0</v>
      </c>
      <c r="E756" s="226" t="s">
        <v>342</v>
      </c>
      <c r="F756" s="227" t="s">
        <v>702</v>
      </c>
      <c r="G756" s="227" t="s">
        <v>19</v>
      </c>
      <c r="H756" s="228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</row>
    <row r="757" spans="1:26" ht="15.75" customHeight="1" x14ac:dyDescent="0.2">
      <c r="A757" s="224">
        <v>44230</v>
      </c>
      <c r="B757" s="225">
        <v>5000</v>
      </c>
      <c r="C757" s="225">
        <f>B757</f>
        <v>5000</v>
      </c>
      <c r="D757" s="225">
        <v>0</v>
      </c>
      <c r="E757" s="226" t="s">
        <v>314</v>
      </c>
      <c r="F757" s="227" t="s">
        <v>702</v>
      </c>
      <c r="G757" s="227" t="s">
        <v>19</v>
      </c>
      <c r="H757" s="228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</row>
    <row r="758" spans="1:26" ht="15.75" customHeight="1" x14ac:dyDescent="0.2">
      <c r="A758" s="224">
        <v>44232</v>
      </c>
      <c r="B758" s="225">
        <v>50000</v>
      </c>
      <c r="C758" s="225">
        <f>B758</f>
        <v>50000</v>
      </c>
      <c r="D758" s="225">
        <v>0</v>
      </c>
      <c r="E758" s="226" t="s">
        <v>343</v>
      </c>
      <c r="F758" s="227" t="s">
        <v>702</v>
      </c>
      <c r="G758" s="227" t="s">
        <v>39</v>
      </c>
      <c r="H758" s="228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</row>
    <row r="759" spans="1:26" ht="15.75" customHeight="1" x14ac:dyDescent="0.2">
      <c r="A759" s="224">
        <v>44235</v>
      </c>
      <c r="B759" s="225">
        <v>-35000</v>
      </c>
      <c r="C759" s="225">
        <f>B759-D759</f>
        <v>-31818.181818181816</v>
      </c>
      <c r="D759" s="234">
        <f>B759/11</f>
        <v>-3181.818181818182</v>
      </c>
      <c r="E759" s="226" t="s">
        <v>344</v>
      </c>
      <c r="F759" s="227" t="s">
        <v>251</v>
      </c>
      <c r="G759" s="227" t="s">
        <v>267</v>
      </c>
      <c r="H759" s="228" t="s">
        <v>268</v>
      </c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</row>
    <row r="760" spans="1:26" ht="15.75" customHeight="1" x14ac:dyDescent="0.2">
      <c r="A760" s="224">
        <v>44236</v>
      </c>
      <c r="B760" s="225">
        <v>-23008</v>
      </c>
      <c r="C760" s="225">
        <f>B760-D760</f>
        <v>-20916.363636363636</v>
      </c>
      <c r="D760" s="234">
        <f>B760/11</f>
        <v>-2091.6363636363635</v>
      </c>
      <c r="E760" s="226" t="s">
        <v>345</v>
      </c>
      <c r="F760" s="227" t="s">
        <v>251</v>
      </c>
      <c r="G760" s="227" t="s">
        <v>267</v>
      </c>
      <c r="H760" s="228" t="s">
        <v>268</v>
      </c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</row>
    <row r="761" spans="1:26" ht="15.75" customHeight="1" x14ac:dyDescent="0.2">
      <c r="A761" s="224">
        <v>44236</v>
      </c>
      <c r="B761" s="225">
        <v>30000</v>
      </c>
      <c r="C761" s="225">
        <f>B761</f>
        <v>30000</v>
      </c>
      <c r="D761" s="225">
        <v>0</v>
      </c>
      <c r="E761" s="226" t="s">
        <v>346</v>
      </c>
      <c r="F761" s="227" t="s">
        <v>702</v>
      </c>
      <c r="G761" s="227" t="s">
        <v>19</v>
      </c>
      <c r="H761" s="228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</row>
    <row r="762" spans="1:26" ht="15.75" customHeight="1" x14ac:dyDescent="0.2">
      <c r="A762" s="224">
        <v>44238</v>
      </c>
      <c r="B762" s="225">
        <v>-9566.4</v>
      </c>
      <c r="C762" s="225">
        <f>B762</f>
        <v>-9566.4</v>
      </c>
      <c r="D762" s="234">
        <v>0</v>
      </c>
      <c r="E762" s="226" t="s">
        <v>347</v>
      </c>
      <c r="F762" s="227" t="s">
        <v>251</v>
      </c>
      <c r="G762" s="227" t="s">
        <v>348</v>
      </c>
      <c r="H762" s="228" t="s">
        <v>349</v>
      </c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</row>
    <row r="763" spans="1:26" ht="15.75" customHeight="1" x14ac:dyDescent="0.2">
      <c r="A763" s="224">
        <v>44238</v>
      </c>
      <c r="B763" s="225">
        <v>-5729.9</v>
      </c>
      <c r="C763" s="225">
        <f>B763-D763</f>
        <v>-5209</v>
      </c>
      <c r="D763" s="234">
        <f>B763/11</f>
        <v>-520.9</v>
      </c>
      <c r="E763" s="226" t="s">
        <v>350</v>
      </c>
      <c r="F763" s="227" t="s">
        <v>48</v>
      </c>
      <c r="G763" s="227" t="s">
        <v>177</v>
      </c>
      <c r="H763" s="228" t="s">
        <v>212</v>
      </c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</row>
    <row r="764" spans="1:26" ht="15.75" customHeight="1" x14ac:dyDescent="0.2">
      <c r="A764" s="224">
        <v>44238</v>
      </c>
      <c r="B764" s="225">
        <v>-605</v>
      </c>
      <c r="C764" s="225">
        <f>B764-D764</f>
        <v>-550</v>
      </c>
      <c r="D764" s="234">
        <f>B764/11</f>
        <v>-55</v>
      </c>
      <c r="E764" s="226" t="s">
        <v>351</v>
      </c>
      <c r="F764" s="227" t="s">
        <v>251</v>
      </c>
      <c r="G764" s="227" t="s">
        <v>252</v>
      </c>
      <c r="H764" s="228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</row>
    <row r="765" spans="1:26" ht="15.75" customHeight="1" x14ac:dyDescent="0.2">
      <c r="A765" s="224">
        <v>44242</v>
      </c>
      <c r="B765" s="225">
        <v>-1986.2</v>
      </c>
      <c r="C765" s="225">
        <f>B765-D765</f>
        <v>-1986.2</v>
      </c>
      <c r="D765" s="234">
        <v>0</v>
      </c>
      <c r="E765" s="226" t="s">
        <v>352</v>
      </c>
      <c r="F765" s="227" t="s">
        <v>48</v>
      </c>
      <c r="G765" s="227" t="s">
        <v>177</v>
      </c>
      <c r="H765" s="228" t="s">
        <v>353</v>
      </c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</row>
    <row r="766" spans="1:26" ht="15.75" customHeight="1" x14ac:dyDescent="0.2">
      <c r="A766" s="224">
        <v>44242</v>
      </c>
      <c r="B766" s="225">
        <v>1250</v>
      </c>
      <c r="C766" s="225">
        <f>B766</f>
        <v>1250</v>
      </c>
      <c r="D766" s="225">
        <v>0</v>
      </c>
      <c r="E766" s="226" t="s">
        <v>308</v>
      </c>
      <c r="F766" s="227" t="s">
        <v>702</v>
      </c>
      <c r="G766" s="227" t="s">
        <v>39</v>
      </c>
      <c r="H766" s="228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</row>
    <row r="767" spans="1:26" ht="15.75" customHeight="1" x14ac:dyDescent="0.2">
      <c r="A767" s="224">
        <v>44249</v>
      </c>
      <c r="B767" s="225">
        <v>-100</v>
      </c>
      <c r="C767" s="225">
        <f>B767</f>
        <v>-100</v>
      </c>
      <c r="D767" s="225">
        <v>0</v>
      </c>
      <c r="E767" s="226" t="s">
        <v>292</v>
      </c>
      <c r="F767" s="227" t="s">
        <v>702</v>
      </c>
      <c r="G767" s="227" t="s">
        <v>19</v>
      </c>
      <c r="H767" s="228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</row>
    <row r="768" spans="1:26" ht="15.75" customHeight="1" x14ac:dyDescent="0.2">
      <c r="A768" s="224">
        <v>44250</v>
      </c>
      <c r="B768" s="225">
        <v>30000</v>
      </c>
      <c r="C768" s="225">
        <f>B768</f>
        <v>30000</v>
      </c>
      <c r="D768" s="225">
        <v>0</v>
      </c>
      <c r="E768" s="226" t="s">
        <v>354</v>
      </c>
      <c r="F768" s="227" t="s">
        <v>702</v>
      </c>
      <c r="G768" s="227" t="s">
        <v>19</v>
      </c>
      <c r="H768" s="228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</row>
    <row r="769" spans="1:26" ht="15.75" customHeight="1" x14ac:dyDescent="0.2">
      <c r="A769" s="224">
        <v>44250</v>
      </c>
      <c r="B769" s="225">
        <v>45000</v>
      </c>
      <c r="C769" s="225">
        <f>B769</f>
        <v>45000</v>
      </c>
      <c r="D769" s="225">
        <v>0</v>
      </c>
      <c r="E769" s="226" t="s">
        <v>355</v>
      </c>
      <c r="F769" s="227" t="s">
        <v>702</v>
      </c>
      <c r="G769" s="227" t="s">
        <v>39</v>
      </c>
      <c r="H769" s="228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</row>
    <row r="770" spans="1:26" ht="15.75" customHeight="1" x14ac:dyDescent="0.2">
      <c r="A770" s="224">
        <v>44251</v>
      </c>
      <c r="B770" s="225">
        <v>-40000</v>
      </c>
      <c r="C770" s="225">
        <f>B770</f>
        <v>-40000</v>
      </c>
      <c r="D770" s="225">
        <v>0</v>
      </c>
      <c r="E770" s="226" t="s">
        <v>356</v>
      </c>
      <c r="F770" s="227" t="s">
        <v>27</v>
      </c>
      <c r="G770" s="227" t="s">
        <v>357</v>
      </c>
      <c r="H770" s="228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</row>
    <row r="771" spans="1:26" ht="15.75" customHeight="1" x14ac:dyDescent="0.2">
      <c r="A771" s="224">
        <v>44252</v>
      </c>
      <c r="B771" s="225">
        <v>-35000</v>
      </c>
      <c r="C771" s="225">
        <f>B771</f>
        <v>-35000</v>
      </c>
      <c r="D771" s="225">
        <v>0</v>
      </c>
      <c r="E771" s="226" t="s">
        <v>358</v>
      </c>
      <c r="F771" s="227" t="s">
        <v>27</v>
      </c>
      <c r="G771" s="227" t="s">
        <v>357</v>
      </c>
      <c r="H771" s="228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</row>
    <row r="772" spans="1:26" ht="15.75" customHeight="1" x14ac:dyDescent="0.2">
      <c r="A772" s="224">
        <v>44252</v>
      </c>
      <c r="B772" s="225">
        <v>-11000</v>
      </c>
      <c r="C772" s="225">
        <f>B772</f>
        <v>-11000</v>
      </c>
      <c r="D772" s="225">
        <v>0</v>
      </c>
      <c r="E772" s="226" t="s">
        <v>359</v>
      </c>
      <c r="F772" s="227" t="s">
        <v>27</v>
      </c>
      <c r="G772" s="227" t="s">
        <v>357</v>
      </c>
      <c r="H772" s="228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</row>
    <row r="773" spans="1:26" ht="15.75" customHeight="1" x14ac:dyDescent="0.2">
      <c r="A773" s="224">
        <v>44252</v>
      </c>
      <c r="B773" s="225">
        <v>-1</v>
      </c>
      <c r="C773" s="225">
        <f>B773</f>
        <v>-1</v>
      </c>
      <c r="D773" s="225">
        <v>0</v>
      </c>
      <c r="E773" s="226" t="s">
        <v>361</v>
      </c>
      <c r="F773" s="227" t="s">
        <v>702</v>
      </c>
      <c r="G773" s="227" t="s">
        <v>19</v>
      </c>
      <c r="H773" s="228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</row>
    <row r="774" spans="1:26" ht="15.75" customHeight="1" x14ac:dyDescent="0.2">
      <c r="A774" s="224">
        <v>44253</v>
      </c>
      <c r="B774" s="225">
        <v>-6325</v>
      </c>
      <c r="C774" s="225">
        <f>B774</f>
        <v>-6325</v>
      </c>
      <c r="D774" s="225">
        <v>0</v>
      </c>
      <c r="E774" s="226" t="s">
        <v>360</v>
      </c>
      <c r="F774" s="227" t="s">
        <v>27</v>
      </c>
      <c r="G774" s="227" t="s">
        <v>357</v>
      </c>
      <c r="H774" s="228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</row>
    <row r="775" spans="1:26" ht="15.75" customHeight="1" x14ac:dyDescent="0.2">
      <c r="A775" s="224">
        <v>44255</v>
      </c>
      <c r="B775" s="226">
        <v>-371.11</v>
      </c>
      <c r="C775" s="226">
        <v>-371.11</v>
      </c>
      <c r="D775" s="225">
        <v>0</v>
      </c>
      <c r="E775" s="226" t="s">
        <v>792</v>
      </c>
      <c r="F775" s="226" t="s">
        <v>696</v>
      </c>
      <c r="G775" s="226" t="s">
        <v>713</v>
      </c>
      <c r="H775" s="235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</row>
    <row r="776" spans="1:26" ht="15.75" customHeight="1" x14ac:dyDescent="0.2">
      <c r="A776" s="224">
        <v>44255</v>
      </c>
      <c r="B776" s="226">
        <v>-434.01</v>
      </c>
      <c r="C776" s="226">
        <v>-434.01</v>
      </c>
      <c r="D776" s="225">
        <v>0</v>
      </c>
      <c r="E776" s="226" t="s">
        <v>793</v>
      </c>
      <c r="F776" s="226" t="s">
        <v>696</v>
      </c>
      <c r="G776" s="226" t="s">
        <v>6</v>
      </c>
      <c r="H776" s="235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</row>
    <row r="777" spans="1:26" ht="15.75" customHeight="1" x14ac:dyDescent="0.2">
      <c r="A777" s="224">
        <v>44256</v>
      </c>
      <c r="B777" s="225">
        <v>-1099.07</v>
      </c>
      <c r="C777" s="225">
        <f>B777</f>
        <v>-1099.07</v>
      </c>
      <c r="D777" s="225">
        <v>0</v>
      </c>
      <c r="E777" s="226" t="s">
        <v>362</v>
      </c>
      <c r="F777" s="227" t="s">
        <v>698</v>
      </c>
      <c r="G777" s="227" t="s">
        <v>6</v>
      </c>
      <c r="H777" s="228">
        <v>70</v>
      </c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</row>
    <row r="778" spans="1:26" ht="15.75" customHeight="1" x14ac:dyDescent="0.2">
      <c r="A778" s="224">
        <v>44257</v>
      </c>
      <c r="B778" s="225">
        <v>1099.07</v>
      </c>
      <c r="C778" s="225">
        <f>B778</f>
        <v>1099.07</v>
      </c>
      <c r="D778" s="225">
        <v>0</v>
      </c>
      <c r="E778" s="226" t="s">
        <v>363</v>
      </c>
      <c r="F778" s="227" t="s">
        <v>698</v>
      </c>
      <c r="G778" s="227" t="s">
        <v>6</v>
      </c>
      <c r="H778" s="228">
        <v>70</v>
      </c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</row>
    <row r="779" spans="1:26" ht="15.75" customHeight="1" x14ac:dyDescent="0.2">
      <c r="A779" s="224">
        <v>44258</v>
      </c>
      <c r="B779" s="225">
        <v>-1000</v>
      </c>
      <c r="C779" s="225">
        <f>B779-D779</f>
        <v>-909.09090909090912</v>
      </c>
      <c r="D779" s="234">
        <f>B779/11</f>
        <v>-90.909090909090907</v>
      </c>
      <c r="E779" s="226" t="s">
        <v>364</v>
      </c>
      <c r="F779" s="227" t="s">
        <v>697</v>
      </c>
      <c r="G779" s="227" t="s">
        <v>203</v>
      </c>
      <c r="H779" s="228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</row>
    <row r="780" spans="1:26" ht="15.75" customHeight="1" x14ac:dyDescent="0.2">
      <c r="A780" s="224">
        <v>44258</v>
      </c>
      <c r="B780" s="225">
        <v>-45152</v>
      </c>
      <c r="C780" s="225">
        <v>-45152</v>
      </c>
      <c r="D780" s="225">
        <v>0</v>
      </c>
      <c r="E780" s="226" t="s">
        <v>756</v>
      </c>
      <c r="F780" s="226" t="s">
        <v>696</v>
      </c>
      <c r="G780" s="226" t="s">
        <v>716</v>
      </c>
      <c r="H780" s="235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</row>
    <row r="781" spans="1:26" ht="15.75" customHeight="1" x14ac:dyDescent="0.2">
      <c r="A781" s="224">
        <v>44264</v>
      </c>
      <c r="B781" s="225">
        <v>-8812.18</v>
      </c>
      <c r="C781" s="225">
        <v>-8812.18</v>
      </c>
      <c r="D781" s="225">
        <v>0</v>
      </c>
      <c r="E781" s="226" t="s">
        <v>753</v>
      </c>
      <c r="F781" s="226" t="s">
        <v>696</v>
      </c>
      <c r="G781" s="226" t="s">
        <v>720</v>
      </c>
      <c r="H781" s="235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</row>
    <row r="782" spans="1:26" ht="15.75" customHeight="1" x14ac:dyDescent="0.2">
      <c r="A782" s="224">
        <v>44264</v>
      </c>
      <c r="B782" s="226">
        <v>-288.60000000000002</v>
      </c>
      <c r="C782" s="226">
        <v>-288.60000000000002</v>
      </c>
      <c r="D782" s="225">
        <v>0</v>
      </c>
      <c r="E782" s="226" t="s">
        <v>753</v>
      </c>
      <c r="F782" s="226" t="s">
        <v>696</v>
      </c>
      <c r="G782" s="226" t="s">
        <v>720</v>
      </c>
      <c r="H782" s="235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</row>
    <row r="783" spans="1:26" ht="15.75" customHeight="1" x14ac:dyDescent="0.2">
      <c r="A783" s="224">
        <v>44265</v>
      </c>
      <c r="B783" s="225">
        <v>-1000</v>
      </c>
      <c r="C783" s="225">
        <f>B783-D783</f>
        <v>-909.09090909090912</v>
      </c>
      <c r="D783" s="234">
        <f>B783/11</f>
        <v>-90.909090909090907</v>
      </c>
      <c r="E783" s="226" t="s">
        <v>292</v>
      </c>
      <c r="F783" s="227" t="s">
        <v>697</v>
      </c>
      <c r="G783" s="227" t="s">
        <v>203</v>
      </c>
      <c r="H783" s="228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</row>
    <row r="784" spans="1:26" ht="15.75" customHeight="1" x14ac:dyDescent="0.2">
      <c r="A784" s="224">
        <v>44267</v>
      </c>
      <c r="B784" s="225">
        <v>-13750</v>
      </c>
      <c r="C784" s="225">
        <f>B784-D784</f>
        <v>-12500</v>
      </c>
      <c r="D784" s="234">
        <f>B784/11</f>
        <v>-1250</v>
      </c>
      <c r="E784" s="226" t="s">
        <v>379</v>
      </c>
      <c r="F784" s="227" t="s">
        <v>251</v>
      </c>
      <c r="G784" s="227" t="s">
        <v>380</v>
      </c>
      <c r="H784" s="228" t="s">
        <v>268</v>
      </c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</row>
    <row r="785" spans="1:26" ht="15.75" customHeight="1" x14ac:dyDescent="0.2">
      <c r="A785" s="224">
        <v>44270</v>
      </c>
      <c r="B785" s="225">
        <v>-100</v>
      </c>
      <c r="C785" s="225">
        <f>B785</f>
        <v>-100</v>
      </c>
      <c r="D785" s="225">
        <v>0</v>
      </c>
      <c r="E785" s="226" t="s">
        <v>365</v>
      </c>
      <c r="F785" s="227" t="s">
        <v>702</v>
      </c>
      <c r="G785" s="227" t="s">
        <v>19</v>
      </c>
      <c r="H785" s="228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</row>
    <row r="786" spans="1:26" ht="15.75" customHeight="1" x14ac:dyDescent="0.2">
      <c r="A786" s="224">
        <v>44277</v>
      </c>
      <c r="B786" s="225">
        <v>-100</v>
      </c>
      <c r="C786" s="225">
        <f>B786</f>
        <v>-100</v>
      </c>
      <c r="D786" s="225">
        <v>0</v>
      </c>
      <c r="E786" s="226" t="s">
        <v>292</v>
      </c>
      <c r="F786" s="227" t="s">
        <v>702</v>
      </c>
      <c r="G786" s="227" t="s">
        <v>19</v>
      </c>
      <c r="H786" s="228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</row>
    <row r="787" spans="1:26" ht="15.75" customHeight="1" x14ac:dyDescent="0.2">
      <c r="A787" s="224">
        <v>44277</v>
      </c>
      <c r="B787" s="225">
        <v>700</v>
      </c>
      <c r="C787" s="225">
        <f>B787</f>
        <v>700</v>
      </c>
      <c r="D787" s="225">
        <v>0</v>
      </c>
      <c r="E787" s="226" t="s">
        <v>366</v>
      </c>
      <c r="F787" s="227" t="s">
        <v>702</v>
      </c>
      <c r="G787" s="227" t="s">
        <v>39</v>
      </c>
      <c r="H787" s="228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</row>
    <row r="788" spans="1:26" ht="15.75" customHeight="1" x14ac:dyDescent="0.2">
      <c r="A788" s="224">
        <v>44280</v>
      </c>
      <c r="B788" s="225">
        <v>-15000</v>
      </c>
      <c r="C788" s="225">
        <f>B788</f>
        <v>-15000</v>
      </c>
      <c r="D788" s="225">
        <v>0</v>
      </c>
      <c r="E788" s="226" t="s">
        <v>367</v>
      </c>
      <c r="F788" s="227" t="s">
        <v>702</v>
      </c>
      <c r="G788" s="227" t="s">
        <v>39</v>
      </c>
      <c r="H788" s="228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</row>
    <row r="789" spans="1:26" ht="15.75" customHeight="1" x14ac:dyDescent="0.2">
      <c r="A789" s="224">
        <v>44280</v>
      </c>
      <c r="B789" s="225">
        <v>15000</v>
      </c>
      <c r="C789" s="225">
        <f>B789</f>
        <v>15000</v>
      </c>
      <c r="D789" s="225">
        <v>0</v>
      </c>
      <c r="E789" s="226" t="s">
        <v>368</v>
      </c>
      <c r="F789" s="227" t="s">
        <v>702</v>
      </c>
      <c r="G789" s="227" t="s">
        <v>39</v>
      </c>
      <c r="H789" s="228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</row>
    <row r="790" spans="1:26" ht="15.75" customHeight="1" x14ac:dyDescent="0.2">
      <c r="A790" s="224">
        <v>44286</v>
      </c>
      <c r="B790" s="225">
        <v>-3834.85</v>
      </c>
      <c r="C790" s="225">
        <v>-3834.85</v>
      </c>
      <c r="D790" s="225">
        <v>0</v>
      </c>
      <c r="E790" s="226" t="s">
        <v>792</v>
      </c>
      <c r="F790" s="226" t="s">
        <v>696</v>
      </c>
      <c r="G790" s="226" t="s">
        <v>713</v>
      </c>
      <c r="H790" s="235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</row>
    <row r="791" spans="1:26" ht="15.75" customHeight="1" x14ac:dyDescent="0.2">
      <c r="A791" s="224">
        <v>44286</v>
      </c>
      <c r="B791" s="225">
        <v>-5031.5</v>
      </c>
      <c r="C791" s="225">
        <v>-5031.5</v>
      </c>
      <c r="D791" s="225">
        <v>0</v>
      </c>
      <c r="E791" s="226" t="s">
        <v>793</v>
      </c>
      <c r="F791" s="226" t="s">
        <v>696</v>
      </c>
      <c r="G791" s="226" t="s">
        <v>6</v>
      </c>
      <c r="H791" s="235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</row>
    <row r="792" spans="1:26" ht="15.75" customHeight="1" x14ac:dyDescent="0.2">
      <c r="A792" s="224">
        <v>44293</v>
      </c>
      <c r="B792" s="225">
        <v>-1100</v>
      </c>
      <c r="C792" s="225">
        <f>B792-D792</f>
        <v>-1000</v>
      </c>
      <c r="D792" s="234">
        <f>B792/11</f>
        <v>-100</v>
      </c>
      <c r="E792" s="226" t="s">
        <v>381</v>
      </c>
      <c r="F792" s="227" t="s">
        <v>696</v>
      </c>
      <c r="G792" s="227" t="s">
        <v>381</v>
      </c>
      <c r="H792" s="228" t="s">
        <v>382</v>
      </c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</row>
    <row r="793" spans="1:26" ht="15.75" customHeight="1" x14ac:dyDescent="0.2">
      <c r="A793" s="224">
        <v>44293</v>
      </c>
      <c r="B793" s="226">
        <v>-300</v>
      </c>
      <c r="C793" s="226">
        <v>-300</v>
      </c>
      <c r="D793" s="225">
        <v>0</v>
      </c>
      <c r="E793" s="226" t="s">
        <v>750</v>
      </c>
      <c r="F793" s="226" t="s">
        <v>696</v>
      </c>
      <c r="G793" s="226" t="s">
        <v>720</v>
      </c>
      <c r="H793" s="235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</row>
    <row r="794" spans="1:26" ht="15.75" customHeight="1" x14ac:dyDescent="0.2">
      <c r="A794" s="224">
        <v>44299</v>
      </c>
      <c r="B794" s="225">
        <v>400</v>
      </c>
      <c r="C794" s="225">
        <f>B794</f>
        <v>400</v>
      </c>
      <c r="D794" s="225">
        <v>0</v>
      </c>
      <c r="E794" s="226" t="s">
        <v>369</v>
      </c>
      <c r="F794" s="227" t="s">
        <v>702</v>
      </c>
      <c r="G794" s="227" t="s">
        <v>19</v>
      </c>
      <c r="H794" s="228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</row>
    <row r="795" spans="1:26" ht="15.75" customHeight="1" x14ac:dyDescent="0.2">
      <c r="A795" s="224">
        <v>44299</v>
      </c>
      <c r="B795" s="225">
        <v>-54753.49</v>
      </c>
      <c r="C795" s="225">
        <f>B795-D795</f>
        <v>-49775.899999999994</v>
      </c>
      <c r="D795" s="234">
        <f>B795/11</f>
        <v>-4977.59</v>
      </c>
      <c r="E795" s="226" t="s">
        <v>383</v>
      </c>
      <c r="F795" s="227" t="s">
        <v>251</v>
      </c>
      <c r="G795" s="227" t="s">
        <v>384</v>
      </c>
      <c r="H795" s="228" t="s">
        <v>268</v>
      </c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</row>
    <row r="796" spans="1:26" ht="15.75" customHeight="1" x14ac:dyDescent="0.2">
      <c r="A796" s="224">
        <v>44307</v>
      </c>
      <c r="B796" s="225">
        <v>-100</v>
      </c>
      <c r="C796" s="225">
        <f>B796</f>
        <v>-100</v>
      </c>
      <c r="D796" s="225">
        <v>0</v>
      </c>
      <c r="E796" s="226" t="s">
        <v>292</v>
      </c>
      <c r="F796" s="227" t="s">
        <v>702</v>
      </c>
      <c r="G796" s="227" t="s">
        <v>19</v>
      </c>
      <c r="H796" s="228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</row>
    <row r="797" spans="1:26" ht="15.75" customHeight="1" x14ac:dyDescent="0.2">
      <c r="A797" s="224">
        <v>44312</v>
      </c>
      <c r="B797" s="225">
        <v>750</v>
      </c>
      <c r="C797" s="225">
        <f>B797</f>
        <v>750</v>
      </c>
      <c r="D797" s="225">
        <v>0</v>
      </c>
      <c r="E797" s="226" t="s">
        <v>368</v>
      </c>
      <c r="F797" s="227" t="s">
        <v>702</v>
      </c>
      <c r="G797" s="227" t="s">
        <v>39</v>
      </c>
      <c r="H797" s="228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</row>
    <row r="798" spans="1:26" ht="15.75" customHeight="1" x14ac:dyDescent="0.2">
      <c r="A798" s="224">
        <v>44313</v>
      </c>
      <c r="B798" s="225">
        <v>-100418.62</v>
      </c>
      <c r="C798" s="225">
        <f>B798-D798</f>
        <v>-91289.654545454541</v>
      </c>
      <c r="D798" s="234">
        <f>B798/11</f>
        <v>-9128.9654545454541</v>
      </c>
      <c r="E798" s="226" t="s">
        <v>385</v>
      </c>
      <c r="F798" s="227" t="s">
        <v>251</v>
      </c>
      <c r="G798" s="227" t="s">
        <v>386</v>
      </c>
      <c r="H798" s="228" t="s">
        <v>268</v>
      </c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</row>
    <row r="799" spans="1:26" ht="15.75" customHeight="1" x14ac:dyDescent="0.2">
      <c r="A799" s="224">
        <v>44314</v>
      </c>
      <c r="B799" s="226">
        <v>-300</v>
      </c>
      <c r="C799" s="226">
        <v>-300</v>
      </c>
      <c r="D799" s="225">
        <v>0</v>
      </c>
      <c r="E799" s="226" t="s">
        <v>727</v>
      </c>
      <c r="F799" s="226" t="s">
        <v>696</v>
      </c>
      <c r="G799" s="226" t="s">
        <v>720</v>
      </c>
      <c r="H799" s="235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</row>
    <row r="800" spans="1:26" ht="15.75" customHeight="1" x14ac:dyDescent="0.2">
      <c r="A800" s="224">
        <v>44314</v>
      </c>
      <c r="B800" s="226">
        <v>-90</v>
      </c>
      <c r="C800" s="226">
        <v>-90</v>
      </c>
      <c r="D800" s="225">
        <v>0</v>
      </c>
      <c r="E800" s="226"/>
      <c r="F800" s="226" t="s">
        <v>696</v>
      </c>
      <c r="G800" s="226" t="s">
        <v>2</v>
      </c>
      <c r="H800" s="235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</row>
    <row r="801" spans="1:26" ht="15.75" customHeight="1" x14ac:dyDescent="0.2">
      <c r="A801" s="224">
        <v>44314</v>
      </c>
      <c r="B801" s="226">
        <v>-900</v>
      </c>
      <c r="C801" s="226">
        <v>-900</v>
      </c>
      <c r="D801" s="225">
        <v>0</v>
      </c>
      <c r="E801" s="226" t="s">
        <v>748</v>
      </c>
      <c r="F801" s="226" t="s">
        <v>696</v>
      </c>
      <c r="G801" s="226" t="s">
        <v>720</v>
      </c>
      <c r="H801" s="235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</row>
    <row r="802" spans="1:26" ht="15.75" customHeight="1" x14ac:dyDescent="0.2">
      <c r="A802" s="224">
        <v>44316</v>
      </c>
      <c r="B802" s="225">
        <v>-3711.15</v>
      </c>
      <c r="C802" s="225">
        <v>-3711.15</v>
      </c>
      <c r="D802" s="225">
        <v>0</v>
      </c>
      <c r="E802" s="226" t="s">
        <v>792</v>
      </c>
      <c r="F802" s="226" t="s">
        <v>696</v>
      </c>
      <c r="G802" s="226" t="s">
        <v>713</v>
      </c>
      <c r="H802" s="235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</row>
    <row r="803" spans="1:26" ht="15.75" customHeight="1" x14ac:dyDescent="0.2">
      <c r="A803" s="224">
        <v>44316</v>
      </c>
      <c r="B803" s="225">
        <v>-5420.71</v>
      </c>
      <c r="C803" s="225">
        <v>-5420.71</v>
      </c>
      <c r="D803" s="225">
        <v>0</v>
      </c>
      <c r="E803" s="226" t="s">
        <v>793</v>
      </c>
      <c r="F803" s="226" t="s">
        <v>696</v>
      </c>
      <c r="G803" s="226" t="s">
        <v>6</v>
      </c>
      <c r="H803" s="235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</row>
    <row r="804" spans="1:26" ht="15.75" customHeight="1" x14ac:dyDescent="0.2">
      <c r="A804" s="224">
        <v>44321</v>
      </c>
      <c r="B804" s="225">
        <v>-1100</v>
      </c>
      <c r="C804" s="225">
        <f>B804-D804</f>
        <v>-1000</v>
      </c>
      <c r="D804" s="234">
        <f>B804/11</f>
        <v>-100</v>
      </c>
      <c r="E804" s="226" t="s">
        <v>381</v>
      </c>
      <c r="F804" s="227" t="s">
        <v>696</v>
      </c>
      <c r="G804" s="227" t="s">
        <v>381</v>
      </c>
      <c r="H804" s="228" t="s">
        <v>382</v>
      </c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</row>
    <row r="805" spans="1:26" ht="15.75" customHeight="1" x14ac:dyDescent="0.2">
      <c r="A805" s="224">
        <v>44335</v>
      </c>
      <c r="B805" s="226">
        <v>-165</v>
      </c>
      <c r="C805" s="226">
        <v>-165</v>
      </c>
      <c r="D805" s="225">
        <v>0</v>
      </c>
      <c r="E805" s="226" t="s">
        <v>745</v>
      </c>
      <c r="F805" s="226" t="s">
        <v>696</v>
      </c>
      <c r="G805" s="226" t="s">
        <v>6</v>
      </c>
      <c r="H805" s="235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</row>
    <row r="806" spans="1:26" ht="15.75" customHeight="1" x14ac:dyDescent="0.2">
      <c r="A806" s="224">
        <v>44336</v>
      </c>
      <c r="B806" s="225">
        <v>1750</v>
      </c>
      <c r="C806" s="225">
        <f>B806</f>
        <v>1750</v>
      </c>
      <c r="D806" s="225">
        <v>0</v>
      </c>
      <c r="E806" s="226" t="s">
        <v>370</v>
      </c>
      <c r="F806" s="227" t="s">
        <v>702</v>
      </c>
      <c r="G806" s="227" t="s">
        <v>39</v>
      </c>
      <c r="H806" s="228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</row>
    <row r="807" spans="1:26" ht="15.75" customHeight="1" x14ac:dyDescent="0.2">
      <c r="A807" s="224">
        <v>44337</v>
      </c>
      <c r="B807" s="225">
        <v>-100</v>
      </c>
      <c r="C807" s="225">
        <f>B807</f>
        <v>-100</v>
      </c>
      <c r="D807" s="225">
        <v>0</v>
      </c>
      <c r="E807" s="226" t="s">
        <v>292</v>
      </c>
      <c r="F807" s="227" t="s">
        <v>702</v>
      </c>
      <c r="G807" s="227" t="s">
        <v>19</v>
      </c>
      <c r="H807" s="228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</row>
    <row r="808" spans="1:26" ht="15.75" customHeight="1" x14ac:dyDescent="0.2">
      <c r="A808" s="224">
        <v>44340</v>
      </c>
      <c r="B808" s="225">
        <v>1200</v>
      </c>
      <c r="C808" s="225">
        <f>B808</f>
        <v>1200</v>
      </c>
      <c r="D808" s="225">
        <v>0</v>
      </c>
      <c r="E808" s="226" t="s">
        <v>371</v>
      </c>
      <c r="F808" s="227" t="s">
        <v>702</v>
      </c>
      <c r="G808" s="227" t="s">
        <v>19</v>
      </c>
      <c r="H808" s="228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</row>
    <row r="809" spans="1:26" ht="15.75" customHeight="1" x14ac:dyDescent="0.2">
      <c r="A809" s="224">
        <v>44341</v>
      </c>
      <c r="B809" s="225">
        <v>-712.65</v>
      </c>
      <c r="C809" s="225">
        <f>B809</f>
        <v>-712.65</v>
      </c>
      <c r="D809" s="225">
        <v>0</v>
      </c>
      <c r="E809" s="226" t="s">
        <v>306</v>
      </c>
      <c r="F809" s="227" t="s">
        <v>698</v>
      </c>
      <c r="G809" s="227" t="s">
        <v>46</v>
      </c>
      <c r="H809" s="228">
        <v>70</v>
      </c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</row>
    <row r="810" spans="1:26" ht="15.75" customHeight="1" x14ac:dyDescent="0.2">
      <c r="A810" s="224">
        <v>44341</v>
      </c>
      <c r="B810" s="225">
        <v>-283.86</v>
      </c>
      <c r="C810" s="225">
        <f>B810</f>
        <v>-283.86</v>
      </c>
      <c r="D810" s="225">
        <v>0</v>
      </c>
      <c r="E810" s="226" t="s">
        <v>304</v>
      </c>
      <c r="F810" s="227" t="s">
        <v>698</v>
      </c>
      <c r="G810" s="227" t="s">
        <v>74</v>
      </c>
      <c r="H810" s="228">
        <v>68</v>
      </c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</row>
    <row r="811" spans="1:26" ht="15.75" customHeight="1" x14ac:dyDescent="0.2">
      <c r="A811" s="224">
        <v>44347</v>
      </c>
      <c r="B811" s="225">
        <v>-585</v>
      </c>
      <c r="C811" s="225">
        <f>B811</f>
        <v>-585</v>
      </c>
      <c r="D811" s="225">
        <v>0</v>
      </c>
      <c r="E811" s="226" t="s">
        <v>372</v>
      </c>
      <c r="F811" s="227" t="s">
        <v>698</v>
      </c>
      <c r="G811" s="227" t="s">
        <v>243</v>
      </c>
      <c r="H811" s="228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</row>
    <row r="812" spans="1:26" ht="15.75" customHeight="1" x14ac:dyDescent="0.2">
      <c r="A812" s="224">
        <v>44347</v>
      </c>
      <c r="B812" s="225">
        <v>-3834.85</v>
      </c>
      <c r="C812" s="225">
        <v>-3834.85</v>
      </c>
      <c r="D812" s="225">
        <v>0</v>
      </c>
      <c r="E812" s="226" t="s">
        <v>792</v>
      </c>
      <c r="F812" s="226" t="s">
        <v>696</v>
      </c>
      <c r="G812" s="226" t="s">
        <v>713</v>
      </c>
      <c r="H812" s="235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</row>
    <row r="813" spans="1:26" ht="15.75" customHeight="1" x14ac:dyDescent="0.2">
      <c r="A813" s="224">
        <v>44347</v>
      </c>
      <c r="B813" s="225">
        <v>-6398.78</v>
      </c>
      <c r="C813" s="225">
        <v>-6398.78</v>
      </c>
      <c r="D813" s="225">
        <v>0</v>
      </c>
      <c r="E813" s="226" t="s">
        <v>793</v>
      </c>
      <c r="F813" s="226" t="s">
        <v>696</v>
      </c>
      <c r="G813" s="226" t="s">
        <v>6</v>
      </c>
      <c r="H813" s="235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</row>
    <row r="814" spans="1:26" ht="15.75" customHeight="1" x14ac:dyDescent="0.2">
      <c r="A814" s="224">
        <v>44348</v>
      </c>
      <c r="B814" s="225">
        <v>-679.6</v>
      </c>
      <c r="C814" s="225">
        <f>B814</f>
        <v>-679.6</v>
      </c>
      <c r="D814" s="225">
        <v>0</v>
      </c>
      <c r="E814" s="226" t="s">
        <v>300</v>
      </c>
      <c r="F814" s="227" t="s">
        <v>698</v>
      </c>
      <c r="G814" s="227" t="s">
        <v>46</v>
      </c>
      <c r="H814" s="228">
        <v>68</v>
      </c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</row>
    <row r="815" spans="1:26" ht="15.75" customHeight="1" x14ac:dyDescent="0.2">
      <c r="A815" s="224">
        <v>44348</v>
      </c>
      <c r="B815" s="225">
        <v>-287.19</v>
      </c>
      <c r="C815" s="225">
        <f>B815</f>
        <v>-287.19</v>
      </c>
      <c r="D815" s="225">
        <v>0</v>
      </c>
      <c r="E815" s="226" t="s">
        <v>307</v>
      </c>
      <c r="F815" s="227" t="s">
        <v>698</v>
      </c>
      <c r="G815" s="227" t="s">
        <v>74</v>
      </c>
      <c r="H815" s="228">
        <v>70</v>
      </c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</row>
    <row r="816" spans="1:26" ht="15.75" customHeight="1" x14ac:dyDescent="0.2">
      <c r="A816" s="224">
        <v>44361</v>
      </c>
      <c r="B816" s="225">
        <v>-270</v>
      </c>
      <c r="C816" s="225">
        <f>B816</f>
        <v>-270</v>
      </c>
      <c r="D816" s="225">
        <v>0</v>
      </c>
      <c r="E816" s="226" t="s">
        <v>373</v>
      </c>
      <c r="F816" s="227" t="s">
        <v>702</v>
      </c>
      <c r="G816" s="227" t="s">
        <v>19</v>
      </c>
      <c r="H816" s="228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</row>
    <row r="817" spans="1:26" ht="15.75" customHeight="1" x14ac:dyDescent="0.2">
      <c r="A817" s="224">
        <v>44361</v>
      </c>
      <c r="B817" s="225">
        <v>270</v>
      </c>
      <c r="C817" s="225">
        <f>B817</f>
        <v>270</v>
      </c>
      <c r="D817" s="225">
        <v>0</v>
      </c>
      <c r="E817" s="226" t="s">
        <v>374</v>
      </c>
      <c r="F817" s="227" t="s">
        <v>702</v>
      </c>
      <c r="G817" s="227" t="s">
        <v>19</v>
      </c>
      <c r="H817" s="228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</row>
    <row r="818" spans="1:26" ht="15.75" customHeight="1" x14ac:dyDescent="0.2">
      <c r="A818" s="224">
        <v>44368</v>
      </c>
      <c r="B818" s="225">
        <v>-100</v>
      </c>
      <c r="C818" s="225">
        <f>B818</f>
        <v>-100</v>
      </c>
      <c r="D818" s="225">
        <v>0</v>
      </c>
      <c r="E818" s="226" t="s">
        <v>375</v>
      </c>
      <c r="F818" s="227" t="s">
        <v>702</v>
      </c>
      <c r="G818" s="227" t="s">
        <v>19</v>
      </c>
      <c r="H818" s="228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</row>
    <row r="819" spans="1:26" ht="15.75" customHeight="1" x14ac:dyDescent="0.2">
      <c r="A819" s="224">
        <v>44368</v>
      </c>
      <c r="B819" s="225">
        <v>700</v>
      </c>
      <c r="C819" s="225">
        <f>B819</f>
        <v>700</v>
      </c>
      <c r="D819" s="225">
        <v>0</v>
      </c>
      <c r="E819" s="226" t="s">
        <v>376</v>
      </c>
      <c r="F819" s="227" t="s">
        <v>702</v>
      </c>
      <c r="G819" s="227" t="s">
        <v>19</v>
      </c>
      <c r="H819" s="228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</row>
    <row r="820" spans="1:26" ht="15.75" customHeight="1" x14ac:dyDescent="0.2">
      <c r="A820" s="224">
        <v>44368</v>
      </c>
      <c r="B820" s="225">
        <f>C820+D820</f>
        <v>-53728.653000000006</v>
      </c>
      <c r="C820" s="225">
        <v>-48844.23</v>
      </c>
      <c r="D820" s="234">
        <f>C820*0.1</f>
        <v>-4884.4230000000007</v>
      </c>
      <c r="E820" s="226" t="s">
        <v>387</v>
      </c>
      <c r="F820" s="227" t="s">
        <v>251</v>
      </c>
      <c r="G820" s="227" t="s">
        <v>388</v>
      </c>
      <c r="H820" s="228" t="s">
        <v>268</v>
      </c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</row>
    <row r="821" spans="1:26" ht="15.75" customHeight="1" x14ac:dyDescent="0.2">
      <c r="A821" s="224">
        <v>44368</v>
      </c>
      <c r="B821" s="225">
        <f ca="1">C821+D821</f>
        <v>-11844</v>
      </c>
      <c r="C821" s="225">
        <f ca="1">B821-D821</f>
        <v>-10767.272727272728</v>
      </c>
      <c r="D821" s="234">
        <f ca="1">C821*0.1</f>
        <v>-1076.7272727272727</v>
      </c>
      <c r="E821" s="226" t="s">
        <v>379</v>
      </c>
      <c r="F821" s="227" t="s">
        <v>251</v>
      </c>
      <c r="G821" s="227" t="s">
        <v>380</v>
      </c>
      <c r="H821" s="228" t="s">
        <v>268</v>
      </c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</row>
    <row r="822" spans="1:26" ht="15.75" customHeight="1" x14ac:dyDescent="0.2">
      <c r="A822" s="224">
        <v>44369</v>
      </c>
      <c r="B822" s="225">
        <v>-733.27</v>
      </c>
      <c r="C822" s="225">
        <f>B822</f>
        <v>-733.27</v>
      </c>
      <c r="D822" s="225">
        <v>0</v>
      </c>
      <c r="E822" s="226" t="s">
        <v>377</v>
      </c>
      <c r="F822" s="227" t="s">
        <v>698</v>
      </c>
      <c r="G822" s="227" t="s">
        <v>243</v>
      </c>
      <c r="H822" s="228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</row>
    <row r="823" spans="1:26" ht="15.75" customHeight="1" x14ac:dyDescent="0.2">
      <c r="A823" s="224">
        <v>44369</v>
      </c>
      <c r="B823" s="226">
        <v>-300</v>
      </c>
      <c r="C823" s="226">
        <v>-300</v>
      </c>
      <c r="D823" s="225">
        <v>0</v>
      </c>
      <c r="E823" s="226" t="s">
        <v>743</v>
      </c>
      <c r="F823" s="226" t="s">
        <v>696</v>
      </c>
      <c r="G823" s="226" t="s">
        <v>720</v>
      </c>
      <c r="H823" s="235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</row>
    <row r="824" spans="1:26" ht="15.75" customHeight="1" x14ac:dyDescent="0.2">
      <c r="A824" s="224">
        <v>44375</v>
      </c>
      <c r="B824" s="225">
        <v>1100</v>
      </c>
      <c r="C824" s="225">
        <f>B824</f>
        <v>1100</v>
      </c>
      <c r="D824" s="225">
        <v>0</v>
      </c>
      <c r="E824" s="226" t="s">
        <v>378</v>
      </c>
      <c r="F824" s="227" t="s">
        <v>702</v>
      </c>
      <c r="G824" s="227" t="s">
        <v>39</v>
      </c>
      <c r="H824" s="228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</row>
    <row r="825" spans="1:26" ht="15.75" customHeight="1" x14ac:dyDescent="0.2">
      <c r="A825" s="224">
        <v>44375</v>
      </c>
      <c r="B825" s="225">
        <v>-773.85</v>
      </c>
      <c r="C825" s="225">
        <f>B825-D825</f>
        <v>-703.5</v>
      </c>
      <c r="D825" s="234">
        <f>B825/11</f>
        <v>-70.350000000000009</v>
      </c>
      <c r="E825" s="226" t="s">
        <v>348</v>
      </c>
      <c r="F825" s="227" t="s">
        <v>251</v>
      </c>
      <c r="G825" s="227" t="s">
        <v>389</v>
      </c>
      <c r="H825" s="228" t="s">
        <v>349</v>
      </c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</row>
    <row r="826" spans="1:26" ht="15.75" customHeight="1" x14ac:dyDescent="0.2">
      <c r="A826" s="224">
        <v>44375</v>
      </c>
      <c r="B826" s="225">
        <v>-1100</v>
      </c>
      <c r="C826" s="225">
        <f>B826-D826</f>
        <v>-1000</v>
      </c>
      <c r="D826" s="234">
        <f>B826/11</f>
        <v>-100</v>
      </c>
      <c r="E826" s="226" t="s">
        <v>381</v>
      </c>
      <c r="F826" s="227" t="s">
        <v>696</v>
      </c>
      <c r="G826" s="227" t="s">
        <v>381</v>
      </c>
      <c r="H826" s="228" t="s">
        <v>382</v>
      </c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</row>
    <row r="827" spans="1:26" ht="15.75" customHeight="1" x14ac:dyDescent="0.2">
      <c r="A827" s="224">
        <v>44377</v>
      </c>
      <c r="B827" s="225">
        <v>-3711.15</v>
      </c>
      <c r="C827" s="225">
        <v>-3711.15</v>
      </c>
      <c r="D827" s="225">
        <v>0</v>
      </c>
      <c r="E827" s="226" t="s">
        <v>792</v>
      </c>
      <c r="F827" s="226" t="s">
        <v>696</v>
      </c>
      <c r="G827" s="226" t="s">
        <v>713</v>
      </c>
      <c r="H827" s="235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</row>
    <row r="828" spans="1:26" ht="15.75" customHeight="1" x14ac:dyDescent="0.2">
      <c r="A828" s="224">
        <v>44377</v>
      </c>
      <c r="B828" s="225">
        <v>-6399.15</v>
      </c>
      <c r="C828" s="225">
        <v>-6399.15</v>
      </c>
      <c r="D828" s="225">
        <v>0</v>
      </c>
      <c r="E828" s="226" t="s">
        <v>793</v>
      </c>
      <c r="F828" s="226" t="s">
        <v>696</v>
      </c>
      <c r="G828" s="226" t="s">
        <v>6</v>
      </c>
      <c r="H828" s="235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</row>
    <row r="829" spans="1:26" ht="15.75" customHeight="1" x14ac:dyDescent="0.2">
      <c r="A829" s="224">
        <v>44382</v>
      </c>
      <c r="B829" s="225">
        <v>-601.32000000000005</v>
      </c>
      <c r="C829" s="225">
        <f>B829</f>
        <v>-601.32000000000005</v>
      </c>
      <c r="D829" s="225">
        <v>0</v>
      </c>
      <c r="E829" s="226" t="s">
        <v>390</v>
      </c>
      <c r="F829" s="227" t="s">
        <v>698</v>
      </c>
      <c r="G829" s="227" t="s">
        <v>391</v>
      </c>
      <c r="H829" s="228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</row>
    <row r="830" spans="1:26" ht="15.75" customHeight="1" x14ac:dyDescent="0.2">
      <c r="A830" s="224">
        <v>44408</v>
      </c>
      <c r="B830" s="225">
        <v>-3834.85</v>
      </c>
      <c r="C830" s="225">
        <v>-3834.85</v>
      </c>
      <c r="D830" s="225">
        <v>0</v>
      </c>
      <c r="E830" s="226" t="s">
        <v>792</v>
      </c>
      <c r="F830" s="226" t="s">
        <v>696</v>
      </c>
      <c r="G830" s="226" t="s">
        <v>713</v>
      </c>
      <c r="H830" s="235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</row>
    <row r="831" spans="1:26" ht="15.75" customHeight="1" x14ac:dyDescent="0.2">
      <c r="A831" s="224">
        <v>44408</v>
      </c>
      <c r="B831" s="225">
        <v>-7007.32</v>
      </c>
      <c r="C831" s="225">
        <v>-7007.32</v>
      </c>
      <c r="D831" s="225">
        <v>0</v>
      </c>
      <c r="E831" s="226" t="s">
        <v>793</v>
      </c>
      <c r="F831" s="226" t="s">
        <v>696</v>
      </c>
      <c r="G831" s="226" t="s">
        <v>6</v>
      </c>
      <c r="H831" s="235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</row>
    <row r="832" spans="1:26" ht="15.75" customHeight="1" x14ac:dyDescent="0.2">
      <c r="A832" s="224">
        <v>44438</v>
      </c>
      <c r="B832" s="225">
        <v>-715</v>
      </c>
      <c r="C832" s="225">
        <f>B832-D832</f>
        <v>-650</v>
      </c>
      <c r="D832" s="234">
        <f>B832/11</f>
        <v>-65</v>
      </c>
      <c r="E832" s="226" t="s">
        <v>202</v>
      </c>
      <c r="F832" s="227" t="s">
        <v>697</v>
      </c>
      <c r="G832" s="227" t="s">
        <v>392</v>
      </c>
      <c r="H832" s="228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</row>
    <row r="833" spans="1:26" ht="15.75" customHeight="1" x14ac:dyDescent="0.2">
      <c r="A833" s="224">
        <v>44438</v>
      </c>
      <c r="B833" s="225">
        <v>-700</v>
      </c>
      <c r="C833" s="225">
        <f>B833-D833</f>
        <v>-636.36363636363637</v>
      </c>
      <c r="D833" s="234">
        <f>B833/11</f>
        <v>-63.636363636363633</v>
      </c>
      <c r="E833" s="226" t="s">
        <v>202</v>
      </c>
      <c r="F833" s="227" t="s">
        <v>697</v>
      </c>
      <c r="G833" s="227" t="s">
        <v>392</v>
      </c>
      <c r="H833" s="228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</row>
    <row r="834" spans="1:26" ht="15.75" customHeight="1" x14ac:dyDescent="0.2">
      <c r="A834" s="224">
        <v>44439</v>
      </c>
      <c r="B834" s="225">
        <v>-97185.3</v>
      </c>
      <c r="C834" s="225">
        <f>B834-D834</f>
        <v>-88350.272727272735</v>
      </c>
      <c r="D834" s="234">
        <f>B834/11</f>
        <v>-8835.0272727272732</v>
      </c>
      <c r="E834" s="226" t="s">
        <v>387</v>
      </c>
      <c r="F834" s="227" t="s">
        <v>251</v>
      </c>
      <c r="G834" s="227" t="s">
        <v>388</v>
      </c>
      <c r="H834" s="228" t="s">
        <v>268</v>
      </c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</row>
    <row r="835" spans="1:26" ht="15.75" customHeight="1" x14ac:dyDescent="0.2">
      <c r="A835" s="224">
        <v>44439</v>
      </c>
      <c r="B835" s="225">
        <v>-3834.85</v>
      </c>
      <c r="C835" s="225">
        <v>-3834.85</v>
      </c>
      <c r="D835" s="225">
        <v>0</v>
      </c>
      <c r="E835" s="226" t="s">
        <v>792</v>
      </c>
      <c r="F835" s="226" t="s">
        <v>696</v>
      </c>
      <c r="G835" s="226" t="s">
        <v>713</v>
      </c>
      <c r="H835" s="235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</row>
    <row r="836" spans="1:26" ht="15.75" customHeight="1" x14ac:dyDescent="0.2">
      <c r="A836" s="224">
        <v>44439</v>
      </c>
      <c r="B836" s="225">
        <v>-7089.5</v>
      </c>
      <c r="C836" s="225">
        <v>-7089.5</v>
      </c>
      <c r="D836" s="225">
        <v>0</v>
      </c>
      <c r="E836" s="226" t="s">
        <v>793</v>
      </c>
      <c r="F836" s="226" t="s">
        <v>696</v>
      </c>
      <c r="G836" s="226" t="s">
        <v>6</v>
      </c>
      <c r="H836" s="235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</row>
    <row r="837" spans="1:26" ht="15.75" customHeight="1" x14ac:dyDescent="0.2">
      <c r="A837" s="224">
        <v>44441</v>
      </c>
      <c r="B837" s="226">
        <v>-300</v>
      </c>
      <c r="C837" s="226">
        <v>-300</v>
      </c>
      <c r="D837" s="225">
        <v>0</v>
      </c>
      <c r="E837" s="226" t="s">
        <v>739</v>
      </c>
      <c r="F837" s="226" t="s">
        <v>696</v>
      </c>
      <c r="G837" s="226" t="s">
        <v>720</v>
      </c>
      <c r="H837" s="235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</row>
    <row r="838" spans="1:26" ht="15.75" customHeight="1" x14ac:dyDescent="0.2">
      <c r="A838" s="224">
        <v>44445</v>
      </c>
      <c r="B838" s="225">
        <v>-1100</v>
      </c>
      <c r="C838" s="225">
        <f>B838-D838</f>
        <v>-1000</v>
      </c>
      <c r="D838" s="234">
        <f>B838/11</f>
        <v>-100</v>
      </c>
      <c r="E838" s="226" t="s">
        <v>381</v>
      </c>
      <c r="F838" s="227" t="s">
        <v>696</v>
      </c>
      <c r="G838" s="227" t="s">
        <v>381</v>
      </c>
      <c r="H838" s="228" t="s">
        <v>382</v>
      </c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</row>
    <row r="839" spans="1:26" ht="15.75" customHeight="1" x14ac:dyDescent="0.2">
      <c r="A839" s="224">
        <v>44469</v>
      </c>
      <c r="B839" s="225">
        <v>-3711.15</v>
      </c>
      <c r="C839" s="225">
        <v>-3711.15</v>
      </c>
      <c r="D839" s="225">
        <v>0</v>
      </c>
      <c r="E839" s="226" t="s">
        <v>792</v>
      </c>
      <c r="F839" s="226" t="s">
        <v>696</v>
      </c>
      <c r="G839" s="226" t="s">
        <v>713</v>
      </c>
      <c r="H839" s="235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</row>
    <row r="840" spans="1:26" ht="15.75" customHeight="1" x14ac:dyDescent="0.2">
      <c r="A840" s="224">
        <v>44469</v>
      </c>
      <c r="B840" s="225">
        <v>-7571.56</v>
      </c>
      <c r="C840" s="225">
        <v>-7571.56</v>
      </c>
      <c r="D840" s="225">
        <v>0</v>
      </c>
      <c r="E840" s="226" t="s">
        <v>793</v>
      </c>
      <c r="F840" s="226" t="s">
        <v>696</v>
      </c>
      <c r="G840" s="226" t="s">
        <v>6</v>
      </c>
      <c r="H840" s="235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</row>
    <row r="841" spans="1:26" ht="15.75" customHeight="1" x14ac:dyDescent="0.2">
      <c r="A841" s="224">
        <v>44489</v>
      </c>
      <c r="B841" s="225">
        <v>-525.70000000000005</v>
      </c>
      <c r="C841" s="225">
        <f>B841</f>
        <v>-525.70000000000005</v>
      </c>
      <c r="D841" s="225">
        <v>0</v>
      </c>
      <c r="E841" s="226" t="s">
        <v>243</v>
      </c>
      <c r="F841" s="227" t="s">
        <v>698</v>
      </c>
      <c r="G841" s="227" t="s">
        <v>243</v>
      </c>
      <c r="H841" s="228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</row>
    <row r="842" spans="1:26" ht="15.75" customHeight="1" x14ac:dyDescent="0.2">
      <c r="A842" s="224">
        <v>44489</v>
      </c>
      <c r="B842" s="225">
        <v>-221.01</v>
      </c>
      <c r="C842" s="225">
        <f>B842</f>
        <v>-221.01</v>
      </c>
      <c r="D842" s="225">
        <v>0</v>
      </c>
      <c r="E842" s="226" t="s">
        <v>390</v>
      </c>
      <c r="F842" s="227" t="s">
        <v>698</v>
      </c>
      <c r="G842" s="227" t="s">
        <v>391</v>
      </c>
      <c r="H842" s="228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</row>
    <row r="843" spans="1:26" ht="15.75" customHeight="1" x14ac:dyDescent="0.2">
      <c r="A843" s="224">
        <v>44489</v>
      </c>
      <c r="B843" s="225">
        <v>-214.12</v>
      </c>
      <c r="C843" s="225">
        <f>B843</f>
        <v>-214.12</v>
      </c>
      <c r="D843" s="225">
        <v>0</v>
      </c>
      <c r="E843" s="226" t="s">
        <v>390</v>
      </c>
      <c r="F843" s="227" t="s">
        <v>698</v>
      </c>
      <c r="G843" s="227" t="s">
        <v>391</v>
      </c>
      <c r="H843" s="228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</row>
    <row r="844" spans="1:26" ht="15.75" customHeight="1" x14ac:dyDescent="0.2">
      <c r="A844" s="224">
        <v>44500</v>
      </c>
      <c r="B844" s="225">
        <v>-3834.85</v>
      </c>
      <c r="C844" s="225">
        <v>-3834.85</v>
      </c>
      <c r="D844" s="225">
        <v>0</v>
      </c>
      <c r="E844" s="226" t="s">
        <v>792</v>
      </c>
      <c r="F844" s="226" t="s">
        <v>696</v>
      </c>
      <c r="G844" s="226" t="s">
        <v>713</v>
      </c>
      <c r="H844" s="235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</row>
    <row r="845" spans="1:26" ht="15.75" customHeight="1" x14ac:dyDescent="0.2">
      <c r="A845" s="224">
        <v>44500</v>
      </c>
      <c r="B845" s="225">
        <v>-7932.17</v>
      </c>
      <c r="C845" s="225">
        <v>-7932.17</v>
      </c>
      <c r="D845" s="225">
        <v>0</v>
      </c>
      <c r="E845" s="226" t="s">
        <v>793</v>
      </c>
      <c r="F845" s="226" t="s">
        <v>696</v>
      </c>
      <c r="G845" s="226" t="s">
        <v>6</v>
      </c>
      <c r="H845" s="235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</row>
    <row r="846" spans="1:26" ht="15.75" customHeight="1" x14ac:dyDescent="0.2">
      <c r="A846" s="224">
        <v>44530</v>
      </c>
      <c r="B846" s="225">
        <v>-3711.15</v>
      </c>
      <c r="C846" s="225">
        <v>-3711.15</v>
      </c>
      <c r="D846" s="225">
        <v>0</v>
      </c>
      <c r="E846" s="226" t="s">
        <v>792</v>
      </c>
      <c r="F846" s="226" t="s">
        <v>696</v>
      </c>
      <c r="G846" s="226" t="s">
        <v>713</v>
      </c>
      <c r="H846" s="235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</row>
    <row r="847" spans="1:26" ht="15.75" customHeight="1" x14ac:dyDescent="0.2">
      <c r="A847" s="224">
        <v>44530</v>
      </c>
      <c r="B847" s="225">
        <v>-7762.85</v>
      </c>
      <c r="C847" s="225">
        <v>-7762.85</v>
      </c>
      <c r="D847" s="225">
        <v>0</v>
      </c>
      <c r="E847" s="226" t="s">
        <v>793</v>
      </c>
      <c r="F847" s="226" t="s">
        <v>696</v>
      </c>
      <c r="G847" s="226" t="s">
        <v>6</v>
      </c>
      <c r="H847" s="235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</row>
    <row r="848" spans="1:26" ht="15.75" customHeight="1" x14ac:dyDescent="0.2">
      <c r="A848" s="224">
        <v>44543</v>
      </c>
      <c r="B848" s="225">
        <v>-365.2</v>
      </c>
      <c r="C848" s="225">
        <f>B848</f>
        <v>-365.2</v>
      </c>
      <c r="D848" s="225">
        <v>0</v>
      </c>
      <c r="E848" s="226" t="s">
        <v>390</v>
      </c>
      <c r="F848" s="227" t="s">
        <v>698</v>
      </c>
      <c r="G848" s="227" t="s">
        <v>391</v>
      </c>
      <c r="H848" s="228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</row>
    <row r="849" spans="1:26" ht="15.75" customHeight="1" x14ac:dyDescent="0.2">
      <c r="A849" s="224">
        <v>44543</v>
      </c>
      <c r="B849" s="225">
        <v>-348.04</v>
      </c>
      <c r="C849" s="225">
        <f>B849</f>
        <v>-348.04</v>
      </c>
      <c r="D849" s="225">
        <v>0</v>
      </c>
      <c r="E849" s="226" t="s">
        <v>390</v>
      </c>
      <c r="F849" s="227" t="s">
        <v>698</v>
      </c>
      <c r="G849" s="227" t="s">
        <v>391</v>
      </c>
      <c r="H849" s="228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</row>
    <row r="850" spans="1:26" ht="15.75" customHeight="1" x14ac:dyDescent="0.2">
      <c r="A850" s="224">
        <v>44561</v>
      </c>
      <c r="B850" s="225">
        <v>-3834.85</v>
      </c>
      <c r="C850" s="225">
        <v>-3834.85</v>
      </c>
      <c r="D850" s="225">
        <v>0</v>
      </c>
      <c r="E850" s="226" t="s">
        <v>792</v>
      </c>
      <c r="F850" s="226" t="s">
        <v>696</v>
      </c>
      <c r="G850" s="226" t="s">
        <v>713</v>
      </c>
      <c r="H850" s="235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</row>
    <row r="851" spans="1:26" ht="15.75" customHeight="1" x14ac:dyDescent="0.2">
      <c r="A851" s="224">
        <v>44561</v>
      </c>
      <c r="B851" s="225">
        <v>-8108.83</v>
      </c>
      <c r="C851" s="225">
        <v>-8108.83</v>
      </c>
      <c r="D851" s="225">
        <v>0</v>
      </c>
      <c r="E851" s="226" t="s">
        <v>793</v>
      </c>
      <c r="F851" s="226" t="s">
        <v>696</v>
      </c>
      <c r="G851" s="226" t="s">
        <v>6</v>
      </c>
      <c r="H851" s="235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</row>
    <row r="852" spans="1:26" ht="15.75" customHeight="1" x14ac:dyDescent="0.2">
      <c r="A852" s="224">
        <v>44571</v>
      </c>
      <c r="B852" s="225">
        <v>-521.4</v>
      </c>
      <c r="C852" s="225">
        <f>B852-D852</f>
        <v>-474</v>
      </c>
      <c r="D852" s="234">
        <f>B852/11</f>
        <v>-47.4</v>
      </c>
      <c r="E852" s="226" t="s">
        <v>202</v>
      </c>
      <c r="F852" s="227" t="s">
        <v>697</v>
      </c>
      <c r="G852" s="227" t="s">
        <v>393</v>
      </c>
      <c r="H852" s="228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</row>
    <row r="853" spans="1:26" ht="15.75" customHeight="1" x14ac:dyDescent="0.2">
      <c r="A853" s="224">
        <v>44574</v>
      </c>
      <c r="B853" s="225">
        <v>-1500</v>
      </c>
      <c r="C853" s="225">
        <f>B853-D853</f>
        <v>-1363.6363636363635</v>
      </c>
      <c r="D853" s="234">
        <f>B853/11</f>
        <v>-136.36363636363637</v>
      </c>
      <c r="E853" s="226" t="s">
        <v>202</v>
      </c>
      <c r="F853" s="227" t="s">
        <v>697</v>
      </c>
      <c r="G853" s="227" t="s">
        <v>394</v>
      </c>
      <c r="H853" s="228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</row>
    <row r="854" spans="1:26" ht="15.75" customHeight="1" x14ac:dyDescent="0.2">
      <c r="A854" s="224">
        <v>44578</v>
      </c>
      <c r="B854" s="225">
        <v>-2866.25</v>
      </c>
      <c r="C854" s="225">
        <f>B854-D854</f>
        <v>-2605.681818181818</v>
      </c>
      <c r="D854" s="234">
        <f>B854/11</f>
        <v>-260.56818181818181</v>
      </c>
      <c r="E854" s="226" t="s">
        <v>202</v>
      </c>
      <c r="F854" s="227" t="s">
        <v>697</v>
      </c>
      <c r="G854" s="227" t="s">
        <v>393</v>
      </c>
      <c r="H854" s="228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</row>
    <row r="855" spans="1:26" ht="15.75" customHeight="1" x14ac:dyDescent="0.2">
      <c r="A855" s="224">
        <v>44578</v>
      </c>
      <c r="B855" s="225">
        <v>-1500</v>
      </c>
      <c r="C855" s="225">
        <f>B855-D855</f>
        <v>-1363.6363636363635</v>
      </c>
      <c r="D855" s="234">
        <f>B855/11</f>
        <v>-136.36363636363637</v>
      </c>
      <c r="E855" s="226" t="s">
        <v>202</v>
      </c>
      <c r="F855" s="227" t="s">
        <v>697</v>
      </c>
      <c r="G855" s="227" t="s">
        <v>394</v>
      </c>
      <c r="H855" s="228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</row>
    <row r="856" spans="1:26" ht="15.75" customHeight="1" x14ac:dyDescent="0.2">
      <c r="A856" s="236">
        <v>44578</v>
      </c>
      <c r="B856" s="237">
        <v>-98198.69</v>
      </c>
      <c r="C856" s="237">
        <f>B856-D856</f>
        <v>-89271.536363636362</v>
      </c>
      <c r="D856" s="271">
        <f>B856/11</f>
        <v>-8927.1536363636369</v>
      </c>
      <c r="E856" s="226" t="s">
        <v>387</v>
      </c>
      <c r="F856" s="260" t="s">
        <v>251</v>
      </c>
      <c r="G856" s="260" t="s">
        <v>388</v>
      </c>
      <c r="H856" s="261" t="s">
        <v>268</v>
      </c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</row>
    <row r="857" spans="1:26" ht="15.75" customHeight="1" x14ac:dyDescent="0.2">
      <c r="A857" s="238">
        <v>44582</v>
      </c>
      <c r="B857" s="239">
        <v>-273.05</v>
      </c>
      <c r="C857" s="239">
        <f>B857</f>
        <v>-273.05</v>
      </c>
      <c r="D857" s="239">
        <v>0</v>
      </c>
      <c r="E857" s="226" t="s">
        <v>390</v>
      </c>
      <c r="F857" s="243" t="s">
        <v>698</v>
      </c>
      <c r="G857" s="243" t="s">
        <v>391</v>
      </c>
      <c r="H857" s="244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</row>
    <row r="858" spans="1:26" ht="15.75" customHeight="1" x14ac:dyDescent="0.2">
      <c r="A858" s="238">
        <v>44582</v>
      </c>
      <c r="B858" s="240">
        <v>-300</v>
      </c>
      <c r="C858" s="240">
        <v>-300</v>
      </c>
      <c r="D858" s="239">
        <v>0</v>
      </c>
      <c r="E858" s="240" t="s">
        <v>738</v>
      </c>
      <c r="F858" s="240" t="s">
        <v>696</v>
      </c>
      <c r="G858" s="240" t="s">
        <v>720</v>
      </c>
      <c r="H858" s="241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</row>
    <row r="859" spans="1:26" ht="15.75" customHeight="1" x14ac:dyDescent="0.2">
      <c r="A859" s="238">
        <v>44590</v>
      </c>
      <c r="B859" s="239">
        <v>-1100</v>
      </c>
      <c r="C859" s="239">
        <f>B859-D859</f>
        <v>-1000</v>
      </c>
      <c r="D859" s="242">
        <f>B859/11</f>
        <v>-100</v>
      </c>
      <c r="E859" s="240" t="s">
        <v>381</v>
      </c>
      <c r="F859" s="243" t="s">
        <v>696</v>
      </c>
      <c r="G859" s="243" t="s">
        <v>381</v>
      </c>
      <c r="H859" s="244" t="s">
        <v>382</v>
      </c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</row>
    <row r="860" spans="1:26" ht="15.75" customHeight="1" x14ac:dyDescent="0.2">
      <c r="A860" s="238">
        <v>44592</v>
      </c>
      <c r="B860" s="239">
        <v>-3900</v>
      </c>
      <c r="C860" s="239">
        <f>B860-D860</f>
        <v>-3545.4545454545455</v>
      </c>
      <c r="D860" s="242">
        <f>B860/11</f>
        <v>-354.54545454545456</v>
      </c>
      <c r="E860" s="226" t="s">
        <v>395</v>
      </c>
      <c r="F860" s="243" t="s">
        <v>396</v>
      </c>
      <c r="G860" s="243" t="s">
        <v>397</v>
      </c>
      <c r="H860" s="244" t="s">
        <v>398</v>
      </c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</row>
    <row r="861" spans="1:26" ht="15.75" customHeight="1" x14ac:dyDescent="0.2">
      <c r="A861" s="238">
        <v>44592</v>
      </c>
      <c r="B861" s="239">
        <v>-3834.85</v>
      </c>
      <c r="C861" s="239">
        <v>-3834.85</v>
      </c>
      <c r="D861" s="239">
        <v>0</v>
      </c>
      <c r="E861" s="226" t="s">
        <v>792</v>
      </c>
      <c r="F861" s="240" t="s">
        <v>696</v>
      </c>
      <c r="G861" s="240" t="s">
        <v>713</v>
      </c>
      <c r="H861" s="241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</row>
    <row r="862" spans="1:26" ht="15.75" customHeight="1" x14ac:dyDescent="0.2">
      <c r="A862" s="238">
        <v>44592</v>
      </c>
      <c r="B862" s="239">
        <v>-8441.2199999999993</v>
      </c>
      <c r="C862" s="239">
        <v>-8441.2199999999993</v>
      </c>
      <c r="D862" s="239">
        <v>0</v>
      </c>
      <c r="E862" s="240" t="s">
        <v>793</v>
      </c>
      <c r="F862" s="240" t="s">
        <v>696</v>
      </c>
      <c r="G862" s="240" t="s">
        <v>6</v>
      </c>
      <c r="H862" s="241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</row>
    <row r="863" spans="1:26" ht="15.75" customHeight="1" x14ac:dyDescent="0.2">
      <c r="A863" s="238">
        <v>44602</v>
      </c>
      <c r="B863" s="239">
        <v>-625</v>
      </c>
      <c r="C863" s="239">
        <f>B863-D863</f>
        <v>-568.18181818181813</v>
      </c>
      <c r="D863" s="242">
        <f>B863/11</f>
        <v>-56.81818181818182</v>
      </c>
      <c r="E863" s="240" t="s">
        <v>202</v>
      </c>
      <c r="F863" s="243" t="s">
        <v>697</v>
      </c>
      <c r="G863" s="243" t="s">
        <v>394</v>
      </c>
      <c r="H863" s="244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</row>
    <row r="864" spans="1:26" ht="15.75" customHeight="1" x14ac:dyDescent="0.2">
      <c r="A864" s="238">
        <v>44603</v>
      </c>
      <c r="B864" s="239">
        <v>-2085.6</v>
      </c>
      <c r="C864" s="239">
        <f>B864-D864</f>
        <v>-1896</v>
      </c>
      <c r="D864" s="242">
        <f>B864/11</f>
        <v>-189.6</v>
      </c>
      <c r="E864" s="240" t="s">
        <v>202</v>
      </c>
      <c r="F864" s="243" t="s">
        <v>697</v>
      </c>
      <c r="G864" s="243" t="s">
        <v>393</v>
      </c>
      <c r="H864" s="244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</row>
    <row r="865" spans="1:26" ht="15.75" customHeight="1" x14ac:dyDescent="0.2">
      <c r="A865" s="266">
        <v>44608</v>
      </c>
      <c r="B865" s="239">
        <v>-710</v>
      </c>
      <c r="C865" s="239">
        <f>B865-D865</f>
        <v>-645.4545454545455</v>
      </c>
      <c r="D865" s="242">
        <f>B865/11</f>
        <v>-64.545454545454547</v>
      </c>
      <c r="E865" s="239" t="s">
        <v>394</v>
      </c>
      <c r="F865" s="243" t="s">
        <v>697</v>
      </c>
      <c r="G865" s="240" t="s">
        <v>394</v>
      </c>
      <c r="H865" s="240"/>
      <c r="I865" s="263" t="s">
        <v>480</v>
      </c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</row>
    <row r="866" spans="1:26" ht="15.75" customHeight="1" x14ac:dyDescent="0.2">
      <c r="A866" s="238">
        <v>44620</v>
      </c>
      <c r="B866" s="239">
        <v>-3463.74</v>
      </c>
      <c r="C866" s="239">
        <v>-3463.74</v>
      </c>
      <c r="D866" s="239">
        <v>0</v>
      </c>
      <c r="E866" s="226" t="s">
        <v>792</v>
      </c>
      <c r="F866" s="240" t="s">
        <v>696</v>
      </c>
      <c r="G866" s="240" t="s">
        <v>713</v>
      </c>
      <c r="H866" s="241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</row>
    <row r="867" spans="1:26" ht="15.75" customHeight="1" x14ac:dyDescent="0.2">
      <c r="A867" s="238">
        <v>44620</v>
      </c>
      <c r="B867" s="239">
        <v>-8105.37</v>
      </c>
      <c r="C867" s="239">
        <v>-8105.37</v>
      </c>
      <c r="D867" s="239">
        <v>0</v>
      </c>
      <c r="E867" s="226" t="s">
        <v>793</v>
      </c>
      <c r="F867" s="240" t="s">
        <v>696</v>
      </c>
      <c r="G867" s="240" t="s">
        <v>6</v>
      </c>
      <c r="H867" s="241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</row>
    <row r="868" spans="1:26" ht="15.75" customHeight="1" x14ac:dyDescent="0.2">
      <c r="A868" s="238">
        <v>44629</v>
      </c>
      <c r="B868" s="239">
        <v>-3120</v>
      </c>
      <c r="C868" s="239">
        <f>B868-D868</f>
        <v>-2836.3636363636365</v>
      </c>
      <c r="D868" s="242">
        <f>B868/11</f>
        <v>-283.63636363636363</v>
      </c>
      <c r="E868" s="240" t="s">
        <v>395</v>
      </c>
      <c r="F868" s="243" t="s">
        <v>396</v>
      </c>
      <c r="G868" s="243" t="s">
        <v>397</v>
      </c>
      <c r="H868" s="244" t="s">
        <v>398</v>
      </c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</row>
    <row r="869" spans="1:26" ht="15.75" customHeight="1" x14ac:dyDescent="0.2">
      <c r="A869" s="238">
        <v>44637</v>
      </c>
      <c r="B869" s="239">
        <v>-2346</v>
      </c>
      <c r="C869" s="239">
        <f>B869-D869</f>
        <v>-2132.7272727272725</v>
      </c>
      <c r="D869" s="242">
        <f>B869/11</f>
        <v>-213.27272727272728</v>
      </c>
      <c r="E869" s="240" t="s">
        <v>202</v>
      </c>
      <c r="F869" s="243" t="s">
        <v>697</v>
      </c>
      <c r="G869" s="243" t="s">
        <v>393</v>
      </c>
      <c r="H869" s="244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</row>
    <row r="870" spans="1:26" ht="15.75" customHeight="1" x14ac:dyDescent="0.2">
      <c r="A870" s="238">
        <v>44637</v>
      </c>
      <c r="B870" s="239">
        <v>-67995.25</v>
      </c>
      <c r="C870" s="239">
        <f>B870-D870</f>
        <v>-61813.863636363632</v>
      </c>
      <c r="D870" s="242">
        <f>B870/11</f>
        <v>-6181.386363636364</v>
      </c>
      <c r="E870" s="240" t="s">
        <v>399</v>
      </c>
      <c r="F870" s="243" t="s">
        <v>251</v>
      </c>
      <c r="G870" s="243" t="s">
        <v>400</v>
      </c>
      <c r="H870" s="244" t="s">
        <v>268</v>
      </c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</row>
    <row r="871" spans="1:26" ht="15.75" customHeight="1" x14ac:dyDescent="0.2">
      <c r="A871" s="238">
        <v>44637</v>
      </c>
      <c r="B871" s="240">
        <v>-300</v>
      </c>
      <c r="C871" s="240">
        <v>-300</v>
      </c>
      <c r="D871" s="239">
        <v>0</v>
      </c>
      <c r="E871" s="240" t="s">
        <v>736</v>
      </c>
      <c r="F871" s="240" t="s">
        <v>696</v>
      </c>
      <c r="G871" s="240" t="s">
        <v>720</v>
      </c>
      <c r="H871" s="241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</row>
    <row r="872" spans="1:26" ht="15.75" customHeight="1" x14ac:dyDescent="0.2">
      <c r="A872" s="238">
        <v>44651</v>
      </c>
      <c r="B872" s="239">
        <v>-3834.85</v>
      </c>
      <c r="C872" s="239">
        <v>-3834.85</v>
      </c>
      <c r="D872" s="239">
        <v>0</v>
      </c>
      <c r="E872" s="240" t="s">
        <v>792</v>
      </c>
      <c r="F872" s="240" t="s">
        <v>696</v>
      </c>
      <c r="G872" s="240" t="s">
        <v>713</v>
      </c>
      <c r="H872" s="241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</row>
    <row r="873" spans="1:26" ht="15.75" customHeight="1" x14ac:dyDescent="0.2">
      <c r="A873" s="238">
        <v>44651</v>
      </c>
      <c r="B873" s="239">
        <v>-9290.2000000000007</v>
      </c>
      <c r="C873" s="239">
        <v>-9290.2000000000007</v>
      </c>
      <c r="D873" s="239">
        <v>0</v>
      </c>
      <c r="E873" s="240" t="s">
        <v>793</v>
      </c>
      <c r="F873" s="240" t="s">
        <v>696</v>
      </c>
      <c r="G873" s="240" t="s">
        <v>6</v>
      </c>
      <c r="H873" s="241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</row>
    <row r="874" spans="1:26" ht="15.75" customHeight="1" x14ac:dyDescent="0.2">
      <c r="A874" s="238">
        <v>44663</v>
      </c>
      <c r="B874" s="239">
        <v>-1100</v>
      </c>
      <c r="C874" s="239">
        <f>B874-D874</f>
        <v>-1000</v>
      </c>
      <c r="D874" s="242">
        <f>B874/11</f>
        <v>-100</v>
      </c>
      <c r="E874" s="226" t="s">
        <v>381</v>
      </c>
      <c r="F874" s="243" t="s">
        <v>696</v>
      </c>
      <c r="G874" s="243" t="s">
        <v>381</v>
      </c>
      <c r="H874" s="244" t="s">
        <v>382</v>
      </c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</row>
    <row r="875" spans="1:26" ht="15.75" customHeight="1" x14ac:dyDescent="0.2">
      <c r="A875" s="238">
        <v>44671</v>
      </c>
      <c r="B875" s="239">
        <v>-450</v>
      </c>
      <c r="C875" s="239">
        <f>B875-D875</f>
        <v>-409.09090909090912</v>
      </c>
      <c r="D875" s="242">
        <f>B875/11</f>
        <v>-40.909090909090907</v>
      </c>
      <c r="E875" s="226" t="s">
        <v>202</v>
      </c>
      <c r="F875" s="243" t="s">
        <v>697</v>
      </c>
      <c r="G875" s="243" t="s">
        <v>394</v>
      </c>
      <c r="H875" s="244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</row>
    <row r="876" spans="1:26" ht="15.75" customHeight="1" x14ac:dyDescent="0.2">
      <c r="A876" s="238">
        <v>44671</v>
      </c>
      <c r="B876" s="239">
        <v>-2563.5500000000002</v>
      </c>
      <c r="C876" s="239">
        <f>B876-D876</f>
        <v>-2330.5</v>
      </c>
      <c r="D876" s="242">
        <f>B876/11</f>
        <v>-233.05</v>
      </c>
      <c r="E876" s="240" t="s">
        <v>202</v>
      </c>
      <c r="F876" s="243" t="s">
        <v>697</v>
      </c>
      <c r="G876" s="243" t="s">
        <v>393</v>
      </c>
      <c r="H876" s="244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</row>
    <row r="877" spans="1:26" ht="15.75" customHeight="1" x14ac:dyDescent="0.2">
      <c r="A877" s="238">
        <v>44672</v>
      </c>
      <c r="B877" s="239">
        <v>-150.91999999999999</v>
      </c>
      <c r="C877" s="239">
        <f>B877-D877</f>
        <v>-137.19999999999999</v>
      </c>
      <c r="D877" s="242">
        <f>B877/11</f>
        <v>-13.719999999999999</v>
      </c>
      <c r="E877" s="240" t="s">
        <v>401</v>
      </c>
      <c r="F877" s="243" t="s">
        <v>396</v>
      </c>
      <c r="G877" s="243" t="s">
        <v>402</v>
      </c>
      <c r="H877" s="244" t="s">
        <v>403</v>
      </c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</row>
    <row r="878" spans="1:26" ht="15.75" customHeight="1" x14ac:dyDescent="0.2">
      <c r="A878" s="238">
        <v>44672</v>
      </c>
      <c r="B878" s="239">
        <v>-1023</v>
      </c>
      <c r="C878" s="239">
        <f>B878-D878</f>
        <v>-930</v>
      </c>
      <c r="D878" s="242">
        <f>B878/11</f>
        <v>-93</v>
      </c>
      <c r="E878" s="240" t="s">
        <v>404</v>
      </c>
      <c r="F878" s="243" t="s">
        <v>396</v>
      </c>
      <c r="G878" s="243" t="s">
        <v>289</v>
      </c>
      <c r="H878" s="244" t="s">
        <v>405</v>
      </c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</row>
    <row r="879" spans="1:26" ht="15.75" customHeight="1" x14ac:dyDescent="0.2">
      <c r="A879" s="238">
        <v>44678</v>
      </c>
      <c r="B879" s="239">
        <v>-779.5</v>
      </c>
      <c r="C879" s="239">
        <f>B879-D879</f>
        <v>-708.63636363636363</v>
      </c>
      <c r="D879" s="242">
        <f>B879/11</f>
        <v>-70.86363636363636</v>
      </c>
      <c r="E879" s="240" t="s">
        <v>401</v>
      </c>
      <c r="F879" s="243" t="s">
        <v>396</v>
      </c>
      <c r="G879" s="243" t="s">
        <v>402</v>
      </c>
      <c r="H879" s="244" t="s">
        <v>406</v>
      </c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</row>
    <row r="880" spans="1:26" ht="15.75" customHeight="1" x14ac:dyDescent="0.2">
      <c r="A880" s="238">
        <v>44681</v>
      </c>
      <c r="B880" s="239">
        <v>-3711.15</v>
      </c>
      <c r="C880" s="239">
        <v>-3711.15</v>
      </c>
      <c r="D880" s="239">
        <v>0</v>
      </c>
      <c r="E880" s="240" t="s">
        <v>792</v>
      </c>
      <c r="F880" s="240" t="s">
        <v>696</v>
      </c>
      <c r="G880" s="240" t="s">
        <v>713</v>
      </c>
      <c r="H880" s="241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</row>
    <row r="881" spans="1:26" ht="15.75" customHeight="1" x14ac:dyDescent="0.2">
      <c r="A881" s="238">
        <v>44681</v>
      </c>
      <c r="B881" s="239">
        <v>-9322.9</v>
      </c>
      <c r="C881" s="239">
        <v>-9322.9</v>
      </c>
      <c r="D881" s="239">
        <v>0</v>
      </c>
      <c r="E881" s="240" t="s">
        <v>793</v>
      </c>
      <c r="F881" s="240" t="s">
        <v>696</v>
      </c>
      <c r="G881" s="240" t="s">
        <v>6</v>
      </c>
      <c r="H881" s="241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</row>
    <row r="882" spans="1:26" ht="15.75" customHeight="1" x14ac:dyDescent="0.2">
      <c r="A882" s="238">
        <v>44685</v>
      </c>
      <c r="B882" s="239">
        <v>-220</v>
      </c>
      <c r="C882" s="239">
        <f>B882-D882</f>
        <v>-200</v>
      </c>
      <c r="D882" s="242">
        <f>B882/11</f>
        <v>-20</v>
      </c>
      <c r="E882" s="226" t="s">
        <v>401</v>
      </c>
      <c r="F882" s="243" t="s">
        <v>396</v>
      </c>
      <c r="G882" s="243" t="s">
        <v>402</v>
      </c>
      <c r="H882" s="244" t="s">
        <v>407</v>
      </c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</row>
    <row r="883" spans="1:26" ht="15.75" customHeight="1" x14ac:dyDescent="0.2">
      <c r="A883" s="238">
        <v>44685</v>
      </c>
      <c r="B883" s="239">
        <v>-3357.2</v>
      </c>
      <c r="C883" s="239">
        <f>B883-D883</f>
        <v>-3052</v>
      </c>
      <c r="D883" s="242">
        <f>B883/11</f>
        <v>-305.2</v>
      </c>
      <c r="E883" s="226" t="s">
        <v>408</v>
      </c>
      <c r="F883" s="243" t="s">
        <v>396</v>
      </c>
      <c r="G883" s="243" t="s">
        <v>397</v>
      </c>
      <c r="H883" s="244" t="s">
        <v>409</v>
      </c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</row>
    <row r="884" spans="1:26" ht="15.75" customHeight="1" x14ac:dyDescent="0.2">
      <c r="A884" s="238">
        <v>44687</v>
      </c>
      <c r="B884" s="239">
        <v>-77</v>
      </c>
      <c r="C884" s="239">
        <f>B884-D884</f>
        <v>-70</v>
      </c>
      <c r="D884" s="242">
        <f>B884/11</f>
        <v>-7</v>
      </c>
      <c r="E884" s="240" t="s">
        <v>410</v>
      </c>
      <c r="F884" s="243" t="s">
        <v>396</v>
      </c>
      <c r="G884" s="243" t="s">
        <v>411</v>
      </c>
      <c r="H884" s="244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</row>
    <row r="885" spans="1:26" ht="15.75" customHeight="1" x14ac:dyDescent="0.2">
      <c r="A885" s="238">
        <v>44687</v>
      </c>
      <c r="B885" s="239">
        <v>-5909.2</v>
      </c>
      <c r="C885" s="239">
        <f>B885-D885</f>
        <v>-5372</v>
      </c>
      <c r="D885" s="242">
        <f>B885/11</f>
        <v>-537.19999999999993</v>
      </c>
      <c r="E885" s="240" t="s">
        <v>202</v>
      </c>
      <c r="F885" s="243" t="s">
        <v>697</v>
      </c>
      <c r="G885" s="243" t="s">
        <v>393</v>
      </c>
      <c r="H885" s="244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</row>
    <row r="886" spans="1:26" ht="15.75" customHeight="1" x14ac:dyDescent="0.2">
      <c r="A886" s="238">
        <v>44693</v>
      </c>
      <c r="B886" s="239">
        <v>-1250</v>
      </c>
      <c r="C886" s="239">
        <v>-1250</v>
      </c>
      <c r="D886" s="239">
        <v>0</v>
      </c>
      <c r="E886" s="240" t="s">
        <v>735</v>
      </c>
      <c r="F886" s="240" t="s">
        <v>696</v>
      </c>
      <c r="G886" s="240" t="s">
        <v>716</v>
      </c>
      <c r="H886" s="241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</row>
    <row r="887" spans="1:26" ht="15.75" customHeight="1" x14ac:dyDescent="0.2">
      <c r="A887" s="238">
        <v>44708</v>
      </c>
      <c r="B887" s="239">
        <v>-754.34</v>
      </c>
      <c r="C887" s="239">
        <f>B887-D887</f>
        <v>-685.76363636363635</v>
      </c>
      <c r="D887" s="242">
        <f>B887/11</f>
        <v>-68.576363636363638</v>
      </c>
      <c r="E887" s="240" t="s">
        <v>401</v>
      </c>
      <c r="F887" s="243" t="s">
        <v>396</v>
      </c>
      <c r="G887" s="243" t="s">
        <v>402</v>
      </c>
      <c r="H887" s="244" t="s">
        <v>407</v>
      </c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</row>
    <row r="888" spans="1:26" ht="15.75" customHeight="1" x14ac:dyDescent="0.2">
      <c r="A888" s="238">
        <v>44712</v>
      </c>
      <c r="B888" s="239">
        <v>-3992.39</v>
      </c>
      <c r="C888" s="239">
        <v>-3992.39</v>
      </c>
      <c r="D888" s="239">
        <v>0</v>
      </c>
      <c r="E888" s="240" t="s">
        <v>792</v>
      </c>
      <c r="F888" s="240" t="s">
        <v>696</v>
      </c>
      <c r="G888" s="240" t="s">
        <v>713</v>
      </c>
      <c r="H888" s="241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</row>
    <row r="889" spans="1:26" ht="15.75" customHeight="1" x14ac:dyDescent="0.2">
      <c r="A889" s="238">
        <v>44712</v>
      </c>
      <c r="B889" s="239">
        <v>-9739.3799999999992</v>
      </c>
      <c r="C889" s="239">
        <v>-9739.3799999999992</v>
      </c>
      <c r="D889" s="239">
        <v>0</v>
      </c>
      <c r="E889" s="240" t="s">
        <v>793</v>
      </c>
      <c r="F889" s="240" t="s">
        <v>696</v>
      </c>
      <c r="G889" s="240" t="s">
        <v>6</v>
      </c>
      <c r="H889" s="241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</row>
    <row r="890" spans="1:26" ht="15.75" customHeight="1" x14ac:dyDescent="0.2">
      <c r="A890" s="238">
        <v>44712</v>
      </c>
      <c r="B890" s="239">
        <v>-2087.92</v>
      </c>
      <c r="C890" s="239">
        <v>-2087.92</v>
      </c>
      <c r="D890" s="239">
        <v>0</v>
      </c>
      <c r="E890" s="240" t="s">
        <v>734</v>
      </c>
      <c r="F890" s="240" t="s">
        <v>696</v>
      </c>
      <c r="G890" s="240" t="s">
        <v>716</v>
      </c>
      <c r="H890" s="241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</row>
    <row r="891" spans="1:26" ht="15.75" customHeight="1" x14ac:dyDescent="0.2">
      <c r="A891" s="238">
        <v>44718</v>
      </c>
      <c r="B891" s="239">
        <v>-225.95</v>
      </c>
      <c r="C891" s="239">
        <f>B891-D891</f>
        <v>-205.40909090909091</v>
      </c>
      <c r="D891" s="242">
        <f>B891/11</f>
        <v>-20.540909090909089</v>
      </c>
      <c r="E891" s="240" t="s">
        <v>404</v>
      </c>
      <c r="F891" s="243" t="s">
        <v>396</v>
      </c>
      <c r="G891" s="243" t="s">
        <v>289</v>
      </c>
      <c r="H891" s="244" t="s">
        <v>405</v>
      </c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</row>
    <row r="892" spans="1:26" ht="15.75" customHeight="1" x14ac:dyDescent="0.2">
      <c r="A892" s="238">
        <v>44727</v>
      </c>
      <c r="B892" s="239">
        <v>-27.33</v>
      </c>
      <c r="C892" s="239">
        <f>B892</f>
        <v>-27.33</v>
      </c>
      <c r="D892" s="239">
        <v>0</v>
      </c>
      <c r="E892" s="240" t="s">
        <v>390</v>
      </c>
      <c r="F892" s="243" t="s">
        <v>698</v>
      </c>
      <c r="G892" s="243" t="s">
        <v>391</v>
      </c>
      <c r="H892" s="244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</row>
    <row r="893" spans="1:26" ht="15.75" customHeight="1" x14ac:dyDescent="0.2">
      <c r="A893" s="238">
        <v>44727</v>
      </c>
      <c r="B893" s="239">
        <v>-23.73</v>
      </c>
      <c r="C893" s="239">
        <f>B893</f>
        <v>-23.73</v>
      </c>
      <c r="D893" s="239">
        <v>0</v>
      </c>
      <c r="E893" s="226" t="s">
        <v>390</v>
      </c>
      <c r="F893" s="243" t="s">
        <v>698</v>
      </c>
      <c r="G893" s="243" t="s">
        <v>391</v>
      </c>
      <c r="H893" s="244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</row>
    <row r="894" spans="1:26" ht="15.75" customHeight="1" x14ac:dyDescent="0.2">
      <c r="A894" s="238">
        <v>44733</v>
      </c>
      <c r="B894" s="239">
        <v>-1894.2</v>
      </c>
      <c r="C894" s="239">
        <f>B894-D894</f>
        <v>-1722</v>
      </c>
      <c r="D894" s="242">
        <f>B894/11</f>
        <v>-172.20000000000002</v>
      </c>
      <c r="E894" s="226" t="s">
        <v>202</v>
      </c>
      <c r="F894" s="243" t="s">
        <v>697</v>
      </c>
      <c r="G894" s="243" t="s">
        <v>393</v>
      </c>
      <c r="H894" s="244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</row>
    <row r="895" spans="1:26" ht="15.75" customHeight="1" x14ac:dyDescent="0.2">
      <c r="A895" s="238">
        <v>44736</v>
      </c>
      <c r="B895" s="239">
        <v>-779.5</v>
      </c>
      <c r="C895" s="239">
        <f>B895-D895</f>
        <v>-708.63636363636363</v>
      </c>
      <c r="D895" s="242">
        <f>B895/11</f>
        <v>-70.86363636363636</v>
      </c>
      <c r="E895" s="240" t="s">
        <v>401</v>
      </c>
      <c r="F895" s="243" t="s">
        <v>396</v>
      </c>
      <c r="G895" s="243" t="s">
        <v>402</v>
      </c>
      <c r="H895" s="244" t="s">
        <v>403</v>
      </c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</row>
    <row r="896" spans="1:26" ht="15.75" customHeight="1" x14ac:dyDescent="0.2">
      <c r="A896" s="238">
        <v>44740</v>
      </c>
      <c r="B896" s="239">
        <v>-206.94</v>
      </c>
      <c r="C896" s="239">
        <f>B896</f>
        <v>-206.94</v>
      </c>
      <c r="D896" s="239">
        <v>0</v>
      </c>
      <c r="E896" s="240" t="s">
        <v>390</v>
      </c>
      <c r="F896" s="243" t="s">
        <v>698</v>
      </c>
      <c r="G896" s="243" t="s">
        <v>391</v>
      </c>
      <c r="H896" s="244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</row>
    <row r="897" spans="1:26" ht="15.75" customHeight="1" x14ac:dyDescent="0.2">
      <c r="A897" s="238">
        <v>44742</v>
      </c>
      <c r="B897" s="239">
        <v>-7000</v>
      </c>
      <c r="C897" s="239">
        <f>B897-D897</f>
        <v>-6363.636363636364</v>
      </c>
      <c r="D897" s="242">
        <f>B897/11</f>
        <v>-636.36363636363637</v>
      </c>
      <c r="E897" s="240" t="s">
        <v>408</v>
      </c>
      <c r="F897" s="243" t="s">
        <v>396</v>
      </c>
      <c r="G897" s="243" t="s">
        <v>397</v>
      </c>
      <c r="H897" s="244" t="s">
        <v>409</v>
      </c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</row>
    <row r="898" spans="1:26" ht="15.75" customHeight="1" x14ac:dyDescent="0.2">
      <c r="A898" s="238">
        <v>44742</v>
      </c>
      <c r="B898" s="239">
        <v>-223.3</v>
      </c>
      <c r="C898" s="239">
        <f>B898-D898</f>
        <v>-203</v>
      </c>
      <c r="D898" s="242">
        <f>B898/11</f>
        <v>-20.3</v>
      </c>
      <c r="E898" s="240" t="s">
        <v>404</v>
      </c>
      <c r="F898" s="243" t="s">
        <v>396</v>
      </c>
      <c r="G898" s="243" t="s">
        <v>289</v>
      </c>
      <c r="H898" s="244" t="s">
        <v>405</v>
      </c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</row>
    <row r="899" spans="1:26" ht="15.75" customHeight="1" x14ac:dyDescent="0.2">
      <c r="A899" s="238">
        <v>44742</v>
      </c>
      <c r="B899" s="239">
        <v>-3916.63</v>
      </c>
      <c r="C899" s="239">
        <v>-3916.63</v>
      </c>
      <c r="D899" s="239">
        <v>0</v>
      </c>
      <c r="E899" s="240" t="s">
        <v>792</v>
      </c>
      <c r="F899" s="240" t="s">
        <v>696</v>
      </c>
      <c r="G899" s="240" t="s">
        <v>713</v>
      </c>
      <c r="H899" s="241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</row>
    <row r="900" spans="1:26" ht="15.75" customHeight="1" x14ac:dyDescent="0.2">
      <c r="A900" s="238">
        <v>44742</v>
      </c>
      <c r="B900" s="239">
        <v>-9544.85</v>
      </c>
      <c r="C900" s="239">
        <v>-9544.85</v>
      </c>
      <c r="D900" s="239">
        <v>0</v>
      </c>
      <c r="E900" s="240" t="s">
        <v>793</v>
      </c>
      <c r="F900" s="240" t="s">
        <v>696</v>
      </c>
      <c r="G900" s="240" t="s">
        <v>6</v>
      </c>
      <c r="H900" s="241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  <c r="Z900" s="222"/>
    </row>
    <row r="901" spans="1:26" ht="15.75" customHeight="1" x14ac:dyDescent="0.2">
      <c r="A901" s="238">
        <v>44742</v>
      </c>
      <c r="B901" s="239">
        <v>-2047.5</v>
      </c>
      <c r="C901" s="239">
        <v>-2047.5</v>
      </c>
      <c r="D901" s="239">
        <v>0</v>
      </c>
      <c r="E901" s="226" t="s">
        <v>733</v>
      </c>
      <c r="F901" s="240" t="s">
        <v>696</v>
      </c>
      <c r="G901" s="240" t="s">
        <v>716</v>
      </c>
      <c r="H901" s="241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</row>
    <row r="902" spans="1:26" ht="15.75" customHeight="1" x14ac:dyDescent="0.2">
      <c r="A902" s="238">
        <v>44747</v>
      </c>
      <c r="B902" s="239">
        <v>-779.5</v>
      </c>
      <c r="C902" s="239">
        <f>B902-D902</f>
        <v>-708.63636363636363</v>
      </c>
      <c r="D902" s="242">
        <f>B902/11</f>
        <v>-70.86363636363636</v>
      </c>
      <c r="E902" s="226" t="s">
        <v>403</v>
      </c>
      <c r="F902" s="243" t="s">
        <v>396</v>
      </c>
      <c r="G902" s="243" t="s">
        <v>402</v>
      </c>
      <c r="H902" s="244"/>
      <c r="I902" s="245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</row>
    <row r="903" spans="1:26" ht="15.75" customHeight="1" x14ac:dyDescent="0.2">
      <c r="A903" s="238">
        <v>44756</v>
      </c>
      <c r="B903" s="239">
        <v>-856.9</v>
      </c>
      <c r="C903" s="239">
        <f>B903-D903</f>
        <v>-779</v>
      </c>
      <c r="D903" s="242">
        <f>B903/11</f>
        <v>-77.899999999999991</v>
      </c>
      <c r="E903" s="240" t="s">
        <v>412</v>
      </c>
      <c r="F903" s="243" t="s">
        <v>697</v>
      </c>
      <c r="G903" s="243" t="s">
        <v>393</v>
      </c>
      <c r="H903" s="244"/>
      <c r="I903" s="245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</row>
    <row r="904" spans="1:26" ht="15.75" customHeight="1" x14ac:dyDescent="0.2">
      <c r="A904" s="238">
        <v>44756</v>
      </c>
      <c r="B904" s="239">
        <v>-7784</v>
      </c>
      <c r="C904" s="239">
        <f>B904-D904</f>
        <v>-7076.363636363636</v>
      </c>
      <c r="D904" s="242">
        <f>B904/11</f>
        <v>-707.63636363636363</v>
      </c>
      <c r="E904" s="240" t="s">
        <v>413</v>
      </c>
      <c r="F904" s="243" t="s">
        <v>396</v>
      </c>
      <c r="G904" s="243" t="s">
        <v>397</v>
      </c>
      <c r="H904" s="244"/>
      <c r="I904" s="245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</row>
    <row r="905" spans="1:26" ht="15" customHeight="1" x14ac:dyDescent="0.2">
      <c r="A905" s="238">
        <v>44769</v>
      </c>
      <c r="B905" s="239">
        <v>-779.5</v>
      </c>
      <c r="C905" s="239">
        <f>B905-D905</f>
        <v>-708.63636363636363</v>
      </c>
      <c r="D905" s="242">
        <f>B905/11</f>
        <v>-70.86363636363636</v>
      </c>
      <c r="E905" s="240" t="s">
        <v>403</v>
      </c>
      <c r="F905" s="243" t="s">
        <v>396</v>
      </c>
      <c r="G905" s="243" t="s">
        <v>402</v>
      </c>
      <c r="H905" s="244"/>
      <c r="I905" s="245"/>
      <c r="K905" s="222"/>
    </row>
    <row r="906" spans="1:26" ht="15" customHeight="1" x14ac:dyDescent="0.2">
      <c r="A906" s="238">
        <v>44771</v>
      </c>
      <c r="B906" s="239">
        <v>-2141.04</v>
      </c>
      <c r="C906" s="239">
        <v>-2141.04</v>
      </c>
      <c r="D906" s="239">
        <v>0</v>
      </c>
      <c r="E906" s="226" t="s">
        <v>732</v>
      </c>
      <c r="F906" s="240" t="s">
        <v>696</v>
      </c>
      <c r="G906" s="240" t="s">
        <v>716</v>
      </c>
      <c r="H906" s="241"/>
    </row>
    <row r="907" spans="1:26" ht="15" customHeight="1" x14ac:dyDescent="0.2">
      <c r="A907" s="238">
        <v>44773</v>
      </c>
      <c r="B907" s="239">
        <v>-4047.18</v>
      </c>
      <c r="C907" s="239">
        <v>-4047.18</v>
      </c>
      <c r="D907" s="239">
        <v>0</v>
      </c>
      <c r="E907" s="226" t="s">
        <v>792</v>
      </c>
      <c r="F907" s="240" t="s">
        <v>696</v>
      </c>
      <c r="G907" s="240" t="s">
        <v>713</v>
      </c>
      <c r="H907" s="241"/>
    </row>
    <row r="908" spans="1:26" ht="15" customHeight="1" x14ac:dyDescent="0.2">
      <c r="A908" s="238">
        <v>44773</v>
      </c>
      <c r="B908" s="239">
        <v>-9981.9599999999991</v>
      </c>
      <c r="C908" s="239">
        <v>-9981.9599999999991</v>
      </c>
      <c r="D908" s="239">
        <v>0</v>
      </c>
      <c r="E908" s="240" t="s">
        <v>793</v>
      </c>
      <c r="F908" s="240" t="s">
        <v>696</v>
      </c>
      <c r="G908" s="240" t="s">
        <v>6</v>
      </c>
      <c r="H908" s="241"/>
    </row>
    <row r="909" spans="1:26" ht="15" customHeight="1" x14ac:dyDescent="0.2">
      <c r="A909" s="238">
        <v>44774</v>
      </c>
      <c r="B909" s="239">
        <v>-238.7</v>
      </c>
      <c r="C909" s="239">
        <f>B909-D909</f>
        <v>-217</v>
      </c>
      <c r="D909" s="242">
        <f>B909/11</f>
        <v>-21.7</v>
      </c>
      <c r="E909" s="240" t="s">
        <v>414</v>
      </c>
      <c r="F909" s="243" t="s">
        <v>396</v>
      </c>
      <c r="G909" s="243" t="s">
        <v>289</v>
      </c>
      <c r="H909" s="244" t="s">
        <v>405</v>
      </c>
      <c r="I909" s="245"/>
      <c r="K909" s="222"/>
    </row>
    <row r="910" spans="1:26" ht="15" customHeight="1" x14ac:dyDescent="0.2">
      <c r="A910" s="238">
        <v>44788</v>
      </c>
      <c r="B910" s="239">
        <v>-389.75</v>
      </c>
      <c r="C910" s="239">
        <f>B910-D910</f>
        <v>-354.31818181818181</v>
      </c>
      <c r="D910" s="242">
        <f>B910/11</f>
        <v>-35.43181818181818</v>
      </c>
      <c r="E910" s="240" t="s">
        <v>403</v>
      </c>
      <c r="F910" s="243" t="s">
        <v>396</v>
      </c>
      <c r="G910" s="243" t="s">
        <v>402</v>
      </c>
      <c r="H910" s="244"/>
      <c r="I910" s="245"/>
      <c r="K910" s="222"/>
    </row>
    <row r="911" spans="1:26" ht="15" customHeight="1" x14ac:dyDescent="0.2">
      <c r="A911" s="238">
        <v>44789</v>
      </c>
      <c r="B911" s="239">
        <v>-586.29999999999995</v>
      </c>
      <c r="C911" s="239">
        <f>B911-D911</f>
        <v>-533</v>
      </c>
      <c r="D911" s="242">
        <f>B911/11</f>
        <v>-53.3</v>
      </c>
      <c r="E911" s="240" t="s">
        <v>412</v>
      </c>
      <c r="F911" s="243" t="s">
        <v>697</v>
      </c>
      <c r="G911" s="243" t="s">
        <v>393</v>
      </c>
      <c r="H911" s="244"/>
      <c r="I911" s="245"/>
      <c r="K911" s="222"/>
    </row>
    <row r="912" spans="1:26" ht="15" customHeight="1" x14ac:dyDescent="0.2">
      <c r="A912" s="238">
        <v>44804</v>
      </c>
      <c r="B912" s="239">
        <v>-4047.18</v>
      </c>
      <c r="C912" s="239">
        <v>-4047.18</v>
      </c>
      <c r="D912" s="239">
        <v>0</v>
      </c>
      <c r="E912" s="226" t="s">
        <v>792</v>
      </c>
      <c r="F912" s="240" t="s">
        <v>696</v>
      </c>
      <c r="G912" s="240" t="s">
        <v>713</v>
      </c>
      <c r="H912" s="241"/>
    </row>
    <row r="913" spans="1:11" ht="15" customHeight="1" x14ac:dyDescent="0.2">
      <c r="A913" s="238">
        <v>44804</v>
      </c>
      <c r="B913" s="239">
        <v>-10103.83</v>
      </c>
      <c r="C913" s="239">
        <v>-10103.83</v>
      </c>
      <c r="D913" s="239">
        <v>0</v>
      </c>
      <c r="E913" s="226" t="s">
        <v>793</v>
      </c>
      <c r="F913" s="240" t="s">
        <v>696</v>
      </c>
      <c r="G913" s="240" t="s">
        <v>6</v>
      </c>
      <c r="H913" s="241"/>
    </row>
    <row r="914" spans="1:11" ht="15" customHeight="1" x14ac:dyDescent="0.2">
      <c r="A914" s="238">
        <v>44804</v>
      </c>
      <c r="B914" s="239">
        <v>-2167.41</v>
      </c>
      <c r="C914" s="239">
        <v>-2167.41</v>
      </c>
      <c r="D914" s="239">
        <v>0</v>
      </c>
      <c r="E914" s="240" t="s">
        <v>731</v>
      </c>
      <c r="F914" s="240" t="s">
        <v>696</v>
      </c>
      <c r="G914" s="240" t="s">
        <v>716</v>
      </c>
      <c r="H914" s="241"/>
    </row>
    <row r="915" spans="1:11" ht="15" customHeight="1" x14ac:dyDescent="0.2">
      <c r="A915" s="238">
        <v>44805</v>
      </c>
      <c r="B915" s="239">
        <v>-231</v>
      </c>
      <c r="C915" s="239">
        <f>B915-D915</f>
        <v>-210</v>
      </c>
      <c r="D915" s="242">
        <f>B915/11</f>
        <v>-21</v>
      </c>
      <c r="E915" s="240" t="s">
        <v>414</v>
      </c>
      <c r="F915" s="243" t="s">
        <v>396</v>
      </c>
      <c r="G915" s="243" t="s">
        <v>289</v>
      </c>
      <c r="H915" s="244" t="s">
        <v>405</v>
      </c>
      <c r="I915" s="245"/>
      <c r="K915" s="222"/>
    </row>
    <row r="916" spans="1:11" ht="15" customHeight="1" x14ac:dyDescent="0.2">
      <c r="A916" s="238">
        <v>44810</v>
      </c>
      <c r="B916" s="239">
        <v>-377.17</v>
      </c>
      <c r="C916" s="239">
        <f>B916-D916</f>
        <v>-342.88181818181818</v>
      </c>
      <c r="D916" s="242">
        <f>B916/11</f>
        <v>-34.288181818181819</v>
      </c>
      <c r="E916" s="226" t="s">
        <v>403</v>
      </c>
      <c r="F916" s="243" t="s">
        <v>396</v>
      </c>
      <c r="G916" s="243" t="s">
        <v>402</v>
      </c>
      <c r="H916" s="244"/>
      <c r="I916" s="245"/>
      <c r="K916" s="222"/>
    </row>
    <row r="917" spans="1:11" ht="15" customHeight="1" x14ac:dyDescent="0.2">
      <c r="A917" s="238">
        <v>44819</v>
      </c>
      <c r="B917" s="239">
        <v>-195.25</v>
      </c>
      <c r="C917" s="239">
        <f>B917-D917</f>
        <v>-177.5</v>
      </c>
      <c r="D917" s="242">
        <f>B917/11</f>
        <v>-17.75</v>
      </c>
      <c r="E917" s="226" t="s">
        <v>414</v>
      </c>
      <c r="F917" s="243" t="s">
        <v>396</v>
      </c>
      <c r="G917" s="243" t="s">
        <v>289</v>
      </c>
      <c r="H917" s="244" t="s">
        <v>405</v>
      </c>
      <c r="I917" s="245"/>
      <c r="K917" s="222"/>
    </row>
    <row r="918" spans="1:11" ht="15" customHeight="1" x14ac:dyDescent="0.2">
      <c r="A918" s="238">
        <v>44834</v>
      </c>
      <c r="B918" s="239">
        <v>-3916.63</v>
      </c>
      <c r="C918" s="239">
        <v>-3916.63</v>
      </c>
      <c r="D918" s="239">
        <v>0</v>
      </c>
      <c r="E918" s="240" t="s">
        <v>792</v>
      </c>
      <c r="F918" s="240" t="s">
        <v>696</v>
      </c>
      <c r="G918" s="240" t="s">
        <v>713</v>
      </c>
      <c r="H918" s="241"/>
    </row>
    <row r="919" spans="1:11" ht="15" customHeight="1" x14ac:dyDescent="0.2">
      <c r="A919" s="238">
        <v>44834</v>
      </c>
      <c r="B919" s="239">
        <v>-9897.9500000000007</v>
      </c>
      <c r="C919" s="239">
        <v>-9897.9500000000007</v>
      </c>
      <c r="D919" s="239">
        <v>0</v>
      </c>
      <c r="E919" s="240" t="s">
        <v>793</v>
      </c>
      <c r="F919" s="240" t="s">
        <v>696</v>
      </c>
      <c r="G919" s="240" t="s">
        <v>6</v>
      </c>
      <c r="H919" s="241"/>
    </row>
    <row r="920" spans="1:11" ht="15" customHeight="1" x14ac:dyDescent="0.2">
      <c r="A920" s="238">
        <v>44834</v>
      </c>
      <c r="B920" s="239">
        <v>-2123.25</v>
      </c>
      <c r="C920" s="239">
        <v>-2123.25</v>
      </c>
      <c r="D920" s="239">
        <v>0</v>
      </c>
      <c r="E920" s="240" t="s">
        <v>730</v>
      </c>
      <c r="F920" s="240" t="s">
        <v>696</v>
      </c>
      <c r="G920" s="240" t="s">
        <v>716</v>
      </c>
      <c r="H920" s="241"/>
    </row>
    <row r="921" spans="1:11" ht="15" customHeight="1" x14ac:dyDescent="0.2">
      <c r="A921" s="266">
        <v>44855</v>
      </c>
      <c r="B921" s="239">
        <v>-1500</v>
      </c>
      <c r="C921" s="239">
        <f>B921-D921</f>
        <v>-1363.6363636363635</v>
      </c>
      <c r="D921" s="242">
        <f>B921/11</f>
        <v>-136.36363636363637</v>
      </c>
      <c r="E921" s="239" t="s">
        <v>412</v>
      </c>
      <c r="F921" s="243" t="s">
        <v>697</v>
      </c>
      <c r="G921" s="240" t="s">
        <v>393</v>
      </c>
      <c r="H921" s="240"/>
      <c r="I921" s="263" t="s">
        <v>480</v>
      </c>
      <c r="K921" s="222"/>
    </row>
    <row r="922" spans="1:11" ht="15" customHeight="1" x14ac:dyDescent="0.2">
      <c r="A922" s="266">
        <v>44858</v>
      </c>
      <c r="B922" s="239">
        <v>-150</v>
      </c>
      <c r="C922" s="239">
        <f>B922-D922</f>
        <v>-136.36363636363637</v>
      </c>
      <c r="D922" s="242">
        <f>B922/11</f>
        <v>-13.636363636363637</v>
      </c>
      <c r="E922" s="240" t="s">
        <v>394</v>
      </c>
      <c r="F922" s="243" t="s">
        <v>697</v>
      </c>
      <c r="G922" s="243" t="s">
        <v>394</v>
      </c>
      <c r="H922" s="244"/>
      <c r="I922" s="262" t="s">
        <v>416</v>
      </c>
      <c r="K922" s="222"/>
    </row>
    <row r="923" spans="1:11" ht="15" customHeight="1" x14ac:dyDescent="0.2">
      <c r="A923" s="238">
        <v>44861</v>
      </c>
      <c r="B923" s="240">
        <v>-300</v>
      </c>
      <c r="C923" s="240">
        <v>-300</v>
      </c>
      <c r="D923" s="239">
        <v>0</v>
      </c>
      <c r="E923" s="240" t="s">
        <v>729</v>
      </c>
      <c r="F923" s="240" t="s">
        <v>696</v>
      </c>
      <c r="G923" s="240" t="s">
        <v>720</v>
      </c>
      <c r="H923" s="241"/>
    </row>
    <row r="924" spans="1:11" ht="15" customHeight="1" x14ac:dyDescent="0.2">
      <c r="A924" s="238">
        <v>44865</v>
      </c>
      <c r="B924" s="239">
        <v>-4047.18</v>
      </c>
      <c r="C924" s="239">
        <v>-4047.18</v>
      </c>
      <c r="D924" s="239">
        <v>0</v>
      </c>
      <c r="E924" s="240" t="s">
        <v>792</v>
      </c>
      <c r="F924" s="240" t="s">
        <v>696</v>
      </c>
      <c r="G924" s="240" t="s">
        <v>713</v>
      </c>
      <c r="H924" s="241"/>
    </row>
    <row r="925" spans="1:11" ht="15" customHeight="1" x14ac:dyDescent="0.2">
      <c r="A925" s="238">
        <v>44865</v>
      </c>
      <c r="B925" s="239">
        <v>10460.950000000001</v>
      </c>
      <c r="C925" s="239">
        <v>10460.950000000001</v>
      </c>
      <c r="D925" s="239">
        <v>0</v>
      </c>
      <c r="E925" s="240" t="s">
        <v>793</v>
      </c>
      <c r="F925" s="240" t="s">
        <v>696</v>
      </c>
      <c r="G925" s="240" t="s">
        <v>6</v>
      </c>
      <c r="H925" s="241"/>
    </row>
    <row r="926" spans="1:11" ht="15" customHeight="1" x14ac:dyDescent="0.2">
      <c r="A926" s="238">
        <v>44865</v>
      </c>
      <c r="B926" s="239">
        <v>-2220.0100000000002</v>
      </c>
      <c r="C926" s="239">
        <v>-2220.0100000000002</v>
      </c>
      <c r="D926" s="239">
        <v>0</v>
      </c>
      <c r="E926" s="226" t="s">
        <v>728</v>
      </c>
      <c r="F926" s="240" t="s">
        <v>696</v>
      </c>
      <c r="G926" s="240" t="s">
        <v>716</v>
      </c>
      <c r="H926" s="241"/>
    </row>
    <row r="927" spans="1:11" ht="15" customHeight="1" x14ac:dyDescent="0.2">
      <c r="A927" s="246">
        <v>44879</v>
      </c>
      <c r="B927" s="239">
        <v>-225.95</v>
      </c>
      <c r="C927" s="239">
        <v>-225.95</v>
      </c>
      <c r="D927" s="242">
        <v>0</v>
      </c>
      <c r="E927" s="226" t="s">
        <v>390</v>
      </c>
      <c r="F927" s="243" t="s">
        <v>698</v>
      </c>
      <c r="G927" s="243" t="s">
        <v>391</v>
      </c>
      <c r="H927" s="244"/>
      <c r="I927" s="245"/>
      <c r="K927" s="222"/>
    </row>
    <row r="928" spans="1:11" ht="15" customHeight="1" x14ac:dyDescent="0.2">
      <c r="A928" s="246">
        <v>44879</v>
      </c>
      <c r="B928" s="239">
        <v>-222.5</v>
      </c>
      <c r="C928" s="239">
        <v>-222.5</v>
      </c>
      <c r="D928" s="242">
        <v>0</v>
      </c>
      <c r="E928" s="240" t="s">
        <v>390</v>
      </c>
      <c r="F928" s="243" t="s">
        <v>698</v>
      </c>
      <c r="G928" s="243" t="s">
        <v>391</v>
      </c>
      <c r="H928" s="244"/>
      <c r="I928" s="245"/>
      <c r="K928" s="222"/>
    </row>
    <row r="929" spans="1:11" ht="15" customHeight="1" x14ac:dyDescent="0.2">
      <c r="A929" s="238">
        <v>44882</v>
      </c>
      <c r="B929" s="240">
        <v>-300</v>
      </c>
      <c r="C929" s="240">
        <v>-300</v>
      </c>
      <c r="D929" s="239">
        <v>0</v>
      </c>
      <c r="E929" s="240" t="s">
        <v>727</v>
      </c>
      <c r="F929" s="240" t="s">
        <v>696</v>
      </c>
      <c r="G929" s="240" t="s">
        <v>720</v>
      </c>
      <c r="H929" s="241"/>
    </row>
    <row r="930" spans="1:11" ht="15" customHeight="1" x14ac:dyDescent="0.2">
      <c r="A930" s="246">
        <v>44883</v>
      </c>
      <c r="B930" s="239">
        <v>-290</v>
      </c>
      <c r="C930" s="239">
        <v>290</v>
      </c>
      <c r="D930" s="242">
        <v>0</v>
      </c>
      <c r="E930" s="240" t="s">
        <v>688</v>
      </c>
      <c r="F930" s="243" t="s">
        <v>11</v>
      </c>
      <c r="G930" s="243" t="s">
        <v>700</v>
      </c>
      <c r="H930" s="244"/>
      <c r="I930" s="245"/>
      <c r="K930" s="222"/>
    </row>
    <row r="931" spans="1:11" ht="15" customHeight="1" x14ac:dyDescent="0.2">
      <c r="A931" s="246">
        <v>44883</v>
      </c>
      <c r="B931" s="239">
        <v>-1000</v>
      </c>
      <c r="C931" s="239">
        <f>B931-D931</f>
        <v>-909.09090909090912</v>
      </c>
      <c r="D931" s="242">
        <f>B931/11</f>
        <v>-90.909090909090907</v>
      </c>
      <c r="E931" s="240" t="s">
        <v>412</v>
      </c>
      <c r="F931" s="243" t="s">
        <v>697</v>
      </c>
      <c r="G931" s="243" t="s">
        <v>393</v>
      </c>
      <c r="H931" s="244"/>
      <c r="I931" s="245"/>
      <c r="K931" s="222"/>
    </row>
    <row r="932" spans="1:11" ht="15" customHeight="1" x14ac:dyDescent="0.2">
      <c r="A932" s="246">
        <v>44886</v>
      </c>
      <c r="B932" s="239">
        <v>-1100</v>
      </c>
      <c r="C932" s="239">
        <f>B932-D932</f>
        <v>-1000</v>
      </c>
      <c r="D932" s="242">
        <f>B932/11</f>
        <v>-100</v>
      </c>
      <c r="E932" s="240" t="s">
        <v>381</v>
      </c>
      <c r="F932" s="243" t="s">
        <v>696</v>
      </c>
      <c r="G932" s="243" t="s">
        <v>381</v>
      </c>
      <c r="H932" s="244" t="s">
        <v>382</v>
      </c>
      <c r="I932" s="245"/>
      <c r="K932" s="222"/>
    </row>
    <row r="933" spans="1:11" ht="15" customHeight="1" x14ac:dyDescent="0.2">
      <c r="A933" s="246">
        <v>44888</v>
      </c>
      <c r="B933" s="239">
        <v>-500</v>
      </c>
      <c r="C933" s="239">
        <f>B933-D933</f>
        <v>-454.54545454545456</v>
      </c>
      <c r="D933" s="242">
        <f>B933/11</f>
        <v>-45.454545454545453</v>
      </c>
      <c r="E933" s="240" t="s">
        <v>412</v>
      </c>
      <c r="F933" s="243" t="s">
        <v>697</v>
      </c>
      <c r="G933" s="243" t="s">
        <v>393</v>
      </c>
      <c r="H933" s="244"/>
      <c r="I933" s="245">
        <v>44860</v>
      </c>
      <c r="J933" s="223">
        <v>-150</v>
      </c>
      <c r="K933" s="222"/>
    </row>
    <row r="934" spans="1:11" ht="15" customHeight="1" x14ac:dyDescent="0.2">
      <c r="A934" s="238">
        <v>44895</v>
      </c>
      <c r="B934" s="239">
        <v>-3916.63</v>
      </c>
      <c r="C934" s="239">
        <v>-3916.63</v>
      </c>
      <c r="D934" s="239">
        <v>0</v>
      </c>
      <c r="E934" s="240" t="s">
        <v>792</v>
      </c>
      <c r="F934" s="240" t="s">
        <v>696</v>
      </c>
      <c r="G934" s="240" t="s">
        <v>713</v>
      </c>
      <c r="H934" s="241"/>
    </row>
    <row r="935" spans="1:11" ht="15" customHeight="1" x14ac:dyDescent="0.2">
      <c r="A935" s="238">
        <v>44895</v>
      </c>
      <c r="B935" s="239">
        <v>-11026.83</v>
      </c>
      <c r="C935" s="239">
        <v>-11026.83</v>
      </c>
      <c r="D935" s="239">
        <v>0</v>
      </c>
      <c r="E935" s="240" t="s">
        <v>793</v>
      </c>
      <c r="F935" s="240" t="s">
        <v>696</v>
      </c>
      <c r="G935" s="240" t="s">
        <v>6</v>
      </c>
      <c r="H935" s="241"/>
    </row>
    <row r="936" spans="1:11" ht="15" customHeight="1" x14ac:dyDescent="0.2">
      <c r="A936" s="238">
        <v>44895</v>
      </c>
      <c r="B936" s="239">
        <v>-2318.86</v>
      </c>
      <c r="C936" s="239">
        <v>-2318.86</v>
      </c>
      <c r="D936" s="239">
        <v>0</v>
      </c>
      <c r="E936" s="226" t="s">
        <v>726</v>
      </c>
      <c r="F936" s="240" t="s">
        <v>696</v>
      </c>
      <c r="G936" s="240" t="s">
        <v>716</v>
      </c>
      <c r="H936" s="241"/>
    </row>
    <row r="937" spans="1:11" ht="15" customHeight="1" x14ac:dyDescent="0.2">
      <c r="A937" s="246">
        <v>44907</v>
      </c>
      <c r="B937" s="239">
        <v>-400</v>
      </c>
      <c r="C937" s="239">
        <f>B937-D937</f>
        <v>-363.63636363636363</v>
      </c>
      <c r="D937" s="242">
        <f>B937/11</f>
        <v>-36.363636363636367</v>
      </c>
      <c r="E937" s="226" t="s">
        <v>394</v>
      </c>
      <c r="F937" s="243" t="s">
        <v>697</v>
      </c>
      <c r="G937" s="243" t="s">
        <v>394</v>
      </c>
      <c r="H937" s="244"/>
      <c r="I937" s="245"/>
      <c r="K937" s="222"/>
    </row>
    <row r="938" spans="1:11" ht="15" customHeight="1" x14ac:dyDescent="0.2">
      <c r="A938" s="246">
        <v>44907</v>
      </c>
      <c r="B938" s="239">
        <v>-1000</v>
      </c>
      <c r="C938" s="239">
        <f>B938-D938</f>
        <v>-909.09090909090912</v>
      </c>
      <c r="D938" s="242">
        <f>B938/11</f>
        <v>-90.909090909090907</v>
      </c>
      <c r="E938" s="226" t="s">
        <v>202</v>
      </c>
      <c r="F938" s="243" t="s">
        <v>697</v>
      </c>
      <c r="G938" s="243" t="s">
        <v>393</v>
      </c>
      <c r="H938" s="244"/>
      <c r="I938" s="245"/>
      <c r="K938" s="222"/>
    </row>
    <row r="939" spans="1:11" ht="15" customHeight="1" x14ac:dyDescent="0.2">
      <c r="A939" s="246">
        <v>44914</v>
      </c>
      <c r="B939" s="239">
        <v>-750</v>
      </c>
      <c r="C939" s="239">
        <f>B939-D939</f>
        <v>-681.81818181818176</v>
      </c>
      <c r="D939" s="242">
        <f>B939/11</f>
        <v>-68.181818181818187</v>
      </c>
      <c r="E939" s="226" t="s">
        <v>412</v>
      </c>
      <c r="F939" s="243" t="s">
        <v>697</v>
      </c>
      <c r="G939" s="243" t="s">
        <v>393</v>
      </c>
      <c r="H939" s="244"/>
      <c r="I939" s="245"/>
      <c r="K939" s="222"/>
    </row>
    <row r="940" spans="1:11" ht="15" customHeight="1" x14ac:dyDescent="0.2">
      <c r="A940" s="266">
        <v>44916</v>
      </c>
      <c r="B940" s="239">
        <v>-62480</v>
      </c>
      <c r="C940" s="239">
        <f>B940-D940</f>
        <v>-56800</v>
      </c>
      <c r="D940" s="242">
        <f>B940/11</f>
        <v>-5680</v>
      </c>
      <c r="E940" s="240" t="s">
        <v>425</v>
      </c>
      <c r="F940" s="243" t="s">
        <v>251</v>
      </c>
      <c r="G940" s="243" t="s">
        <v>422</v>
      </c>
      <c r="H940" s="244" t="s">
        <v>423</v>
      </c>
      <c r="I940" s="262" t="s">
        <v>424</v>
      </c>
      <c r="K940" s="222"/>
    </row>
    <row r="941" spans="1:11" ht="15" customHeight="1" x14ac:dyDescent="0.2">
      <c r="A941" s="238">
        <v>44917</v>
      </c>
      <c r="B941" s="240">
        <v>-300</v>
      </c>
      <c r="C941" s="240">
        <v>-300</v>
      </c>
      <c r="D941" s="239">
        <v>0</v>
      </c>
      <c r="E941" s="240" t="s">
        <v>721</v>
      </c>
      <c r="F941" s="240" t="s">
        <v>696</v>
      </c>
      <c r="G941" s="240" t="s">
        <v>720</v>
      </c>
      <c r="H941" s="241"/>
    </row>
    <row r="942" spans="1:11" ht="15" customHeight="1" x14ac:dyDescent="0.2">
      <c r="A942" s="238">
        <v>44925</v>
      </c>
      <c r="B942" s="239">
        <v>-2527.39</v>
      </c>
      <c r="C942" s="239">
        <v>-2527.39</v>
      </c>
      <c r="D942" s="239">
        <v>0</v>
      </c>
      <c r="E942" s="240" t="s">
        <v>719</v>
      </c>
      <c r="F942" s="240" t="s">
        <v>696</v>
      </c>
      <c r="G942" s="240" t="s">
        <v>716</v>
      </c>
      <c r="H942" s="241"/>
    </row>
    <row r="943" spans="1:11" ht="15" customHeight="1" x14ac:dyDescent="0.2">
      <c r="A943" s="246">
        <v>44926</v>
      </c>
      <c r="B943" s="239">
        <v>-43450</v>
      </c>
      <c r="C943" s="239">
        <f>B943-D943</f>
        <v>-39500</v>
      </c>
      <c r="D943" s="242">
        <f>B943/11</f>
        <v>-3950</v>
      </c>
      <c r="E943" s="240" t="s">
        <v>426</v>
      </c>
      <c r="F943" s="243" t="s">
        <v>251</v>
      </c>
      <c r="G943" s="243" t="s">
        <v>422</v>
      </c>
      <c r="H943" s="244" t="s">
        <v>423</v>
      </c>
      <c r="I943" s="245"/>
      <c r="K943" s="222"/>
    </row>
    <row r="944" spans="1:11" ht="15" customHeight="1" x14ac:dyDescent="0.2">
      <c r="A944" s="246">
        <v>44926</v>
      </c>
      <c r="B944" s="239">
        <v>-1100</v>
      </c>
      <c r="C944" s="239">
        <f>B944-D944</f>
        <v>-1000</v>
      </c>
      <c r="D944" s="242">
        <f>B944/11</f>
        <v>-100</v>
      </c>
      <c r="E944" s="240" t="s">
        <v>381</v>
      </c>
      <c r="F944" s="243" t="s">
        <v>696</v>
      </c>
      <c r="G944" s="243" t="s">
        <v>381</v>
      </c>
      <c r="H944" s="244" t="s">
        <v>382</v>
      </c>
      <c r="I944" s="245"/>
      <c r="K944" s="222"/>
    </row>
    <row r="945" spans="1:11" ht="15" customHeight="1" x14ac:dyDescent="0.2">
      <c r="A945" s="238">
        <v>44926</v>
      </c>
      <c r="B945" s="239">
        <v>-4047.18</v>
      </c>
      <c r="C945" s="239">
        <v>-4047.18</v>
      </c>
      <c r="D945" s="239">
        <v>0</v>
      </c>
      <c r="E945" s="226" t="s">
        <v>792</v>
      </c>
      <c r="F945" s="240" t="s">
        <v>696</v>
      </c>
      <c r="G945" s="240" t="s">
        <v>713</v>
      </c>
      <c r="H945" s="241"/>
    </row>
    <row r="946" spans="1:11" ht="15" customHeight="1" x14ac:dyDescent="0.2">
      <c r="A946" s="238">
        <v>44926</v>
      </c>
      <c r="B946" s="239">
        <v>-11880.14</v>
      </c>
      <c r="C946" s="239">
        <v>-11880.14</v>
      </c>
      <c r="D946" s="239">
        <v>0</v>
      </c>
      <c r="E946" s="226" t="s">
        <v>793</v>
      </c>
      <c r="F946" s="240" t="s">
        <v>696</v>
      </c>
      <c r="G946" s="240" t="s">
        <v>6</v>
      </c>
      <c r="H946" s="241"/>
    </row>
    <row r="947" spans="1:11" ht="15" customHeight="1" x14ac:dyDescent="0.2">
      <c r="A947" s="266">
        <v>44949</v>
      </c>
      <c r="B947" s="239">
        <v>-200</v>
      </c>
      <c r="C947" s="239">
        <f>B947-D947</f>
        <v>-181.81818181818181</v>
      </c>
      <c r="D947" s="242">
        <f>B947/11</f>
        <v>-18.181818181818183</v>
      </c>
      <c r="E947" s="240" t="s">
        <v>394</v>
      </c>
      <c r="F947" s="243" t="s">
        <v>697</v>
      </c>
      <c r="G947" s="243" t="s">
        <v>394</v>
      </c>
      <c r="H947" s="244"/>
      <c r="I947" s="262" t="s">
        <v>415</v>
      </c>
      <c r="K947" s="222"/>
    </row>
    <row r="948" spans="1:11" ht="15" customHeight="1" x14ac:dyDescent="0.2">
      <c r="A948" s="266">
        <v>44949</v>
      </c>
      <c r="B948" s="239">
        <v>-1000</v>
      </c>
      <c r="C948" s="239">
        <f>B948-D948</f>
        <v>-909.09090909090912</v>
      </c>
      <c r="D948" s="242">
        <f>B948/11</f>
        <v>-90.909090909090907</v>
      </c>
      <c r="E948" s="239" t="s">
        <v>412</v>
      </c>
      <c r="F948" s="243" t="s">
        <v>697</v>
      </c>
      <c r="G948" s="240" t="s">
        <v>393</v>
      </c>
      <c r="H948" s="240"/>
      <c r="I948" s="263" t="s">
        <v>478</v>
      </c>
      <c r="K948" s="222"/>
    </row>
    <row r="949" spans="1:11" ht="15" customHeight="1" x14ac:dyDescent="0.2">
      <c r="A949" s="238">
        <v>44957</v>
      </c>
      <c r="B949" s="239">
        <v>-4047.18</v>
      </c>
      <c r="C949" s="239">
        <v>-4047.18</v>
      </c>
      <c r="D949" s="239">
        <v>0</v>
      </c>
      <c r="E949" s="226" t="s">
        <v>792</v>
      </c>
      <c r="F949" s="240" t="s">
        <v>696</v>
      </c>
      <c r="G949" s="240" t="s">
        <v>713</v>
      </c>
      <c r="H949" s="241"/>
    </row>
    <row r="950" spans="1:11" ht="15" customHeight="1" x14ac:dyDescent="0.2">
      <c r="A950" s="238">
        <v>44957</v>
      </c>
      <c r="B950" s="239">
        <v>-12224.77</v>
      </c>
      <c r="C950" s="239">
        <v>-12224.77</v>
      </c>
      <c r="D950" s="239">
        <v>0</v>
      </c>
      <c r="E950" s="226" t="s">
        <v>793</v>
      </c>
      <c r="F950" s="240" t="s">
        <v>696</v>
      </c>
      <c r="G950" s="240" t="s">
        <v>6</v>
      </c>
      <c r="H950" s="241"/>
    </row>
    <row r="951" spans="1:11" ht="15" customHeight="1" x14ac:dyDescent="0.2">
      <c r="A951" s="238">
        <v>44957</v>
      </c>
      <c r="B951" s="239">
        <v>-2622.38</v>
      </c>
      <c r="C951" s="239">
        <v>-2622.38</v>
      </c>
      <c r="D951" s="239">
        <v>0</v>
      </c>
      <c r="E951" s="240" t="s">
        <v>717</v>
      </c>
      <c r="F951" s="240" t="s">
        <v>696</v>
      </c>
      <c r="G951" s="240" t="s">
        <v>716</v>
      </c>
      <c r="H951" s="241"/>
    </row>
    <row r="952" spans="1:11" ht="15" customHeight="1" x14ac:dyDescent="0.2">
      <c r="A952" s="246">
        <v>44960</v>
      </c>
      <c r="B952" s="239">
        <v>-111.25</v>
      </c>
      <c r="C952" s="239">
        <f>B952-D952</f>
        <v>-111.25</v>
      </c>
      <c r="D952" s="242">
        <v>0</v>
      </c>
      <c r="E952" s="239" t="s">
        <v>390</v>
      </c>
      <c r="F952" s="243" t="s">
        <v>698</v>
      </c>
      <c r="G952" s="243" t="s">
        <v>391</v>
      </c>
      <c r="H952" s="240"/>
      <c r="I952" s="245"/>
      <c r="K952" s="222"/>
    </row>
    <row r="953" spans="1:11" ht="15" customHeight="1" x14ac:dyDescent="0.2">
      <c r="A953" s="246">
        <v>44960</v>
      </c>
      <c r="B953" s="239">
        <v>-111.25</v>
      </c>
      <c r="C953" s="239">
        <f>B953-D953</f>
        <v>-111.25</v>
      </c>
      <c r="D953" s="242">
        <v>0</v>
      </c>
      <c r="E953" s="225" t="s">
        <v>390</v>
      </c>
      <c r="F953" s="243" t="s">
        <v>698</v>
      </c>
      <c r="G953" s="243" t="s">
        <v>391</v>
      </c>
      <c r="H953" s="240"/>
      <c r="I953" s="245"/>
      <c r="K953" s="222"/>
    </row>
    <row r="954" spans="1:11" ht="15" customHeight="1" x14ac:dyDescent="0.2">
      <c r="A954" s="247">
        <v>44960</v>
      </c>
      <c r="B954" s="239">
        <v>-1000</v>
      </c>
      <c r="C954" s="239">
        <f>B954-D954</f>
        <v>-909.09090909090912</v>
      </c>
      <c r="D954" s="242">
        <f>B954/11</f>
        <v>-90.909090909090907</v>
      </c>
      <c r="E954" s="225" t="s">
        <v>412</v>
      </c>
      <c r="F954" s="243" t="s">
        <v>697</v>
      </c>
      <c r="G954" s="240" t="s">
        <v>393</v>
      </c>
      <c r="H954" s="240"/>
      <c r="I954" s="245"/>
      <c r="K954" s="222"/>
    </row>
    <row r="955" spans="1:11" ht="15" customHeight="1" x14ac:dyDescent="0.2">
      <c r="A955" s="266">
        <v>44967</v>
      </c>
      <c r="B955" s="239">
        <v>-860</v>
      </c>
      <c r="C955" s="239">
        <f>B955-D955</f>
        <v>-781.81818181818176</v>
      </c>
      <c r="D955" s="242">
        <f>B955/11</f>
        <v>-78.181818181818187</v>
      </c>
      <c r="E955" s="239" t="s">
        <v>412</v>
      </c>
      <c r="F955" s="243" t="s">
        <v>697</v>
      </c>
      <c r="G955" s="240" t="s">
        <v>393</v>
      </c>
      <c r="H955" s="240"/>
      <c r="I955" s="264">
        <v>45200</v>
      </c>
      <c r="K955" s="222"/>
    </row>
    <row r="956" spans="1:11" ht="15" customHeight="1" x14ac:dyDescent="0.2">
      <c r="A956" s="266">
        <v>44973</v>
      </c>
      <c r="B956" s="239">
        <v>-1100</v>
      </c>
      <c r="C956" s="239">
        <f>B956-D956</f>
        <v>-1000</v>
      </c>
      <c r="D956" s="242">
        <f>B956/11</f>
        <v>-100</v>
      </c>
      <c r="E956" s="239" t="s">
        <v>381</v>
      </c>
      <c r="F956" s="243" t="s">
        <v>696</v>
      </c>
      <c r="G956" s="240" t="s">
        <v>381</v>
      </c>
      <c r="H956" s="240" t="s">
        <v>382</v>
      </c>
      <c r="I956" s="262" t="s">
        <v>483</v>
      </c>
      <c r="K956" s="222"/>
    </row>
    <row r="957" spans="1:11" ht="15" customHeight="1" x14ac:dyDescent="0.2">
      <c r="A957" s="238">
        <v>44977</v>
      </c>
      <c r="B957" s="239">
        <v>-300</v>
      </c>
      <c r="C957" s="239">
        <v>-300</v>
      </c>
      <c r="D957" s="239">
        <v>0</v>
      </c>
      <c r="E957" s="240" t="s">
        <v>785</v>
      </c>
      <c r="F957" s="240" t="s">
        <v>696</v>
      </c>
      <c r="G957" s="240" t="s">
        <v>720</v>
      </c>
      <c r="H957" s="241"/>
    </row>
    <row r="958" spans="1:11" ht="15" customHeight="1" x14ac:dyDescent="0.2">
      <c r="A958" s="238">
        <v>44985</v>
      </c>
      <c r="B958" s="239">
        <v>-3655.52</v>
      </c>
      <c r="C958" s="239">
        <v>-3655.52</v>
      </c>
      <c r="D958" s="239">
        <v>0</v>
      </c>
      <c r="E958" s="240" t="s">
        <v>792</v>
      </c>
      <c r="F958" s="240" t="s">
        <v>696</v>
      </c>
      <c r="G958" s="240" t="s">
        <v>713</v>
      </c>
      <c r="H958" s="241"/>
    </row>
    <row r="959" spans="1:11" ht="15" customHeight="1" x14ac:dyDescent="0.2">
      <c r="A959" s="238">
        <v>44985</v>
      </c>
      <c r="B959" s="239">
        <v>-11299.74</v>
      </c>
      <c r="C959" s="239">
        <v>-11299.74</v>
      </c>
      <c r="D959" s="239">
        <v>0</v>
      </c>
      <c r="E959" s="240" t="s">
        <v>793</v>
      </c>
      <c r="F959" s="240" t="s">
        <v>696</v>
      </c>
      <c r="G959" s="240" t="s">
        <v>6</v>
      </c>
      <c r="H959" s="241"/>
    </row>
    <row r="960" spans="1:11" ht="15" customHeight="1" x14ac:dyDescent="0.2">
      <c r="A960" s="238">
        <v>44985</v>
      </c>
      <c r="B960" s="239">
        <v>-2496.2800000000002</v>
      </c>
      <c r="C960" s="239">
        <v>-2496.2800000000002</v>
      </c>
      <c r="D960" s="239">
        <v>0</v>
      </c>
      <c r="E960" s="240" t="s">
        <v>783</v>
      </c>
      <c r="F960" s="240" t="s">
        <v>696</v>
      </c>
      <c r="G960" s="240" t="s">
        <v>718</v>
      </c>
      <c r="H960" s="241"/>
    </row>
    <row r="961" spans="1:11" ht="15" customHeight="1" x14ac:dyDescent="0.2">
      <c r="A961" s="266">
        <v>45000</v>
      </c>
      <c r="B961" s="239">
        <v>-525</v>
      </c>
      <c r="C961" s="239">
        <f>B961-D961</f>
        <v>-477.27272727272725</v>
      </c>
      <c r="D961" s="242">
        <f>B961/11</f>
        <v>-47.727272727272727</v>
      </c>
      <c r="E961" s="239" t="s">
        <v>394</v>
      </c>
      <c r="F961" s="243" t="s">
        <v>697</v>
      </c>
      <c r="G961" s="240" t="s">
        <v>394</v>
      </c>
      <c r="H961" s="240"/>
      <c r="I961" s="262" t="s">
        <v>483</v>
      </c>
      <c r="K961" s="222"/>
    </row>
    <row r="962" spans="1:11" ht="15" customHeight="1" x14ac:dyDescent="0.2">
      <c r="A962" s="266">
        <v>45000</v>
      </c>
      <c r="B962" s="239">
        <v>-1100</v>
      </c>
      <c r="C962" s="239">
        <f>B962-D962</f>
        <v>-1000</v>
      </c>
      <c r="D962" s="242">
        <f>B962/11</f>
        <v>-100</v>
      </c>
      <c r="E962" s="239" t="s">
        <v>381</v>
      </c>
      <c r="F962" s="243" t="s">
        <v>696</v>
      </c>
      <c r="G962" s="240" t="s">
        <v>381</v>
      </c>
      <c r="H962" s="240" t="s">
        <v>382</v>
      </c>
      <c r="I962" s="262" t="s">
        <v>483</v>
      </c>
      <c r="K962" s="222"/>
    </row>
    <row r="963" spans="1:11" ht="15" customHeight="1" x14ac:dyDescent="0.2">
      <c r="A963" s="266">
        <v>45009</v>
      </c>
      <c r="B963" s="239">
        <v>-575</v>
      </c>
      <c r="C963" s="239">
        <f>B963-D963</f>
        <v>-522.72727272727275</v>
      </c>
      <c r="D963" s="242">
        <f>B963/11</f>
        <v>-52.272727272727273</v>
      </c>
      <c r="E963" s="239" t="s">
        <v>394</v>
      </c>
      <c r="F963" s="243" t="s">
        <v>697</v>
      </c>
      <c r="G963" s="240" t="s">
        <v>394</v>
      </c>
      <c r="H963" s="240"/>
      <c r="I963" s="262" t="s">
        <v>484</v>
      </c>
      <c r="K963" s="222"/>
    </row>
    <row r="964" spans="1:11" ht="15" customHeight="1" x14ac:dyDescent="0.2">
      <c r="A964" s="266">
        <v>45009</v>
      </c>
      <c r="B964" s="239">
        <v>-2000</v>
      </c>
      <c r="C964" s="239">
        <f>B964-D964</f>
        <v>-1818.1818181818182</v>
      </c>
      <c r="D964" s="242">
        <f>B964/11</f>
        <v>-181.81818181818181</v>
      </c>
      <c r="E964" s="239" t="s">
        <v>393</v>
      </c>
      <c r="F964" s="243" t="s">
        <v>697</v>
      </c>
      <c r="G964" s="240" t="s">
        <v>393</v>
      </c>
      <c r="H964" s="240"/>
      <c r="I964" s="262" t="s">
        <v>484</v>
      </c>
      <c r="K964" s="222"/>
    </row>
    <row r="965" spans="1:11" ht="15" customHeight="1" x14ac:dyDescent="0.2">
      <c r="A965" s="266">
        <v>45010</v>
      </c>
      <c r="B965" s="239">
        <v>-1600</v>
      </c>
      <c r="C965" s="239">
        <f>B965-D965</f>
        <v>-1454.5454545454545</v>
      </c>
      <c r="D965" s="242">
        <f>B965/11</f>
        <v>-145.45454545454547</v>
      </c>
      <c r="E965" s="239" t="s">
        <v>691</v>
      </c>
      <c r="F965" s="248" t="s">
        <v>689</v>
      </c>
      <c r="G965" s="240" t="s">
        <v>615</v>
      </c>
      <c r="H965" s="240" t="s">
        <v>690</v>
      </c>
      <c r="I965" s="262" t="s">
        <v>486</v>
      </c>
      <c r="K965" s="222"/>
    </row>
    <row r="966" spans="1:11" ht="15" customHeight="1" x14ac:dyDescent="0.2">
      <c r="A966" s="266">
        <v>45010</v>
      </c>
      <c r="B966" s="239">
        <v>-63030</v>
      </c>
      <c r="C966" s="239">
        <f>B966-D966</f>
        <v>-57300</v>
      </c>
      <c r="D966" s="242">
        <f>B966/11</f>
        <v>-5730</v>
      </c>
      <c r="E966" s="225" t="s">
        <v>693</v>
      </c>
      <c r="F966" s="243" t="s">
        <v>251</v>
      </c>
      <c r="G966" s="240" t="s">
        <v>422</v>
      </c>
      <c r="H966" s="244" t="s">
        <v>423</v>
      </c>
      <c r="I966" s="262" t="s">
        <v>486</v>
      </c>
      <c r="K966" s="222"/>
    </row>
    <row r="967" spans="1:11" ht="15" customHeight="1" x14ac:dyDescent="0.2">
      <c r="A967" s="266">
        <v>45011</v>
      </c>
      <c r="B967" s="239">
        <v>1100</v>
      </c>
      <c r="C967" s="239">
        <f>B967-D967</f>
        <v>1000</v>
      </c>
      <c r="D967" s="242">
        <f>B967/11</f>
        <v>100</v>
      </c>
      <c r="E967" s="226" t="s">
        <v>381</v>
      </c>
      <c r="F967" s="243" t="s">
        <v>696</v>
      </c>
      <c r="G967" s="243" t="s">
        <v>381</v>
      </c>
      <c r="H967" s="244" t="s">
        <v>382</v>
      </c>
      <c r="I967" s="262" t="s">
        <v>418</v>
      </c>
      <c r="K967" s="222"/>
    </row>
    <row r="968" spans="1:11" ht="15" customHeight="1" x14ac:dyDescent="0.2">
      <c r="A968" s="238">
        <v>45014</v>
      </c>
      <c r="B968" s="239">
        <v>-300</v>
      </c>
      <c r="C968" s="239">
        <v>-300</v>
      </c>
      <c r="D968" s="239">
        <v>0</v>
      </c>
      <c r="E968" s="240" t="s">
        <v>780</v>
      </c>
      <c r="F968" s="240" t="s">
        <v>696</v>
      </c>
      <c r="G968" s="240" t="s">
        <v>720</v>
      </c>
      <c r="H968" s="241"/>
    </row>
    <row r="969" spans="1:11" ht="15" customHeight="1" x14ac:dyDescent="0.2">
      <c r="A969" s="238">
        <v>45016</v>
      </c>
      <c r="B969" s="239">
        <v>-4047.18</v>
      </c>
      <c r="C969" s="239">
        <v>-4047.18</v>
      </c>
      <c r="D969" s="239">
        <v>0</v>
      </c>
      <c r="E969" s="240" t="s">
        <v>792</v>
      </c>
      <c r="F969" s="240" t="s">
        <v>696</v>
      </c>
      <c r="G969" s="240" t="s">
        <v>713</v>
      </c>
      <c r="H969" s="241"/>
    </row>
    <row r="970" spans="1:11" ht="15" customHeight="1" x14ac:dyDescent="0.2">
      <c r="A970" s="238">
        <v>45016</v>
      </c>
      <c r="B970" s="239">
        <v>-12985.27</v>
      </c>
      <c r="C970" s="239">
        <v>-12985.27</v>
      </c>
      <c r="D970" s="239">
        <v>0</v>
      </c>
      <c r="E970" s="240" t="s">
        <v>793</v>
      </c>
      <c r="F970" s="240" t="s">
        <v>696</v>
      </c>
      <c r="G970" s="240" t="s">
        <v>6</v>
      </c>
      <c r="H970" s="241"/>
    </row>
    <row r="971" spans="1:11" ht="15" customHeight="1" x14ac:dyDescent="0.2">
      <c r="A971" s="238">
        <v>45016</v>
      </c>
      <c r="B971" s="239">
        <v>-2892.11</v>
      </c>
      <c r="C971" s="239">
        <v>-2892.11</v>
      </c>
      <c r="D971" s="239">
        <v>0</v>
      </c>
      <c r="E971" s="240" t="s">
        <v>778</v>
      </c>
      <c r="F971" s="240" t="s">
        <v>696</v>
      </c>
      <c r="G971" s="240" t="s">
        <v>718</v>
      </c>
      <c r="H971" s="241"/>
    </row>
    <row r="972" spans="1:11" ht="15" customHeight="1" x14ac:dyDescent="0.2">
      <c r="A972" s="266">
        <v>45036</v>
      </c>
      <c r="B972" s="239">
        <v>-1100</v>
      </c>
      <c r="C972" s="239">
        <f>B972-D972</f>
        <v>-1000</v>
      </c>
      <c r="D972" s="242">
        <f>B972/11</f>
        <v>-100</v>
      </c>
      <c r="E972" s="225" t="s">
        <v>381</v>
      </c>
      <c r="F972" s="243" t="s">
        <v>696</v>
      </c>
      <c r="G972" s="240" t="s">
        <v>381</v>
      </c>
      <c r="H972" s="240" t="s">
        <v>382</v>
      </c>
      <c r="I972" s="262" t="s">
        <v>489</v>
      </c>
      <c r="K972" s="222"/>
    </row>
    <row r="973" spans="1:11" ht="15" customHeight="1" x14ac:dyDescent="0.2">
      <c r="A973" s="238">
        <v>45044</v>
      </c>
      <c r="B973" s="239">
        <v>-2926.25</v>
      </c>
      <c r="C973" s="239">
        <v>-2926.25</v>
      </c>
      <c r="D973" s="239">
        <v>0</v>
      </c>
      <c r="E973" s="226" t="s">
        <v>776</v>
      </c>
      <c r="F973" s="240" t="s">
        <v>696</v>
      </c>
      <c r="G973" s="240" t="s">
        <v>718</v>
      </c>
      <c r="H973" s="241"/>
    </row>
    <row r="974" spans="1:11" ht="15" customHeight="1" x14ac:dyDescent="0.2">
      <c r="A974" s="238">
        <v>45046</v>
      </c>
      <c r="B974" s="239">
        <v>-3916.63</v>
      </c>
      <c r="C974" s="239">
        <v>-3916.63</v>
      </c>
      <c r="D974" s="239">
        <v>0</v>
      </c>
      <c r="E974" s="240" t="s">
        <v>792</v>
      </c>
      <c r="F974" s="240" t="s">
        <v>696</v>
      </c>
      <c r="G974" s="240" t="s">
        <v>713</v>
      </c>
      <c r="H974" s="241"/>
    </row>
    <row r="975" spans="1:11" ht="15" customHeight="1" x14ac:dyDescent="0.2">
      <c r="A975" s="238">
        <v>45046</v>
      </c>
      <c r="B975" s="239">
        <v>-13901.99</v>
      </c>
      <c r="C975" s="239">
        <v>-13901.99</v>
      </c>
      <c r="D975" s="239">
        <v>0</v>
      </c>
      <c r="E975" s="240" t="s">
        <v>793</v>
      </c>
      <c r="F975" s="240" t="s">
        <v>696</v>
      </c>
      <c r="G975" s="240" t="s">
        <v>6</v>
      </c>
      <c r="H975" s="241"/>
    </row>
    <row r="976" spans="1:11" ht="15" customHeight="1" x14ac:dyDescent="0.2">
      <c r="A976" s="265">
        <v>45046</v>
      </c>
      <c r="B976" s="239">
        <v>-108347.92</v>
      </c>
      <c r="C976" s="239">
        <f>B976-D976</f>
        <v>-98498.109090909085</v>
      </c>
      <c r="D976" s="242">
        <f>B976/11</f>
        <v>-9849.8109090909093</v>
      </c>
      <c r="E976" s="239" t="s">
        <v>694</v>
      </c>
      <c r="F976" s="243" t="s">
        <v>251</v>
      </c>
      <c r="G976" s="240" t="s">
        <v>422</v>
      </c>
      <c r="H976" s="244" t="s">
        <v>423</v>
      </c>
      <c r="I976" s="246" t="s">
        <v>489</v>
      </c>
      <c r="K976" s="222"/>
    </row>
    <row r="977" spans="1:11" ht="15" customHeight="1" x14ac:dyDescent="0.2">
      <c r="A977" s="258">
        <v>45048</v>
      </c>
      <c r="B977" s="239">
        <v>-1788.31</v>
      </c>
      <c r="C977" s="239">
        <f>B977-D977</f>
        <v>-1625.7363636363636</v>
      </c>
      <c r="D977" s="242">
        <f>B977/11</f>
        <v>-162.57363636363635</v>
      </c>
      <c r="E977" s="239" t="s">
        <v>691</v>
      </c>
      <c r="F977" s="248" t="s">
        <v>689</v>
      </c>
      <c r="G977" s="240" t="s">
        <v>615</v>
      </c>
      <c r="H977" s="240" t="s">
        <v>690</v>
      </c>
      <c r="I977" s="268"/>
      <c r="K977" s="222"/>
    </row>
    <row r="978" spans="1:11" ht="15" customHeight="1" x14ac:dyDescent="0.2">
      <c r="A978" s="258">
        <v>45050</v>
      </c>
      <c r="B978" s="239">
        <v>-300</v>
      </c>
      <c r="C978" s="239">
        <v>-300</v>
      </c>
      <c r="D978" s="239">
        <v>0</v>
      </c>
      <c r="E978" s="240" t="s">
        <v>771</v>
      </c>
      <c r="F978" s="240" t="s">
        <v>696</v>
      </c>
      <c r="G978" s="240" t="s">
        <v>720</v>
      </c>
      <c r="H978" s="241"/>
      <c r="I978" s="241"/>
    </row>
    <row r="979" spans="1:11" ht="15" customHeight="1" x14ac:dyDescent="0.2">
      <c r="A979" s="258">
        <v>45050</v>
      </c>
      <c r="B979" s="239">
        <v>-4950</v>
      </c>
      <c r="C979" s="239">
        <v>-4950</v>
      </c>
      <c r="D979" s="239">
        <v>0</v>
      </c>
      <c r="E979" s="240" t="s">
        <v>774</v>
      </c>
      <c r="F979" s="240" t="s">
        <v>696</v>
      </c>
      <c r="G979" s="240" t="s">
        <v>757</v>
      </c>
      <c r="H979" s="241"/>
      <c r="I979" s="241"/>
    </row>
    <row r="980" spans="1:11" ht="15" customHeight="1" x14ac:dyDescent="0.2">
      <c r="A980" s="258">
        <v>45056</v>
      </c>
      <c r="B980" s="239">
        <v>-2000</v>
      </c>
      <c r="C980" s="239">
        <f>B980-D980</f>
        <v>-1818.1818181818182</v>
      </c>
      <c r="D980" s="242">
        <f>B980/11</f>
        <v>-181.81818181818181</v>
      </c>
      <c r="E980" s="239" t="s">
        <v>393</v>
      </c>
      <c r="F980" s="243" t="s">
        <v>697</v>
      </c>
      <c r="G980" s="240" t="s">
        <v>393</v>
      </c>
      <c r="H980" s="240"/>
      <c r="I980" s="268"/>
      <c r="K980" s="222"/>
    </row>
    <row r="981" spans="1:11" ht="15" customHeight="1" x14ac:dyDescent="0.2">
      <c r="A981" s="258">
        <v>45057</v>
      </c>
      <c r="B981" s="239">
        <v>-218.64</v>
      </c>
      <c r="C981" s="239">
        <f>B981-D981</f>
        <v>-198.76363636363635</v>
      </c>
      <c r="D981" s="242">
        <f>B981/11</f>
        <v>-19.876363636363635</v>
      </c>
      <c r="E981" s="239" t="s">
        <v>420</v>
      </c>
      <c r="F981" s="243" t="s">
        <v>698</v>
      </c>
      <c r="G981" s="243" t="s">
        <v>391</v>
      </c>
      <c r="H981" s="240"/>
      <c r="I981" s="268"/>
      <c r="K981" s="222"/>
    </row>
    <row r="982" spans="1:11" ht="15" customHeight="1" x14ac:dyDescent="0.2">
      <c r="A982" s="258">
        <v>45057</v>
      </c>
      <c r="B982" s="239">
        <v>-111.25</v>
      </c>
      <c r="C982" s="239">
        <f>B982-D982</f>
        <v>-111.25</v>
      </c>
      <c r="D982" s="242">
        <v>0</v>
      </c>
      <c r="E982" s="239" t="s">
        <v>456</v>
      </c>
      <c r="F982" s="243" t="s">
        <v>698</v>
      </c>
      <c r="G982" s="243" t="s">
        <v>391</v>
      </c>
      <c r="H982" s="240"/>
      <c r="I982" s="268"/>
      <c r="K982" s="222"/>
    </row>
    <row r="983" spans="1:11" ht="15" customHeight="1" x14ac:dyDescent="0.2">
      <c r="A983" s="258">
        <v>45057</v>
      </c>
      <c r="B983" s="239">
        <v>-111.25</v>
      </c>
      <c r="C983" s="239">
        <f>B983-D983</f>
        <v>-111.25</v>
      </c>
      <c r="D983" s="242">
        <v>0</v>
      </c>
      <c r="E983" s="239" t="s">
        <v>456</v>
      </c>
      <c r="F983" s="243" t="s">
        <v>698</v>
      </c>
      <c r="G983" s="243" t="s">
        <v>391</v>
      </c>
      <c r="H983" s="240"/>
      <c r="I983" s="268"/>
      <c r="K983" s="222"/>
    </row>
    <row r="984" spans="1:11" ht="15" customHeight="1" x14ac:dyDescent="0.2">
      <c r="A984" s="258">
        <v>45068</v>
      </c>
      <c r="B984" s="239">
        <v>-855.6</v>
      </c>
      <c r="C984" s="239">
        <f>B984-D984</f>
        <v>-777.81818181818187</v>
      </c>
      <c r="D984" s="242">
        <f>B984/11</f>
        <v>-77.781818181818181</v>
      </c>
      <c r="E984" s="239" t="s">
        <v>394</v>
      </c>
      <c r="F984" s="243" t="s">
        <v>697</v>
      </c>
      <c r="G984" s="240" t="s">
        <v>394</v>
      </c>
      <c r="H984" s="240"/>
      <c r="I984" s="268"/>
      <c r="K984" s="222"/>
    </row>
    <row r="985" spans="1:11" ht="15" customHeight="1" x14ac:dyDescent="0.2">
      <c r="A985" s="258">
        <v>45068</v>
      </c>
      <c r="B985" s="239">
        <v>-410</v>
      </c>
      <c r="C985" s="239">
        <f>B985-D985</f>
        <v>-372.72727272727275</v>
      </c>
      <c r="D985" s="242">
        <f>B985/11</f>
        <v>-37.272727272727273</v>
      </c>
      <c r="E985" s="239" t="s">
        <v>394</v>
      </c>
      <c r="F985" s="243" t="s">
        <v>697</v>
      </c>
      <c r="G985" s="240" t="s">
        <v>394</v>
      </c>
      <c r="H985" s="240"/>
      <c r="I985" s="268"/>
      <c r="K985" s="222"/>
    </row>
    <row r="986" spans="1:11" ht="15" customHeight="1" x14ac:dyDescent="0.2">
      <c r="A986" s="258">
        <v>45068</v>
      </c>
      <c r="B986" s="239">
        <v>-2029</v>
      </c>
      <c r="C986" s="239">
        <f>B986-D986</f>
        <v>-1844.5454545454545</v>
      </c>
      <c r="D986" s="242">
        <f>B986/11</f>
        <v>-184.45454545454547</v>
      </c>
      <c r="E986" s="239" t="s">
        <v>393</v>
      </c>
      <c r="F986" s="243" t="s">
        <v>697</v>
      </c>
      <c r="G986" s="240" t="s">
        <v>393</v>
      </c>
      <c r="H986" s="240"/>
      <c r="I986" s="268"/>
      <c r="K986" s="222"/>
    </row>
    <row r="987" spans="1:11" ht="15" customHeight="1" x14ac:dyDescent="0.2">
      <c r="A987" s="262">
        <v>45076</v>
      </c>
      <c r="B987" s="239">
        <v>-68817.58</v>
      </c>
      <c r="C987" s="239">
        <f>B987-D987</f>
        <v>-62561.436363636363</v>
      </c>
      <c r="D987" s="242">
        <f>B987/11</f>
        <v>-6256.1436363636367</v>
      </c>
      <c r="E987" s="239" t="s">
        <v>695</v>
      </c>
      <c r="F987" s="243" t="s">
        <v>251</v>
      </c>
      <c r="G987" s="240" t="s">
        <v>422</v>
      </c>
      <c r="H987" s="244" t="s">
        <v>423</v>
      </c>
      <c r="I987" s="268"/>
      <c r="K987" s="222"/>
    </row>
    <row r="988" spans="1:11" ht="15" customHeight="1" x14ac:dyDescent="0.2">
      <c r="A988" s="258">
        <v>45077</v>
      </c>
      <c r="B988" s="239">
        <v>-4047.18</v>
      </c>
      <c r="C988" s="239">
        <v>-4047.18</v>
      </c>
      <c r="D988" s="239">
        <v>0</v>
      </c>
      <c r="E988" s="240" t="s">
        <v>792</v>
      </c>
      <c r="F988" s="240" t="s">
        <v>696</v>
      </c>
      <c r="G988" s="240" t="s">
        <v>713</v>
      </c>
      <c r="H988" s="241"/>
      <c r="I988" s="241"/>
    </row>
    <row r="989" spans="1:11" ht="15" customHeight="1" x14ac:dyDescent="0.2">
      <c r="A989" s="258">
        <v>45077</v>
      </c>
      <c r="B989" s="239">
        <v>-15269.77</v>
      </c>
      <c r="C989" s="239">
        <v>-15269.77</v>
      </c>
      <c r="D989" s="239">
        <v>0</v>
      </c>
      <c r="E989" s="240" t="s">
        <v>793</v>
      </c>
      <c r="F989" s="240" t="s">
        <v>696</v>
      </c>
      <c r="G989" s="240" t="s">
        <v>6</v>
      </c>
      <c r="H989" s="241"/>
      <c r="I989" s="241"/>
    </row>
    <row r="990" spans="1:11" ht="15" customHeight="1" x14ac:dyDescent="0.2">
      <c r="A990" s="258">
        <v>45077</v>
      </c>
      <c r="B990" s="239">
        <v>-3059.03</v>
      </c>
      <c r="C990" s="239">
        <v>-3059.03</v>
      </c>
      <c r="D990" s="239">
        <v>0</v>
      </c>
      <c r="E990" s="240" t="s">
        <v>769</v>
      </c>
      <c r="F990" s="240" t="s">
        <v>696</v>
      </c>
      <c r="G990" s="240" t="s">
        <v>718</v>
      </c>
      <c r="H990" s="241"/>
      <c r="I990" s="241"/>
    </row>
    <row r="991" spans="1:11" ht="15" customHeight="1" x14ac:dyDescent="0.2">
      <c r="A991" s="258">
        <v>45083</v>
      </c>
      <c r="B991" s="239">
        <v>-111.25</v>
      </c>
      <c r="C991" s="239">
        <f>B991-D991</f>
        <v>-101.13636363636364</v>
      </c>
      <c r="D991" s="242">
        <f>B991/11</f>
        <v>-10.113636363636363</v>
      </c>
      <c r="E991" s="240"/>
      <c r="F991" s="243" t="s">
        <v>698</v>
      </c>
      <c r="G991" s="243" t="s">
        <v>391</v>
      </c>
      <c r="H991" s="240"/>
      <c r="I991" s="268"/>
      <c r="K991" s="222"/>
    </row>
    <row r="992" spans="1:11" ht="15" customHeight="1" x14ac:dyDescent="0.2">
      <c r="A992" s="258">
        <v>45093</v>
      </c>
      <c r="B992" s="239">
        <v>-300</v>
      </c>
      <c r="C992" s="239">
        <v>-300</v>
      </c>
      <c r="D992" s="239">
        <v>0</v>
      </c>
      <c r="E992" s="240" t="s">
        <v>766</v>
      </c>
      <c r="F992" s="240" t="s">
        <v>696</v>
      </c>
      <c r="G992" s="240" t="s">
        <v>720</v>
      </c>
      <c r="H992" s="241"/>
      <c r="I992" s="241"/>
    </row>
    <row r="993" spans="1:26" ht="15" customHeight="1" x14ac:dyDescent="0.2">
      <c r="A993" s="258">
        <v>45098</v>
      </c>
      <c r="B993" s="239">
        <v>-4028</v>
      </c>
      <c r="C993" s="239">
        <f>B993-D993</f>
        <v>-3661.818181818182</v>
      </c>
      <c r="D993" s="242">
        <f>B993/11</f>
        <v>-366.18181818181819</v>
      </c>
      <c r="E993" s="240" t="s">
        <v>393</v>
      </c>
      <c r="F993" s="243" t="s">
        <v>697</v>
      </c>
      <c r="G993" s="240" t="s">
        <v>393</v>
      </c>
      <c r="H993" s="240"/>
      <c r="I993" s="241"/>
      <c r="K993" s="222"/>
    </row>
    <row r="994" spans="1:26" ht="15" customHeight="1" x14ac:dyDescent="0.2">
      <c r="A994" s="258">
        <v>45107</v>
      </c>
      <c r="B994" s="239">
        <v>-3916.63</v>
      </c>
      <c r="C994" s="239">
        <v>-3916.63</v>
      </c>
      <c r="D994" s="239">
        <v>0</v>
      </c>
      <c r="E994" s="240" t="s">
        <v>792</v>
      </c>
      <c r="F994" s="240" t="s">
        <v>696</v>
      </c>
      <c r="G994" s="240" t="s">
        <v>713</v>
      </c>
      <c r="H994" s="241"/>
      <c r="I994" s="241"/>
    </row>
    <row r="995" spans="1:26" ht="15" customHeight="1" x14ac:dyDescent="0.2">
      <c r="A995" s="258">
        <v>45107</v>
      </c>
      <c r="B995" s="239">
        <v>-15273.97</v>
      </c>
      <c r="C995" s="239">
        <v>-15273.97</v>
      </c>
      <c r="D995" s="239">
        <v>0</v>
      </c>
      <c r="E995" s="240" t="s">
        <v>793</v>
      </c>
      <c r="F995" s="240" t="s">
        <v>696</v>
      </c>
      <c r="G995" s="240" t="s">
        <v>6</v>
      </c>
      <c r="H995" s="241"/>
      <c r="I995" s="241"/>
    </row>
    <row r="996" spans="1:26" ht="15" customHeight="1" x14ac:dyDescent="0.2">
      <c r="A996" s="258">
        <v>45107</v>
      </c>
      <c r="B996" s="239">
        <v>-3163.73</v>
      </c>
      <c r="C996" s="239">
        <v>-3163.73</v>
      </c>
      <c r="D996" s="239">
        <v>0</v>
      </c>
      <c r="E996" s="240" t="s">
        <v>764</v>
      </c>
      <c r="F996" s="240" t="s">
        <v>696</v>
      </c>
      <c r="G996" s="240" t="s">
        <v>718</v>
      </c>
      <c r="H996" s="241"/>
      <c r="I996" s="241"/>
    </row>
    <row r="997" spans="1:26" ht="15" customHeight="1" x14ac:dyDescent="0.2">
      <c r="A997" s="262">
        <v>45110</v>
      </c>
      <c r="B997" s="239">
        <v>-63601.59</v>
      </c>
      <c r="C997" s="239">
        <f>B997-D997</f>
        <v>-57819.627272727274</v>
      </c>
      <c r="D997" s="242">
        <f>B997/11</f>
        <v>-5781.9627272727266</v>
      </c>
      <c r="E997" s="239" t="s">
        <v>692</v>
      </c>
      <c r="F997" s="243" t="s">
        <v>251</v>
      </c>
      <c r="G997" s="240" t="s">
        <v>422</v>
      </c>
      <c r="H997" s="244" t="s">
        <v>423</v>
      </c>
      <c r="I997" s="268"/>
      <c r="J997" s="223" t="s">
        <v>56</v>
      </c>
      <c r="K997" s="222"/>
    </row>
    <row r="998" spans="1:26" ht="15.75" customHeight="1" x14ac:dyDescent="0.2">
      <c r="A998" s="269">
        <v>45223</v>
      </c>
      <c r="B998" s="270">
        <v>-150</v>
      </c>
      <c r="C998" s="270">
        <f>B998-D998</f>
        <v>-136.36363636363637</v>
      </c>
      <c r="D998" s="270">
        <f>B998/11</f>
        <v>-13.636363636363637</v>
      </c>
      <c r="E998" s="270" t="s">
        <v>394</v>
      </c>
      <c r="F998" s="270" t="s">
        <v>697</v>
      </c>
      <c r="G998" s="270" t="s">
        <v>394</v>
      </c>
      <c r="H998" s="270"/>
      <c r="I998" s="262"/>
      <c r="J998" s="259">
        <v>45223</v>
      </c>
      <c r="L998" s="222"/>
      <c r="M998" s="222"/>
      <c r="N998" s="222"/>
      <c r="O998" s="222"/>
      <c r="P998" s="222"/>
      <c r="Q998" s="222"/>
      <c r="R998" s="222"/>
      <c r="S998" s="222"/>
      <c r="T998" s="222"/>
      <c r="U998" s="222"/>
      <c r="V998" s="222"/>
      <c r="W998" s="222"/>
      <c r="X998" s="222"/>
      <c r="Y998" s="222"/>
      <c r="Z998" s="222"/>
    </row>
    <row r="999" spans="1:26" ht="15.75" customHeight="1" x14ac:dyDescent="0.2">
      <c r="A999" s="269">
        <v>45226</v>
      </c>
      <c r="B999" s="270">
        <v>-108.28</v>
      </c>
      <c r="C999" s="270">
        <f>B999</f>
        <v>-108.28</v>
      </c>
      <c r="D999" s="270">
        <v>0</v>
      </c>
      <c r="E999" s="270" t="s">
        <v>420</v>
      </c>
      <c r="F999" s="270" t="s">
        <v>698</v>
      </c>
      <c r="G999" s="270" t="s">
        <v>391</v>
      </c>
      <c r="H999" s="270"/>
      <c r="I999" s="262"/>
      <c r="J999" s="259">
        <v>45226</v>
      </c>
      <c r="L999" s="222"/>
      <c r="M999" s="222"/>
      <c r="N999" s="222"/>
      <c r="O999" s="222"/>
      <c r="P999" s="222"/>
      <c r="Q999" s="222"/>
      <c r="R999" s="222"/>
      <c r="S999" s="222"/>
      <c r="T999" s="222"/>
      <c r="U999" s="222"/>
      <c r="V999" s="222"/>
      <c r="W999" s="222"/>
      <c r="X999" s="222"/>
      <c r="Y999" s="222"/>
      <c r="Z999" s="222"/>
    </row>
    <row r="1000" spans="1:26" ht="15.75" customHeight="1" x14ac:dyDescent="0.2">
      <c r="A1000" s="269">
        <v>45226</v>
      </c>
      <c r="B1000" s="270">
        <f>C1000+D1000</f>
        <v>-100086.833</v>
      </c>
      <c r="C1000" s="270">
        <v>-90988.03</v>
      </c>
      <c r="D1000" s="270">
        <f>C1000*0.1</f>
        <v>-9098.8029999999999</v>
      </c>
      <c r="E1000" s="270" t="s">
        <v>421</v>
      </c>
      <c r="F1000" s="270" t="s">
        <v>251</v>
      </c>
      <c r="G1000" s="270" t="s">
        <v>422</v>
      </c>
      <c r="H1000" s="270" t="s">
        <v>423</v>
      </c>
      <c r="I1000" s="262"/>
      <c r="J1000" s="259">
        <v>45226</v>
      </c>
      <c r="L1000" s="222"/>
      <c r="M1000" s="222"/>
      <c r="N1000" s="222"/>
      <c r="O1000" s="222"/>
      <c r="P1000" s="222"/>
      <c r="Q1000" s="222"/>
      <c r="R1000" s="222"/>
      <c r="S1000" s="222"/>
      <c r="T1000" s="222"/>
      <c r="U1000" s="222"/>
      <c r="V1000" s="222"/>
      <c r="W1000" s="222"/>
      <c r="X1000" s="222"/>
      <c r="Y1000" s="222"/>
      <c r="Z1000" s="222"/>
    </row>
    <row r="1001" spans="1:26" ht="15.75" customHeight="1" x14ac:dyDescent="0.2">
      <c r="A1001" s="269">
        <v>45234</v>
      </c>
      <c r="B1001" s="270">
        <v>-2000</v>
      </c>
      <c r="C1001" s="270">
        <f>B1001-D1001</f>
        <v>-1818.1818181818182</v>
      </c>
      <c r="D1001" s="270">
        <f>B1001/11</f>
        <v>-181.81818181818181</v>
      </c>
      <c r="E1001" s="270" t="s">
        <v>393</v>
      </c>
      <c r="F1001" s="270" t="s">
        <v>697</v>
      </c>
      <c r="G1001" s="270" t="s">
        <v>393</v>
      </c>
      <c r="H1001" s="270"/>
      <c r="I1001" s="262"/>
      <c r="J1001" s="259">
        <v>45234</v>
      </c>
      <c r="L1001" s="222"/>
      <c r="M1001" s="222"/>
      <c r="N1001" s="222"/>
      <c r="O1001" s="222"/>
      <c r="P1001" s="222"/>
      <c r="Q1001" s="222"/>
      <c r="R1001" s="222"/>
      <c r="S1001" s="222"/>
      <c r="T1001" s="222"/>
      <c r="U1001" s="222"/>
      <c r="V1001" s="222"/>
      <c r="W1001" s="222"/>
      <c r="X1001" s="222"/>
      <c r="Y1001" s="222"/>
      <c r="Z1001" s="222"/>
    </row>
    <row r="1002" spans="1:26" ht="15.75" customHeight="1" x14ac:dyDescent="0.2">
      <c r="A1002" s="269">
        <v>45264</v>
      </c>
      <c r="B1002" s="270">
        <v>-3000</v>
      </c>
      <c r="C1002" s="270">
        <f>B1002-D1002</f>
        <v>-2727.272727272727</v>
      </c>
      <c r="D1002" s="270">
        <f>B1002/11</f>
        <v>-272.72727272727275</v>
      </c>
      <c r="E1002" s="270" t="s">
        <v>393</v>
      </c>
      <c r="F1002" s="270" t="s">
        <v>697</v>
      </c>
      <c r="G1002" s="270" t="s">
        <v>393</v>
      </c>
      <c r="H1002" s="270"/>
      <c r="I1002" s="262"/>
      <c r="J1002" s="259">
        <v>45264</v>
      </c>
      <c r="L1002" s="222"/>
      <c r="M1002" s="222"/>
      <c r="N1002" s="222"/>
      <c r="O1002" s="222"/>
      <c r="P1002" s="222"/>
      <c r="Q1002" s="222"/>
      <c r="R1002" s="222"/>
      <c r="S1002" s="222"/>
      <c r="T1002" s="222"/>
      <c r="U1002" s="222"/>
      <c r="V1002" s="222"/>
      <c r="W1002" s="222"/>
      <c r="X1002" s="222"/>
      <c r="Y1002" s="222"/>
      <c r="Z1002" s="222"/>
    </row>
  </sheetData>
  <autoFilter ref="A1:K997" xr:uid="{00000000-0001-0000-0300-000000000000}">
    <sortState xmlns:xlrd2="http://schemas.microsoft.com/office/spreadsheetml/2017/richdata2" ref="A2:K1002">
      <sortCondition ref="A1:A1002"/>
    </sortState>
  </autoFilter>
  <phoneticPr fontId="28" type="noConversion"/>
  <pageMargins left="0.7" right="0.7" top="0.75" bottom="0.75" header="0" footer="0"/>
  <pageSetup orientation="landscape"/>
  <headerFooter>
    <oddFooter>&amp;C_x000D_&amp;1#&amp;"Arial"&amp;8&amp;K000000 Information Security Classification - INTERNAL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1379-FFEF-8D47-8147-B3B4A835AC12}">
  <dimension ref="A1:I106"/>
  <sheetViews>
    <sheetView topLeftCell="A74" workbookViewId="0">
      <selection activeCell="R82" sqref="R1:R1048576"/>
    </sheetView>
  </sheetViews>
  <sheetFormatPr baseColWidth="10" defaultRowHeight="15" x14ac:dyDescent="0.2"/>
  <cols>
    <col min="1" max="6" width="10.7109375" style="169"/>
    <col min="7" max="7" width="21" style="169" bestFit="1" customWidth="1"/>
    <col min="8" max="8" width="14.7109375" style="169" bestFit="1" customWidth="1"/>
    <col min="9" max="9" width="10.7109375" style="199"/>
    <col min="10" max="16384" width="10.7109375" style="169"/>
  </cols>
  <sheetData>
    <row r="1" spans="1:9" x14ac:dyDescent="0.2">
      <c r="A1" s="188" t="s">
        <v>23</v>
      </c>
      <c r="B1" s="189" t="s">
        <v>24</v>
      </c>
      <c r="C1" s="190" t="s">
        <v>1</v>
      </c>
      <c r="D1" s="191" t="s">
        <v>2</v>
      </c>
      <c r="E1" s="188" t="s">
        <v>25</v>
      </c>
      <c r="F1" s="188" t="s">
        <v>13</v>
      </c>
      <c r="G1" s="188" t="s">
        <v>14</v>
      </c>
      <c r="H1" s="188" t="s">
        <v>15</v>
      </c>
    </row>
    <row r="2" spans="1:9" x14ac:dyDescent="0.2">
      <c r="A2" s="200">
        <v>44747</v>
      </c>
      <c r="B2" s="201">
        <v>-779.5</v>
      </c>
      <c r="C2" s="201">
        <v>-708.64</v>
      </c>
      <c r="D2" s="202">
        <v>-71</v>
      </c>
      <c r="E2" s="203" t="s">
        <v>403</v>
      </c>
      <c r="F2" s="204" t="s">
        <v>396</v>
      </c>
      <c r="G2" s="204" t="s">
        <v>402</v>
      </c>
      <c r="H2" s="205"/>
    </row>
    <row r="3" spans="1:9" x14ac:dyDescent="0.2">
      <c r="A3" s="206">
        <v>44756</v>
      </c>
      <c r="B3" s="207">
        <v>-856.9</v>
      </c>
      <c r="C3" s="207">
        <v>-779</v>
      </c>
      <c r="D3" s="208">
        <v>-78</v>
      </c>
      <c r="E3" s="209" t="s">
        <v>412</v>
      </c>
      <c r="F3" s="210" t="s">
        <v>697</v>
      </c>
      <c r="G3" s="210" t="s">
        <v>393</v>
      </c>
      <c r="H3" s="211"/>
    </row>
    <row r="4" spans="1:9" x14ac:dyDescent="0.2">
      <c r="A4" s="206">
        <v>44756</v>
      </c>
      <c r="B4" s="207">
        <v>-7784</v>
      </c>
      <c r="C4" s="207">
        <v>-7076.36</v>
      </c>
      <c r="D4" s="208">
        <v>-708</v>
      </c>
      <c r="E4" s="209" t="s">
        <v>413</v>
      </c>
      <c r="F4" s="210" t="s">
        <v>396</v>
      </c>
      <c r="G4" s="210" t="s">
        <v>397</v>
      </c>
      <c r="H4" s="211"/>
    </row>
    <row r="5" spans="1:9" x14ac:dyDescent="0.2">
      <c r="A5" s="206">
        <v>44769</v>
      </c>
      <c r="B5" s="207">
        <v>-779.5</v>
      </c>
      <c r="C5" s="207">
        <v>-708.64</v>
      </c>
      <c r="D5" s="208">
        <v>-71</v>
      </c>
      <c r="E5" s="209" t="s">
        <v>403</v>
      </c>
      <c r="F5" s="210" t="s">
        <v>396</v>
      </c>
      <c r="G5" s="210" t="s">
        <v>402</v>
      </c>
      <c r="H5" s="211"/>
    </row>
    <row r="6" spans="1:9" x14ac:dyDescent="0.2">
      <c r="A6" s="206">
        <v>44771</v>
      </c>
      <c r="B6" s="207">
        <v>-2141.04</v>
      </c>
      <c r="C6" s="207">
        <v>-2141.04</v>
      </c>
      <c r="D6" s="207">
        <v>0</v>
      </c>
      <c r="E6" s="209" t="s">
        <v>732</v>
      </c>
      <c r="F6" s="209" t="s">
        <v>696</v>
      </c>
      <c r="G6" s="209" t="s">
        <v>716</v>
      </c>
      <c r="H6" s="209"/>
      <c r="I6" s="169"/>
    </row>
    <row r="7" spans="1:9" x14ac:dyDescent="0.2">
      <c r="A7" s="206">
        <v>44773</v>
      </c>
      <c r="B7" s="207">
        <v>-4047.18</v>
      </c>
      <c r="C7" s="207">
        <v>-4047.18</v>
      </c>
      <c r="D7" s="207">
        <v>0</v>
      </c>
      <c r="E7" s="209"/>
      <c r="F7" s="209" t="s">
        <v>696</v>
      </c>
      <c r="G7" s="209" t="s">
        <v>713</v>
      </c>
      <c r="H7" s="209"/>
      <c r="I7" s="169"/>
    </row>
    <row r="8" spans="1:9" x14ac:dyDescent="0.2">
      <c r="A8" s="206">
        <v>44773</v>
      </c>
      <c r="B8" s="207">
        <v>-9981.9599999999991</v>
      </c>
      <c r="C8" s="207">
        <v>-9981.9599999999991</v>
      </c>
      <c r="D8" s="207">
        <v>0</v>
      </c>
      <c r="E8" s="209"/>
      <c r="F8" s="209" t="s">
        <v>696</v>
      </c>
      <c r="G8" s="209" t="s">
        <v>6</v>
      </c>
      <c r="H8" s="209"/>
      <c r="I8" s="169"/>
    </row>
    <row r="9" spans="1:9" x14ac:dyDescent="0.2">
      <c r="A9" s="206">
        <v>44774</v>
      </c>
      <c r="B9" s="207">
        <v>-238.7</v>
      </c>
      <c r="C9" s="207">
        <v>-217</v>
      </c>
      <c r="D9" s="208">
        <v>-22</v>
      </c>
      <c r="E9" s="209" t="s">
        <v>414</v>
      </c>
      <c r="F9" s="210" t="s">
        <v>396</v>
      </c>
      <c r="G9" s="210" t="s">
        <v>289</v>
      </c>
      <c r="H9" s="211" t="s">
        <v>405</v>
      </c>
    </row>
    <row r="10" spans="1:9" x14ac:dyDescent="0.2">
      <c r="A10" s="206">
        <v>44788</v>
      </c>
      <c r="B10" s="207">
        <v>-389.75</v>
      </c>
      <c r="C10" s="207">
        <v>-354.32</v>
      </c>
      <c r="D10" s="208">
        <v>-35</v>
      </c>
      <c r="E10" s="209" t="s">
        <v>403</v>
      </c>
      <c r="F10" s="210" t="s">
        <v>396</v>
      </c>
      <c r="G10" s="210" t="s">
        <v>402</v>
      </c>
      <c r="H10" s="211"/>
    </row>
    <row r="11" spans="1:9" x14ac:dyDescent="0.2">
      <c r="A11" s="206">
        <v>44789</v>
      </c>
      <c r="B11" s="207">
        <v>-586.29999999999995</v>
      </c>
      <c r="C11" s="207">
        <v>-533</v>
      </c>
      <c r="D11" s="208">
        <v>-53</v>
      </c>
      <c r="E11" s="209" t="s">
        <v>412</v>
      </c>
      <c r="F11" s="210" t="s">
        <v>697</v>
      </c>
      <c r="G11" s="210" t="s">
        <v>393</v>
      </c>
      <c r="H11" s="211"/>
    </row>
    <row r="12" spans="1:9" x14ac:dyDescent="0.2">
      <c r="A12" s="206">
        <v>44804</v>
      </c>
      <c r="B12" s="207">
        <v>-4047.18</v>
      </c>
      <c r="C12" s="207">
        <v>-4047.18</v>
      </c>
      <c r="D12" s="207">
        <v>0</v>
      </c>
      <c r="E12" s="209"/>
      <c r="F12" s="209" t="s">
        <v>696</v>
      </c>
      <c r="G12" s="209" t="s">
        <v>713</v>
      </c>
      <c r="H12" s="209"/>
      <c r="I12" s="169"/>
    </row>
    <row r="13" spans="1:9" x14ac:dyDescent="0.2">
      <c r="A13" s="206">
        <v>44804</v>
      </c>
      <c r="B13" s="207">
        <v>-10103.83</v>
      </c>
      <c r="C13" s="207">
        <v>-10103.83</v>
      </c>
      <c r="D13" s="207">
        <v>0</v>
      </c>
      <c r="E13" s="209"/>
      <c r="F13" s="209" t="s">
        <v>696</v>
      </c>
      <c r="G13" s="209" t="s">
        <v>6</v>
      </c>
      <c r="H13" s="209"/>
      <c r="I13" s="169"/>
    </row>
    <row r="14" spans="1:9" x14ac:dyDescent="0.2">
      <c r="A14" s="206">
        <v>44804</v>
      </c>
      <c r="B14" s="207">
        <v>-2167.41</v>
      </c>
      <c r="C14" s="207">
        <v>-2167.41</v>
      </c>
      <c r="D14" s="207">
        <v>0</v>
      </c>
      <c r="E14" s="209" t="s">
        <v>731</v>
      </c>
      <c r="F14" s="209" t="s">
        <v>696</v>
      </c>
      <c r="G14" s="209" t="s">
        <v>716</v>
      </c>
      <c r="H14" s="209"/>
      <c r="I14" s="169"/>
    </row>
    <row r="15" spans="1:9" x14ac:dyDescent="0.2">
      <c r="A15" s="206">
        <v>44805</v>
      </c>
      <c r="B15" s="207">
        <v>-231</v>
      </c>
      <c r="C15" s="207">
        <v>-210</v>
      </c>
      <c r="D15" s="208">
        <v>-21</v>
      </c>
      <c r="E15" s="209" t="s">
        <v>414</v>
      </c>
      <c r="F15" s="210" t="s">
        <v>396</v>
      </c>
      <c r="G15" s="210" t="s">
        <v>289</v>
      </c>
      <c r="H15" s="211" t="s">
        <v>405</v>
      </c>
    </row>
    <row r="16" spans="1:9" x14ac:dyDescent="0.2">
      <c r="A16" s="206">
        <v>44810</v>
      </c>
      <c r="B16" s="207">
        <v>-377.17</v>
      </c>
      <c r="C16" s="207">
        <v>-342.88</v>
      </c>
      <c r="D16" s="208">
        <v>-34</v>
      </c>
      <c r="E16" s="209" t="s">
        <v>403</v>
      </c>
      <c r="F16" s="210" t="s">
        <v>396</v>
      </c>
      <c r="G16" s="210" t="s">
        <v>402</v>
      </c>
      <c r="H16" s="211"/>
    </row>
    <row r="17" spans="1:9" x14ac:dyDescent="0.2">
      <c r="A17" s="206">
        <v>44819</v>
      </c>
      <c r="B17" s="207">
        <v>-195.25</v>
      </c>
      <c r="C17" s="207">
        <v>-177.5</v>
      </c>
      <c r="D17" s="208">
        <v>-18</v>
      </c>
      <c r="E17" s="209" t="s">
        <v>414</v>
      </c>
      <c r="F17" s="210" t="s">
        <v>396</v>
      </c>
      <c r="G17" s="210" t="s">
        <v>289</v>
      </c>
      <c r="H17" s="211" t="s">
        <v>405</v>
      </c>
    </row>
    <row r="18" spans="1:9" x14ac:dyDescent="0.2">
      <c r="A18" s="206">
        <v>44834</v>
      </c>
      <c r="B18" s="207">
        <v>-3916.63</v>
      </c>
      <c r="C18" s="207">
        <v>-3916.63</v>
      </c>
      <c r="D18" s="207">
        <v>0</v>
      </c>
      <c r="E18" s="209"/>
      <c r="F18" s="209" t="s">
        <v>696</v>
      </c>
      <c r="G18" s="209" t="s">
        <v>713</v>
      </c>
      <c r="H18" s="209"/>
      <c r="I18" s="169"/>
    </row>
    <row r="19" spans="1:9" x14ac:dyDescent="0.2">
      <c r="A19" s="206">
        <v>44834</v>
      </c>
      <c r="B19" s="207">
        <v>-9897.9500000000007</v>
      </c>
      <c r="C19" s="207">
        <v>-9897.9500000000007</v>
      </c>
      <c r="D19" s="207">
        <v>0</v>
      </c>
      <c r="E19" s="209"/>
      <c r="F19" s="209" t="s">
        <v>696</v>
      </c>
      <c r="G19" s="209" t="s">
        <v>6</v>
      </c>
      <c r="H19" s="209"/>
      <c r="I19" s="169"/>
    </row>
    <row r="20" spans="1:9" x14ac:dyDescent="0.2">
      <c r="A20" s="206">
        <v>44834</v>
      </c>
      <c r="B20" s="207">
        <v>-2123.25</v>
      </c>
      <c r="C20" s="207">
        <v>-2123.25</v>
      </c>
      <c r="D20" s="207">
        <v>0</v>
      </c>
      <c r="E20" s="209" t="s">
        <v>730</v>
      </c>
      <c r="F20" s="209" t="s">
        <v>696</v>
      </c>
      <c r="G20" s="209" t="s">
        <v>716</v>
      </c>
      <c r="H20" s="209"/>
      <c r="I20" s="169"/>
    </row>
    <row r="21" spans="1:9" x14ac:dyDescent="0.2">
      <c r="A21" s="212">
        <v>44855</v>
      </c>
      <c r="B21" s="207">
        <v>-200</v>
      </c>
      <c r="C21" s="207">
        <v>-181.82</v>
      </c>
      <c r="D21" s="208">
        <v>-18</v>
      </c>
      <c r="E21" s="209" t="s">
        <v>394</v>
      </c>
      <c r="F21" s="210" t="s">
        <v>697</v>
      </c>
      <c r="G21" s="210" t="s">
        <v>394</v>
      </c>
      <c r="H21" s="211"/>
      <c r="I21" s="169"/>
    </row>
    <row r="22" spans="1:9" x14ac:dyDescent="0.2">
      <c r="A22" s="212">
        <v>44858</v>
      </c>
      <c r="B22" s="207">
        <v>-150</v>
      </c>
      <c r="C22" s="207">
        <v>-136.36000000000001</v>
      </c>
      <c r="D22" s="208">
        <v>-14</v>
      </c>
      <c r="E22" s="209" t="s">
        <v>394</v>
      </c>
      <c r="F22" s="210" t="s">
        <v>697</v>
      </c>
      <c r="G22" s="210" t="s">
        <v>394</v>
      </c>
      <c r="H22" s="211"/>
      <c r="I22" s="169"/>
    </row>
    <row r="23" spans="1:9" x14ac:dyDescent="0.2">
      <c r="A23" s="212">
        <v>44858</v>
      </c>
      <c r="B23" s="207">
        <v>-150</v>
      </c>
      <c r="C23" s="207">
        <v>-136.36000000000001</v>
      </c>
      <c r="D23" s="208">
        <v>-14</v>
      </c>
      <c r="E23" s="209" t="s">
        <v>394</v>
      </c>
      <c r="F23" s="210" t="s">
        <v>697</v>
      </c>
      <c r="G23" s="210" t="s">
        <v>394</v>
      </c>
      <c r="H23" s="211"/>
      <c r="I23" s="169"/>
    </row>
    <row r="24" spans="1:9" x14ac:dyDescent="0.2">
      <c r="A24" s="212">
        <v>44860</v>
      </c>
      <c r="B24" s="207">
        <v>1100</v>
      </c>
      <c r="C24" s="207">
        <v>1000</v>
      </c>
      <c r="D24" s="208">
        <v>100</v>
      </c>
      <c r="E24" s="209" t="s">
        <v>381</v>
      </c>
      <c r="F24" s="210" t="s">
        <v>696</v>
      </c>
      <c r="G24" s="210" t="s">
        <v>381</v>
      </c>
      <c r="H24" s="211" t="s">
        <v>382</v>
      </c>
      <c r="I24" s="169"/>
    </row>
    <row r="25" spans="1:9" x14ac:dyDescent="0.2">
      <c r="A25" s="206">
        <v>44861</v>
      </c>
      <c r="B25" s="209">
        <v>-300</v>
      </c>
      <c r="C25" s="209">
        <v>-300</v>
      </c>
      <c r="D25" s="207">
        <v>0</v>
      </c>
      <c r="E25" s="209" t="s">
        <v>729</v>
      </c>
      <c r="F25" s="209" t="s">
        <v>696</v>
      </c>
      <c r="G25" s="209" t="s">
        <v>720</v>
      </c>
      <c r="H25" s="209"/>
      <c r="I25" s="169"/>
    </row>
    <row r="26" spans="1:9" x14ac:dyDescent="0.2">
      <c r="A26" s="212">
        <v>44861</v>
      </c>
      <c r="B26" s="213">
        <v>-108.28</v>
      </c>
      <c r="C26" s="207">
        <v>-108.28</v>
      </c>
      <c r="D26" s="207">
        <v>0</v>
      </c>
      <c r="E26" s="209" t="s">
        <v>420</v>
      </c>
      <c r="F26" s="210" t="s">
        <v>698</v>
      </c>
      <c r="G26" s="210" t="s">
        <v>391</v>
      </c>
      <c r="H26" s="211"/>
      <c r="I26" s="169"/>
    </row>
    <row r="27" spans="1:9" x14ac:dyDescent="0.2">
      <c r="A27" s="212">
        <v>44861</v>
      </c>
      <c r="B27" s="214">
        <v>-90988.03</v>
      </c>
      <c r="C27" s="207">
        <f>B27</f>
        <v>-90988.03</v>
      </c>
      <c r="D27" s="208">
        <v>0</v>
      </c>
      <c r="E27" s="209" t="s">
        <v>421</v>
      </c>
      <c r="F27" s="210" t="s">
        <v>251</v>
      </c>
      <c r="G27" s="210" t="s">
        <v>422</v>
      </c>
      <c r="H27" s="211" t="s">
        <v>423</v>
      </c>
      <c r="I27" s="169"/>
    </row>
    <row r="28" spans="1:9" x14ac:dyDescent="0.2">
      <c r="A28" s="212">
        <v>44861</v>
      </c>
      <c r="B28" s="78">
        <f>-9710.44</f>
        <v>-9710.44</v>
      </c>
      <c r="C28" s="207">
        <v>0</v>
      </c>
      <c r="D28" s="208">
        <f>B28</f>
        <v>-9710.44</v>
      </c>
      <c r="E28" s="209" t="s">
        <v>425</v>
      </c>
      <c r="F28" s="210" t="s">
        <v>251</v>
      </c>
      <c r="G28" s="210" t="s">
        <v>422</v>
      </c>
      <c r="H28" s="211" t="s">
        <v>423</v>
      </c>
      <c r="I28" s="169"/>
    </row>
    <row r="29" spans="1:9" x14ac:dyDescent="0.2">
      <c r="A29" s="206">
        <v>44865</v>
      </c>
      <c r="B29" s="207">
        <v>-4047.18</v>
      </c>
      <c r="C29" s="207">
        <v>-4047.18</v>
      </c>
      <c r="D29" s="207">
        <v>0</v>
      </c>
      <c r="E29" s="209"/>
      <c r="F29" s="209" t="s">
        <v>696</v>
      </c>
      <c r="G29" s="209" t="s">
        <v>713</v>
      </c>
      <c r="H29" s="209"/>
      <c r="I29" s="169"/>
    </row>
    <row r="30" spans="1:9" x14ac:dyDescent="0.2">
      <c r="A30" s="206">
        <v>44865</v>
      </c>
      <c r="B30" s="207">
        <v>10460.950000000001</v>
      </c>
      <c r="C30" s="207">
        <v>10460.950000000001</v>
      </c>
      <c r="D30" s="207">
        <v>0</v>
      </c>
      <c r="E30" s="209"/>
      <c r="F30" s="209" t="s">
        <v>696</v>
      </c>
      <c r="G30" s="209" t="s">
        <v>6</v>
      </c>
      <c r="H30" s="209"/>
      <c r="I30" s="169"/>
    </row>
    <row r="31" spans="1:9" x14ac:dyDescent="0.2">
      <c r="A31" s="206">
        <v>44865</v>
      </c>
      <c r="B31" s="207">
        <v>-2220.0100000000002</v>
      </c>
      <c r="C31" s="207">
        <v>-2220.0100000000002</v>
      </c>
      <c r="D31" s="207">
        <v>0</v>
      </c>
      <c r="E31" s="209" t="s">
        <v>728</v>
      </c>
      <c r="F31" s="209" t="s">
        <v>696</v>
      </c>
      <c r="G31" s="209" t="s">
        <v>716</v>
      </c>
      <c r="H31" s="209"/>
    </row>
    <row r="32" spans="1:9" x14ac:dyDescent="0.2">
      <c r="A32" s="212">
        <v>45028</v>
      </c>
      <c r="B32" s="207">
        <v>-2000</v>
      </c>
      <c r="C32" s="207">
        <v>-1818.18</v>
      </c>
      <c r="D32" s="208">
        <v>-182</v>
      </c>
      <c r="E32" s="207" t="s">
        <v>393</v>
      </c>
      <c r="F32" s="210" t="s">
        <v>697</v>
      </c>
      <c r="G32" s="209" t="s">
        <v>393</v>
      </c>
      <c r="H32" s="209"/>
    </row>
    <row r="33" spans="1:9" x14ac:dyDescent="0.2">
      <c r="A33" s="212">
        <v>44872</v>
      </c>
      <c r="B33" s="207">
        <f>C33+D33</f>
        <v>-62480</v>
      </c>
      <c r="C33" s="207">
        <v>-56800</v>
      </c>
      <c r="D33" s="208">
        <f>C33*0.1</f>
        <v>-5680</v>
      </c>
      <c r="E33" s="207" t="s">
        <v>693</v>
      </c>
      <c r="F33" s="210" t="s">
        <v>251</v>
      </c>
      <c r="G33" s="209" t="s">
        <v>422</v>
      </c>
      <c r="H33" s="211" t="s">
        <v>423</v>
      </c>
    </row>
    <row r="34" spans="1:9" x14ac:dyDescent="0.2">
      <c r="A34" s="212">
        <v>44879</v>
      </c>
      <c r="B34" s="207">
        <v>-225.95</v>
      </c>
      <c r="C34" s="207">
        <v>-225.95</v>
      </c>
      <c r="D34" s="208">
        <v>0</v>
      </c>
      <c r="E34" s="209" t="s">
        <v>390</v>
      </c>
      <c r="F34" s="210" t="s">
        <v>698</v>
      </c>
      <c r="G34" s="210" t="s">
        <v>391</v>
      </c>
      <c r="H34" s="211"/>
    </row>
    <row r="35" spans="1:9" x14ac:dyDescent="0.2">
      <c r="A35" s="212">
        <v>44879</v>
      </c>
      <c r="B35" s="207">
        <v>-222.5</v>
      </c>
      <c r="C35" s="207">
        <v>-222.5</v>
      </c>
      <c r="D35" s="208">
        <v>0</v>
      </c>
      <c r="E35" s="209" t="s">
        <v>390</v>
      </c>
      <c r="F35" s="210" t="s">
        <v>698</v>
      </c>
      <c r="G35" s="210" t="s">
        <v>391</v>
      </c>
      <c r="H35" s="211"/>
    </row>
    <row r="36" spans="1:9" x14ac:dyDescent="0.2">
      <c r="A36" s="206">
        <v>44882</v>
      </c>
      <c r="B36" s="209">
        <v>-300</v>
      </c>
      <c r="C36" s="209">
        <v>-300</v>
      </c>
      <c r="D36" s="207">
        <v>0</v>
      </c>
      <c r="E36" s="209" t="s">
        <v>727</v>
      </c>
      <c r="F36" s="209" t="s">
        <v>696</v>
      </c>
      <c r="G36" s="209" t="s">
        <v>720</v>
      </c>
      <c r="H36" s="209"/>
      <c r="I36" s="169"/>
    </row>
    <row r="37" spans="1:9" x14ac:dyDescent="0.2">
      <c r="A37" s="212">
        <v>44883</v>
      </c>
      <c r="B37" s="207">
        <v>-290</v>
      </c>
      <c r="C37" s="207">
        <v>290</v>
      </c>
      <c r="D37" s="208">
        <v>0</v>
      </c>
      <c r="E37" s="209" t="s">
        <v>688</v>
      </c>
      <c r="F37" s="210" t="s">
        <v>11</v>
      </c>
      <c r="G37" s="210" t="s">
        <v>700</v>
      </c>
      <c r="H37" s="211"/>
      <c r="I37" s="169"/>
    </row>
    <row r="38" spans="1:9" x14ac:dyDescent="0.2">
      <c r="A38" s="212">
        <v>44883</v>
      </c>
      <c r="B38" s="207">
        <v>-1000</v>
      </c>
      <c r="C38" s="207">
        <v>-909.09</v>
      </c>
      <c r="D38" s="208">
        <v>-91</v>
      </c>
      <c r="E38" s="209" t="s">
        <v>412</v>
      </c>
      <c r="F38" s="210" t="s">
        <v>697</v>
      </c>
      <c r="G38" s="210" t="s">
        <v>393</v>
      </c>
      <c r="H38" s="211"/>
      <c r="I38" s="169"/>
    </row>
    <row r="39" spans="1:9" x14ac:dyDescent="0.2">
      <c r="A39" s="212">
        <v>44886</v>
      </c>
      <c r="B39" s="207">
        <v>-1100</v>
      </c>
      <c r="C39" s="207">
        <v>-1000</v>
      </c>
      <c r="D39" s="208">
        <v>-100</v>
      </c>
      <c r="E39" s="209" t="s">
        <v>381</v>
      </c>
      <c r="F39" s="210" t="s">
        <v>696</v>
      </c>
      <c r="G39" s="210" t="s">
        <v>381</v>
      </c>
      <c r="H39" s="211" t="s">
        <v>382</v>
      </c>
    </row>
    <row r="40" spans="1:9" x14ac:dyDescent="0.2">
      <c r="A40" s="212">
        <v>44888</v>
      </c>
      <c r="B40" s="207">
        <v>-500</v>
      </c>
      <c r="C40" s="207">
        <v>-454.55</v>
      </c>
      <c r="D40" s="208">
        <v>-45</v>
      </c>
      <c r="E40" s="209" t="s">
        <v>412</v>
      </c>
      <c r="F40" s="210" t="s">
        <v>697</v>
      </c>
      <c r="G40" s="210" t="s">
        <v>393</v>
      </c>
      <c r="H40" s="211"/>
    </row>
    <row r="41" spans="1:9" x14ac:dyDescent="0.2">
      <c r="A41" s="206">
        <v>44895</v>
      </c>
      <c r="B41" s="207">
        <v>-3916.63</v>
      </c>
      <c r="C41" s="207">
        <v>-3916.63</v>
      </c>
      <c r="D41" s="207">
        <v>0</v>
      </c>
      <c r="E41" s="209"/>
      <c r="F41" s="209" t="s">
        <v>696</v>
      </c>
      <c r="G41" s="209" t="s">
        <v>713</v>
      </c>
      <c r="H41" s="209"/>
    </row>
    <row r="42" spans="1:9" x14ac:dyDescent="0.2">
      <c r="A42" s="206">
        <v>44895</v>
      </c>
      <c r="B42" s="207">
        <v>-11026.83</v>
      </c>
      <c r="C42" s="207">
        <v>-11026.83</v>
      </c>
      <c r="D42" s="207">
        <v>0</v>
      </c>
      <c r="E42" s="209"/>
      <c r="F42" s="209" t="s">
        <v>696</v>
      </c>
      <c r="G42" s="209" t="s">
        <v>6</v>
      </c>
      <c r="H42" s="209"/>
      <c r="I42" s="169"/>
    </row>
    <row r="43" spans="1:9" x14ac:dyDescent="0.2">
      <c r="A43" s="206">
        <v>44895</v>
      </c>
      <c r="B43" s="207">
        <v>-2318.86</v>
      </c>
      <c r="C43" s="207">
        <v>-2318.86</v>
      </c>
      <c r="D43" s="207">
        <v>0</v>
      </c>
      <c r="E43" s="209" t="s">
        <v>726</v>
      </c>
      <c r="F43" s="209" t="s">
        <v>696</v>
      </c>
      <c r="G43" s="209" t="s">
        <v>716</v>
      </c>
      <c r="H43" s="209"/>
      <c r="I43" s="169"/>
    </row>
    <row r="44" spans="1:9" x14ac:dyDescent="0.2">
      <c r="A44" s="212">
        <v>45028</v>
      </c>
      <c r="B44" s="207">
        <v>-3000</v>
      </c>
      <c r="C44" s="207">
        <v>-2727.27</v>
      </c>
      <c r="D44" s="208">
        <v>-273</v>
      </c>
      <c r="E44" s="207" t="s">
        <v>393</v>
      </c>
      <c r="F44" s="210" t="s">
        <v>697</v>
      </c>
      <c r="G44" s="209" t="s">
        <v>393</v>
      </c>
      <c r="H44" s="209"/>
    </row>
    <row r="45" spans="1:9" x14ac:dyDescent="0.2">
      <c r="A45" s="212">
        <v>44907</v>
      </c>
      <c r="B45" s="207">
        <v>-400</v>
      </c>
      <c r="C45" s="207">
        <v>-363.64</v>
      </c>
      <c r="D45" s="208">
        <v>-36</v>
      </c>
      <c r="E45" s="209" t="s">
        <v>394</v>
      </c>
      <c r="F45" s="210" t="s">
        <v>697</v>
      </c>
      <c r="G45" s="210" t="s">
        <v>394</v>
      </c>
      <c r="H45" s="211"/>
    </row>
    <row r="46" spans="1:9" x14ac:dyDescent="0.2">
      <c r="A46" s="212">
        <v>44907</v>
      </c>
      <c r="B46" s="207">
        <v>-1000</v>
      </c>
      <c r="C46" s="207">
        <v>-909.09</v>
      </c>
      <c r="D46" s="208">
        <v>-91</v>
      </c>
      <c r="E46" s="209" t="s">
        <v>202</v>
      </c>
      <c r="F46" s="210" t="s">
        <v>697</v>
      </c>
      <c r="G46" s="210" t="s">
        <v>393</v>
      </c>
      <c r="H46" s="211"/>
    </row>
    <row r="47" spans="1:9" x14ac:dyDescent="0.2">
      <c r="A47" s="212">
        <v>44914</v>
      </c>
      <c r="B47" s="207">
        <v>-750</v>
      </c>
      <c r="C47" s="207">
        <v>-681.82</v>
      </c>
      <c r="D47" s="208">
        <v>-68</v>
      </c>
      <c r="E47" s="209" t="s">
        <v>412</v>
      </c>
      <c r="F47" s="210" t="s">
        <v>697</v>
      </c>
      <c r="G47" s="210" t="s">
        <v>393</v>
      </c>
      <c r="H47" s="211"/>
      <c r="I47" s="169"/>
    </row>
    <row r="48" spans="1:9" x14ac:dyDescent="0.2">
      <c r="A48" s="206">
        <v>44917</v>
      </c>
      <c r="B48" s="209">
        <v>-300</v>
      </c>
      <c r="C48" s="209">
        <v>-300</v>
      </c>
      <c r="D48" s="207">
        <v>0</v>
      </c>
      <c r="E48" s="209" t="s">
        <v>721</v>
      </c>
      <c r="F48" s="209" t="s">
        <v>696</v>
      </c>
      <c r="G48" s="209" t="s">
        <v>720</v>
      </c>
      <c r="H48" s="209"/>
      <c r="I48" s="169"/>
    </row>
    <row r="49" spans="1:9" x14ac:dyDescent="0.2">
      <c r="A49" s="212">
        <v>44917</v>
      </c>
      <c r="B49" s="207">
        <v>-43450</v>
      </c>
      <c r="C49" s="207">
        <v>-39500</v>
      </c>
      <c r="D49" s="208">
        <v>-3950</v>
      </c>
      <c r="E49" s="209" t="s">
        <v>426</v>
      </c>
      <c r="F49" s="210" t="s">
        <v>251</v>
      </c>
      <c r="G49" s="210" t="s">
        <v>422</v>
      </c>
      <c r="H49" s="211" t="s">
        <v>423</v>
      </c>
      <c r="I49" s="169"/>
    </row>
    <row r="50" spans="1:9" x14ac:dyDescent="0.2">
      <c r="A50" s="206">
        <v>44925</v>
      </c>
      <c r="B50" s="207">
        <v>-2527.39</v>
      </c>
      <c r="C50" s="207">
        <v>-2527.39</v>
      </c>
      <c r="D50" s="207">
        <v>0</v>
      </c>
      <c r="E50" s="209" t="s">
        <v>719</v>
      </c>
      <c r="F50" s="209" t="s">
        <v>696</v>
      </c>
      <c r="G50" s="209" t="s">
        <v>716</v>
      </c>
      <c r="H50" s="209"/>
      <c r="I50" s="169"/>
    </row>
    <row r="51" spans="1:9" x14ac:dyDescent="0.2">
      <c r="A51" s="212">
        <v>44926</v>
      </c>
      <c r="B51" s="207">
        <v>-1100</v>
      </c>
      <c r="C51" s="207">
        <v>-1000</v>
      </c>
      <c r="D51" s="208">
        <v>-100</v>
      </c>
      <c r="E51" s="209" t="s">
        <v>381</v>
      </c>
      <c r="F51" s="210" t="s">
        <v>696</v>
      </c>
      <c r="G51" s="210" t="s">
        <v>381</v>
      </c>
      <c r="H51" s="211" t="s">
        <v>382</v>
      </c>
      <c r="I51" s="169"/>
    </row>
    <row r="52" spans="1:9" x14ac:dyDescent="0.2">
      <c r="A52" s="206">
        <v>44926</v>
      </c>
      <c r="B52" s="207">
        <v>-4047.18</v>
      </c>
      <c r="C52" s="207">
        <v>-4047.18</v>
      </c>
      <c r="D52" s="207">
        <v>0</v>
      </c>
      <c r="E52" s="209"/>
      <c r="F52" s="209" t="s">
        <v>696</v>
      </c>
      <c r="G52" s="209" t="s">
        <v>713</v>
      </c>
      <c r="H52" s="209"/>
      <c r="I52" s="169"/>
    </row>
    <row r="53" spans="1:9" x14ac:dyDescent="0.2">
      <c r="A53" s="206">
        <v>44926</v>
      </c>
      <c r="B53" s="207">
        <v>-11880.14</v>
      </c>
      <c r="C53" s="207">
        <v>-11880.14</v>
      </c>
      <c r="D53" s="207">
        <v>0</v>
      </c>
      <c r="E53" s="209"/>
      <c r="F53" s="209" t="s">
        <v>696</v>
      </c>
      <c r="G53" s="209" t="s">
        <v>6</v>
      </c>
      <c r="H53" s="209"/>
      <c r="I53" s="169"/>
    </row>
    <row r="54" spans="1:9" x14ac:dyDescent="0.2">
      <c r="A54" s="215">
        <v>44936</v>
      </c>
      <c r="B54" s="207">
        <v>-860</v>
      </c>
      <c r="C54" s="207">
        <v>-781.82</v>
      </c>
      <c r="D54" s="208">
        <v>-78</v>
      </c>
      <c r="E54" s="207" t="s">
        <v>412</v>
      </c>
      <c r="F54" s="210" t="s">
        <v>697</v>
      </c>
      <c r="G54" s="209" t="s">
        <v>393</v>
      </c>
      <c r="H54" s="209"/>
    </row>
    <row r="55" spans="1:9" x14ac:dyDescent="0.2">
      <c r="A55" s="212">
        <v>44949</v>
      </c>
      <c r="B55" s="207">
        <v>-1000</v>
      </c>
      <c r="C55" s="207">
        <v>-909.09</v>
      </c>
      <c r="D55" s="208">
        <v>-91</v>
      </c>
      <c r="E55" s="207" t="s">
        <v>412</v>
      </c>
      <c r="F55" s="210" t="s">
        <v>697</v>
      </c>
      <c r="G55" s="209" t="s">
        <v>393</v>
      </c>
      <c r="H55" s="209"/>
      <c r="I55" s="169"/>
    </row>
    <row r="56" spans="1:9" x14ac:dyDescent="0.2">
      <c r="A56" s="206">
        <v>44957</v>
      </c>
      <c r="B56" s="207">
        <v>-4047.18</v>
      </c>
      <c r="C56" s="207">
        <v>-4047.18</v>
      </c>
      <c r="D56" s="207">
        <v>0</v>
      </c>
      <c r="E56" s="209"/>
      <c r="F56" s="209" t="s">
        <v>696</v>
      </c>
      <c r="G56" s="209" t="s">
        <v>713</v>
      </c>
      <c r="H56" s="209"/>
      <c r="I56" s="169"/>
    </row>
    <row r="57" spans="1:9" x14ac:dyDescent="0.2">
      <c r="A57" s="206">
        <v>44957</v>
      </c>
      <c r="B57" s="207">
        <v>-12224.77</v>
      </c>
      <c r="C57" s="207">
        <v>-12224.77</v>
      </c>
      <c r="D57" s="207">
        <v>0</v>
      </c>
      <c r="E57" s="209"/>
      <c r="F57" s="209" t="s">
        <v>696</v>
      </c>
      <c r="G57" s="209" t="s">
        <v>6</v>
      </c>
      <c r="H57" s="209"/>
      <c r="I57" s="169"/>
    </row>
    <row r="58" spans="1:9" x14ac:dyDescent="0.2">
      <c r="A58" s="206">
        <v>44957</v>
      </c>
      <c r="B58" s="207">
        <v>-2622.38</v>
      </c>
      <c r="C58" s="207">
        <v>-2622.38</v>
      </c>
      <c r="D58" s="207">
        <v>0</v>
      </c>
      <c r="E58" s="209" t="s">
        <v>717</v>
      </c>
      <c r="F58" s="209" t="s">
        <v>696</v>
      </c>
      <c r="G58" s="209" t="s">
        <v>716</v>
      </c>
      <c r="H58" s="209"/>
      <c r="I58" s="169"/>
    </row>
    <row r="59" spans="1:9" x14ac:dyDescent="0.2">
      <c r="A59" s="212">
        <v>44960</v>
      </c>
      <c r="B59" s="207">
        <v>-111.25</v>
      </c>
      <c r="C59" s="207">
        <v>-111.25</v>
      </c>
      <c r="D59" s="208">
        <v>0</v>
      </c>
      <c r="E59" s="207" t="s">
        <v>390</v>
      </c>
      <c r="F59" s="210" t="s">
        <v>698</v>
      </c>
      <c r="G59" s="210" t="s">
        <v>391</v>
      </c>
      <c r="H59" s="209"/>
      <c r="I59" s="169"/>
    </row>
    <row r="60" spans="1:9" x14ac:dyDescent="0.2">
      <c r="A60" s="212">
        <v>44960</v>
      </c>
      <c r="B60" s="207">
        <v>-111.25</v>
      </c>
      <c r="C60" s="207">
        <v>-111.25</v>
      </c>
      <c r="D60" s="208">
        <v>0</v>
      </c>
      <c r="E60" s="207" t="s">
        <v>390</v>
      </c>
      <c r="F60" s="210" t="s">
        <v>698</v>
      </c>
      <c r="G60" s="210" t="s">
        <v>391</v>
      </c>
      <c r="H60" s="209"/>
      <c r="I60" s="169"/>
    </row>
    <row r="61" spans="1:9" x14ac:dyDescent="0.2">
      <c r="A61" s="82" t="s">
        <v>480</v>
      </c>
      <c r="B61" s="207">
        <v>-710</v>
      </c>
      <c r="C61" s="207">
        <v>-645.45000000000005</v>
      </c>
      <c r="D61" s="208">
        <v>-65</v>
      </c>
      <c r="E61" s="207" t="s">
        <v>394</v>
      </c>
      <c r="F61" s="210" t="s">
        <v>697</v>
      </c>
      <c r="G61" s="209" t="s">
        <v>394</v>
      </c>
      <c r="H61" s="209"/>
      <c r="I61" s="169"/>
    </row>
    <row r="62" spans="1:9" x14ac:dyDescent="0.2">
      <c r="A62" s="82" t="s">
        <v>480</v>
      </c>
      <c r="B62" s="207">
        <v>-1500</v>
      </c>
      <c r="C62" s="207">
        <v>-1363.64</v>
      </c>
      <c r="D62" s="208">
        <v>-136</v>
      </c>
      <c r="E62" s="207" t="s">
        <v>412</v>
      </c>
      <c r="F62" s="210" t="s">
        <v>697</v>
      </c>
      <c r="G62" s="209" t="s">
        <v>393</v>
      </c>
      <c r="H62" s="209"/>
      <c r="I62" s="169"/>
    </row>
    <row r="63" spans="1:9" x14ac:dyDescent="0.2">
      <c r="A63" s="206">
        <v>44977</v>
      </c>
      <c r="B63" s="207">
        <v>-300</v>
      </c>
      <c r="C63" s="207">
        <v>-300</v>
      </c>
      <c r="D63" s="207">
        <v>0</v>
      </c>
      <c r="E63" s="209" t="s">
        <v>785</v>
      </c>
      <c r="F63" s="209" t="s">
        <v>696</v>
      </c>
      <c r="G63" s="209" t="s">
        <v>720</v>
      </c>
      <c r="H63" s="209"/>
      <c r="I63" s="169"/>
    </row>
    <row r="64" spans="1:9" x14ac:dyDescent="0.2">
      <c r="A64" s="212">
        <v>44977</v>
      </c>
      <c r="B64" s="207">
        <v>-63601.59</v>
      </c>
      <c r="C64" s="207">
        <v>-57819.63</v>
      </c>
      <c r="D64" s="208">
        <v>-5782</v>
      </c>
      <c r="E64" s="207" t="s">
        <v>692</v>
      </c>
      <c r="F64" s="210" t="s">
        <v>251</v>
      </c>
      <c r="G64" s="209" t="s">
        <v>422</v>
      </c>
      <c r="H64" s="211" t="s">
        <v>423</v>
      </c>
    </row>
    <row r="65" spans="1:9" x14ac:dyDescent="0.2">
      <c r="A65" s="206">
        <v>44985</v>
      </c>
      <c r="B65" s="207">
        <v>-3655.52</v>
      </c>
      <c r="C65" s="207">
        <v>-3655.52</v>
      </c>
      <c r="D65" s="207">
        <v>0</v>
      </c>
      <c r="E65" s="209"/>
      <c r="F65" s="209" t="s">
        <v>696</v>
      </c>
      <c r="G65" s="209" t="s">
        <v>713</v>
      </c>
      <c r="H65" s="209"/>
      <c r="I65" s="169"/>
    </row>
    <row r="66" spans="1:9" x14ac:dyDescent="0.2">
      <c r="A66" s="206">
        <v>44985</v>
      </c>
      <c r="B66" s="207">
        <v>-11299.74</v>
      </c>
      <c r="C66" s="207">
        <v>-11299.74</v>
      </c>
      <c r="D66" s="207">
        <v>0</v>
      </c>
      <c r="E66" s="209"/>
      <c r="F66" s="209" t="s">
        <v>696</v>
      </c>
      <c r="G66" s="209" t="s">
        <v>6</v>
      </c>
      <c r="H66" s="209"/>
      <c r="I66" s="169"/>
    </row>
    <row r="67" spans="1:9" x14ac:dyDescent="0.2">
      <c r="A67" s="206">
        <v>44985</v>
      </c>
      <c r="B67" s="207">
        <v>-2496.2800000000002</v>
      </c>
      <c r="C67" s="207">
        <v>-2496.2800000000002</v>
      </c>
      <c r="D67" s="207">
        <v>0</v>
      </c>
      <c r="E67" s="209" t="s">
        <v>783</v>
      </c>
      <c r="F67" s="209" t="s">
        <v>696</v>
      </c>
      <c r="G67" s="209" t="s">
        <v>718</v>
      </c>
      <c r="H67" s="209"/>
    </row>
    <row r="68" spans="1:9" x14ac:dyDescent="0.2">
      <c r="A68" s="216">
        <v>44987</v>
      </c>
      <c r="B68" s="207">
        <v>-1000</v>
      </c>
      <c r="C68" s="207">
        <v>-909.09</v>
      </c>
      <c r="D68" s="208">
        <v>-91</v>
      </c>
      <c r="E68" s="207" t="s">
        <v>412</v>
      </c>
      <c r="F68" s="210" t="s">
        <v>697</v>
      </c>
      <c r="G68" s="209" t="s">
        <v>393</v>
      </c>
      <c r="H68" s="209"/>
      <c r="I68" s="169"/>
    </row>
    <row r="69" spans="1:9" x14ac:dyDescent="0.2">
      <c r="A69" s="212">
        <v>45000</v>
      </c>
      <c r="B69" s="207">
        <v>-525</v>
      </c>
      <c r="C69" s="207">
        <v>-477.27</v>
      </c>
      <c r="D69" s="208">
        <v>-48</v>
      </c>
      <c r="E69" s="207" t="s">
        <v>394</v>
      </c>
      <c r="F69" s="210" t="s">
        <v>697</v>
      </c>
      <c r="G69" s="209" t="s">
        <v>394</v>
      </c>
      <c r="H69" s="209"/>
      <c r="I69" s="169"/>
    </row>
    <row r="70" spans="1:9" x14ac:dyDescent="0.2">
      <c r="A70" s="212">
        <v>45000</v>
      </c>
      <c r="B70" s="207">
        <v>-1100</v>
      </c>
      <c r="C70" s="207">
        <v>-1000</v>
      </c>
      <c r="D70" s="208">
        <v>-100</v>
      </c>
      <c r="E70" s="207" t="s">
        <v>381</v>
      </c>
      <c r="F70" s="210" t="s">
        <v>696</v>
      </c>
      <c r="G70" s="209" t="s">
        <v>381</v>
      </c>
      <c r="H70" s="209" t="s">
        <v>382</v>
      </c>
    </row>
    <row r="71" spans="1:9" x14ac:dyDescent="0.2">
      <c r="A71" s="212">
        <v>45000</v>
      </c>
      <c r="B71" s="207">
        <v>-1100</v>
      </c>
      <c r="C71" s="207">
        <v>-1000</v>
      </c>
      <c r="D71" s="208">
        <v>-100</v>
      </c>
      <c r="E71" s="207" t="s">
        <v>381</v>
      </c>
      <c r="F71" s="210" t="s">
        <v>696</v>
      </c>
      <c r="G71" s="209" t="s">
        <v>381</v>
      </c>
      <c r="H71" s="209" t="s">
        <v>382</v>
      </c>
    </row>
    <row r="72" spans="1:9" x14ac:dyDescent="0.2">
      <c r="A72" s="212">
        <v>45009</v>
      </c>
      <c r="B72" s="207">
        <v>-575</v>
      </c>
      <c r="C72" s="207">
        <v>-522.73</v>
      </c>
      <c r="D72" s="208">
        <v>-52</v>
      </c>
      <c r="E72" s="207" t="s">
        <v>394</v>
      </c>
      <c r="F72" s="210" t="s">
        <v>697</v>
      </c>
      <c r="G72" s="209" t="s">
        <v>394</v>
      </c>
      <c r="H72" s="209"/>
      <c r="I72" s="169"/>
    </row>
    <row r="73" spans="1:9" x14ac:dyDescent="0.2">
      <c r="A73" s="212">
        <v>45009</v>
      </c>
      <c r="B73" s="207">
        <v>-2000</v>
      </c>
      <c r="C73" s="207">
        <v>-1818.18</v>
      </c>
      <c r="D73" s="208">
        <v>-182</v>
      </c>
      <c r="E73" s="207" t="s">
        <v>393</v>
      </c>
      <c r="F73" s="210" t="s">
        <v>697</v>
      </c>
      <c r="G73" s="209" t="s">
        <v>393</v>
      </c>
      <c r="H73" s="209"/>
      <c r="I73" s="169"/>
    </row>
    <row r="74" spans="1:9" x14ac:dyDescent="0.2">
      <c r="A74" s="212">
        <v>45010</v>
      </c>
      <c r="B74" s="207">
        <v>-1600</v>
      </c>
      <c r="C74" s="207">
        <v>-1454.55</v>
      </c>
      <c r="D74" s="208">
        <v>-145</v>
      </c>
      <c r="E74" s="207" t="s">
        <v>691</v>
      </c>
      <c r="F74" s="209" t="s">
        <v>689</v>
      </c>
      <c r="G74" s="209" t="s">
        <v>615</v>
      </c>
      <c r="H74" s="209" t="s">
        <v>690</v>
      </c>
    </row>
    <row r="75" spans="1:9" x14ac:dyDescent="0.2">
      <c r="A75" s="206">
        <v>45014</v>
      </c>
      <c r="B75" s="207">
        <v>-300</v>
      </c>
      <c r="C75" s="207">
        <v>-300</v>
      </c>
      <c r="D75" s="207">
        <v>0</v>
      </c>
      <c r="E75" s="209" t="s">
        <v>780</v>
      </c>
      <c r="F75" s="209" t="s">
        <v>696</v>
      </c>
      <c r="G75" s="209" t="s">
        <v>720</v>
      </c>
      <c r="H75" s="209"/>
    </row>
    <row r="76" spans="1:9" x14ac:dyDescent="0.2">
      <c r="A76" s="212">
        <v>45014</v>
      </c>
      <c r="B76" s="207">
        <f>C76+D76</f>
        <v>-63030</v>
      </c>
      <c r="C76" s="207">
        <v>-57300</v>
      </c>
      <c r="D76" s="208">
        <f>C76*0.1</f>
        <v>-5730</v>
      </c>
      <c r="E76" s="209" t="s">
        <v>425</v>
      </c>
      <c r="F76" s="210" t="s">
        <v>251</v>
      </c>
      <c r="G76" s="210" t="s">
        <v>422</v>
      </c>
      <c r="H76" s="211" t="s">
        <v>423</v>
      </c>
    </row>
    <row r="77" spans="1:9" x14ac:dyDescent="0.2">
      <c r="A77" s="206">
        <v>45016</v>
      </c>
      <c r="B77" s="207">
        <v>-4047.18</v>
      </c>
      <c r="C77" s="207">
        <v>-4047.18</v>
      </c>
      <c r="D77" s="207">
        <v>0</v>
      </c>
      <c r="E77" s="209"/>
      <c r="F77" s="209" t="s">
        <v>696</v>
      </c>
      <c r="G77" s="209" t="s">
        <v>713</v>
      </c>
      <c r="H77" s="209"/>
    </row>
    <row r="78" spans="1:9" x14ac:dyDescent="0.2">
      <c r="A78" s="206">
        <v>45016</v>
      </c>
      <c r="B78" s="207">
        <v>-12985.27</v>
      </c>
      <c r="C78" s="207">
        <v>-12985.27</v>
      </c>
      <c r="D78" s="207">
        <v>0</v>
      </c>
      <c r="E78" s="209"/>
      <c r="F78" s="209" t="s">
        <v>696</v>
      </c>
      <c r="G78" s="209" t="s">
        <v>6</v>
      </c>
      <c r="H78" s="209"/>
      <c r="I78" s="169"/>
    </row>
    <row r="79" spans="1:9" x14ac:dyDescent="0.2">
      <c r="A79" s="206">
        <v>45016</v>
      </c>
      <c r="B79" s="207">
        <v>-2892.11</v>
      </c>
      <c r="C79" s="207">
        <v>-2892.11</v>
      </c>
      <c r="D79" s="207">
        <v>0</v>
      </c>
      <c r="E79" s="209" t="s">
        <v>778</v>
      </c>
      <c r="F79" s="209" t="s">
        <v>696</v>
      </c>
      <c r="G79" s="209" t="s">
        <v>718</v>
      </c>
      <c r="H79" s="209"/>
      <c r="I79" s="169"/>
    </row>
    <row r="80" spans="1:9" x14ac:dyDescent="0.2">
      <c r="A80" s="206">
        <v>45044</v>
      </c>
      <c r="B80" s="207">
        <v>-2926.25</v>
      </c>
      <c r="C80" s="207">
        <v>-2926.25</v>
      </c>
      <c r="D80" s="207">
        <v>0</v>
      </c>
      <c r="E80" s="209" t="s">
        <v>776</v>
      </c>
      <c r="F80" s="209" t="s">
        <v>696</v>
      </c>
      <c r="G80" s="209" t="s">
        <v>718</v>
      </c>
      <c r="H80" s="209"/>
      <c r="I80" s="169"/>
    </row>
    <row r="81" spans="1:9" x14ac:dyDescent="0.2">
      <c r="A81" s="206">
        <v>45046</v>
      </c>
      <c r="B81" s="207">
        <v>-3916.63</v>
      </c>
      <c r="C81" s="207">
        <v>-3916.63</v>
      </c>
      <c r="D81" s="207">
        <v>0</v>
      </c>
      <c r="E81" s="209"/>
      <c r="F81" s="209" t="s">
        <v>696</v>
      </c>
      <c r="G81" s="209" t="s">
        <v>713</v>
      </c>
      <c r="H81" s="209"/>
    </row>
    <row r="82" spans="1:9" x14ac:dyDescent="0.2">
      <c r="A82" s="206">
        <v>45046</v>
      </c>
      <c r="B82" s="207">
        <v>-13901.99</v>
      </c>
      <c r="C82" s="207">
        <v>-13901.99</v>
      </c>
      <c r="D82" s="207">
        <v>0</v>
      </c>
      <c r="E82" s="209"/>
      <c r="F82" s="209" t="s">
        <v>696</v>
      </c>
      <c r="G82" s="209" t="s">
        <v>6</v>
      </c>
      <c r="H82" s="209"/>
      <c r="I82" s="169"/>
    </row>
    <row r="83" spans="1:9" x14ac:dyDescent="0.2">
      <c r="A83" s="212">
        <v>45046</v>
      </c>
      <c r="B83" s="207">
        <v>-1100</v>
      </c>
      <c r="C83" s="207">
        <v>-1000</v>
      </c>
      <c r="D83" s="208">
        <v>-100</v>
      </c>
      <c r="E83" s="207" t="s">
        <v>381</v>
      </c>
      <c r="F83" s="210" t="s">
        <v>696</v>
      </c>
      <c r="G83" s="209" t="s">
        <v>381</v>
      </c>
      <c r="H83" s="209" t="s">
        <v>382</v>
      </c>
      <c r="I83" s="169"/>
    </row>
    <row r="84" spans="1:9" x14ac:dyDescent="0.2">
      <c r="A84" s="206">
        <v>45048</v>
      </c>
      <c r="B84" s="207">
        <v>-1788.31</v>
      </c>
      <c r="C84" s="207">
        <v>-1625.74</v>
      </c>
      <c r="D84" s="208">
        <v>-163</v>
      </c>
      <c r="E84" s="207" t="s">
        <v>691</v>
      </c>
      <c r="F84" s="209" t="s">
        <v>689</v>
      </c>
      <c r="G84" s="209" t="s">
        <v>615</v>
      </c>
      <c r="H84" s="209" t="s">
        <v>690</v>
      </c>
      <c r="I84" s="169"/>
    </row>
    <row r="85" spans="1:9" x14ac:dyDescent="0.2">
      <c r="A85" s="212">
        <v>45050</v>
      </c>
      <c r="B85" s="78">
        <v>-96095</v>
      </c>
      <c r="C85" s="207">
        <f>B85</f>
        <v>-96095</v>
      </c>
      <c r="D85" s="208">
        <v>0</v>
      </c>
      <c r="E85" s="207" t="s">
        <v>694</v>
      </c>
      <c r="F85" s="210" t="s">
        <v>251</v>
      </c>
      <c r="G85" s="209" t="s">
        <v>422</v>
      </c>
      <c r="H85" s="211" t="s">
        <v>423</v>
      </c>
    </row>
    <row r="86" spans="1:9" x14ac:dyDescent="0.2">
      <c r="A86" s="212">
        <v>45051</v>
      </c>
      <c r="B86" s="207">
        <v>-9849.81</v>
      </c>
      <c r="C86" s="207"/>
      <c r="D86" s="208">
        <f>B86</f>
        <v>-9849.81</v>
      </c>
      <c r="E86" s="207" t="s">
        <v>695</v>
      </c>
      <c r="F86" s="210" t="s">
        <v>251</v>
      </c>
      <c r="G86" s="209" t="s">
        <v>2</v>
      </c>
      <c r="H86" s="211"/>
    </row>
    <row r="87" spans="1:9" x14ac:dyDescent="0.2">
      <c r="A87" s="206">
        <v>45050</v>
      </c>
      <c r="B87" s="207">
        <v>-300</v>
      </c>
      <c r="C87" s="207">
        <v>-300</v>
      </c>
      <c r="D87" s="207">
        <v>0</v>
      </c>
      <c r="E87" s="209" t="s">
        <v>771</v>
      </c>
      <c r="F87" s="209" t="s">
        <v>696</v>
      </c>
      <c r="G87" s="209" t="s">
        <v>720</v>
      </c>
      <c r="H87" s="209"/>
      <c r="I87" s="169"/>
    </row>
    <row r="88" spans="1:9" x14ac:dyDescent="0.2">
      <c r="A88" s="206">
        <v>45050</v>
      </c>
      <c r="B88" s="207">
        <v>-4950</v>
      </c>
      <c r="C88" s="207">
        <v>-4950</v>
      </c>
      <c r="D88" s="207">
        <v>0</v>
      </c>
      <c r="E88" s="209" t="s">
        <v>774</v>
      </c>
      <c r="F88" s="209" t="s">
        <v>696</v>
      </c>
      <c r="G88" s="209" t="s">
        <v>757</v>
      </c>
      <c r="H88" s="209"/>
    </row>
    <row r="89" spans="1:9" x14ac:dyDescent="0.2">
      <c r="A89" s="206">
        <v>45056</v>
      </c>
      <c r="B89" s="207">
        <v>-2000</v>
      </c>
      <c r="C89" s="207">
        <v>-1818.18</v>
      </c>
      <c r="D89" s="208">
        <v>-182</v>
      </c>
      <c r="E89" s="207" t="s">
        <v>393</v>
      </c>
      <c r="F89" s="210" t="s">
        <v>697</v>
      </c>
      <c r="G89" s="209" t="s">
        <v>393</v>
      </c>
      <c r="H89" s="209"/>
    </row>
    <row r="90" spans="1:9" x14ac:dyDescent="0.2">
      <c r="A90" s="206">
        <v>45057</v>
      </c>
      <c r="B90" s="207">
        <v>-218.64</v>
      </c>
      <c r="C90" s="207">
        <v>-198.76</v>
      </c>
      <c r="D90" s="208">
        <v>-20</v>
      </c>
      <c r="E90" s="207" t="s">
        <v>420</v>
      </c>
      <c r="F90" s="210" t="s">
        <v>698</v>
      </c>
      <c r="G90" s="210" t="s">
        <v>391</v>
      </c>
      <c r="H90" s="209"/>
    </row>
    <row r="91" spans="1:9" x14ac:dyDescent="0.2">
      <c r="A91" s="206">
        <v>45057</v>
      </c>
      <c r="B91" s="207">
        <v>-111.25</v>
      </c>
      <c r="C91" s="207">
        <v>-111.25</v>
      </c>
      <c r="D91" s="208">
        <v>0</v>
      </c>
      <c r="E91" s="207" t="s">
        <v>456</v>
      </c>
      <c r="F91" s="210" t="s">
        <v>698</v>
      </c>
      <c r="G91" s="210" t="s">
        <v>391</v>
      </c>
      <c r="H91" s="209"/>
    </row>
    <row r="92" spans="1:9" x14ac:dyDescent="0.2">
      <c r="A92" s="206">
        <v>45057</v>
      </c>
      <c r="B92" s="207">
        <v>-111.25</v>
      </c>
      <c r="C92" s="207">
        <v>-111.25</v>
      </c>
      <c r="D92" s="208">
        <v>0</v>
      </c>
      <c r="E92" s="207" t="s">
        <v>456</v>
      </c>
      <c r="F92" s="210" t="s">
        <v>698</v>
      </c>
      <c r="G92" s="210" t="s">
        <v>391</v>
      </c>
      <c r="H92" s="209"/>
    </row>
    <row r="93" spans="1:9" x14ac:dyDescent="0.2">
      <c r="A93" s="206">
        <v>45068</v>
      </c>
      <c r="B93" s="207">
        <v>-855.6</v>
      </c>
      <c r="C93" s="207">
        <v>-777.82</v>
      </c>
      <c r="D93" s="208">
        <v>-78</v>
      </c>
      <c r="E93" s="207" t="s">
        <v>394</v>
      </c>
      <c r="F93" s="210" t="s">
        <v>697</v>
      </c>
      <c r="G93" s="209" t="s">
        <v>394</v>
      </c>
      <c r="H93" s="209"/>
    </row>
    <row r="94" spans="1:9" x14ac:dyDescent="0.2">
      <c r="A94" s="206">
        <v>45068</v>
      </c>
      <c r="B94" s="207">
        <v>-410</v>
      </c>
      <c r="C94" s="207">
        <v>-372.73</v>
      </c>
      <c r="D94" s="208">
        <v>-37</v>
      </c>
      <c r="E94" s="207" t="s">
        <v>394</v>
      </c>
      <c r="F94" s="210" t="s">
        <v>697</v>
      </c>
      <c r="G94" s="209" t="s">
        <v>394</v>
      </c>
      <c r="H94" s="209"/>
    </row>
    <row r="95" spans="1:9" x14ac:dyDescent="0.2">
      <c r="A95" s="206">
        <v>45068</v>
      </c>
      <c r="B95" s="207">
        <v>-2029</v>
      </c>
      <c r="C95" s="207">
        <v>-1844.55</v>
      </c>
      <c r="D95" s="208">
        <v>-184</v>
      </c>
      <c r="E95" s="207" t="s">
        <v>393</v>
      </c>
      <c r="F95" s="210" t="s">
        <v>697</v>
      </c>
      <c r="G95" s="209" t="s">
        <v>393</v>
      </c>
      <c r="H95" s="209"/>
    </row>
    <row r="96" spans="1:9" x14ac:dyDescent="0.2">
      <c r="A96" s="206">
        <v>45077</v>
      </c>
      <c r="B96" s="207">
        <v>-4047.18</v>
      </c>
      <c r="C96" s="207">
        <v>-4047.18</v>
      </c>
      <c r="D96" s="207">
        <v>0</v>
      </c>
      <c r="E96" s="209"/>
      <c r="F96" s="209" t="s">
        <v>696</v>
      </c>
      <c r="G96" s="209" t="s">
        <v>713</v>
      </c>
      <c r="H96" s="209"/>
    </row>
    <row r="97" spans="1:8" x14ac:dyDescent="0.2">
      <c r="A97" s="206">
        <v>45077</v>
      </c>
      <c r="B97" s="207">
        <v>-15269.77</v>
      </c>
      <c r="C97" s="207">
        <v>-15269.77</v>
      </c>
      <c r="D97" s="207">
        <v>0</v>
      </c>
      <c r="E97" s="209"/>
      <c r="F97" s="209" t="s">
        <v>696</v>
      </c>
      <c r="G97" s="209" t="s">
        <v>6</v>
      </c>
      <c r="H97" s="209"/>
    </row>
    <row r="98" spans="1:8" x14ac:dyDescent="0.2">
      <c r="A98" s="206">
        <v>45077</v>
      </c>
      <c r="B98" s="207">
        <v>-3059.03</v>
      </c>
      <c r="C98" s="207">
        <v>-3059.03</v>
      </c>
      <c r="D98" s="207">
        <v>0</v>
      </c>
      <c r="E98" s="209" t="s">
        <v>769</v>
      </c>
      <c r="F98" s="209" t="s">
        <v>696</v>
      </c>
      <c r="G98" s="209" t="s">
        <v>718</v>
      </c>
      <c r="H98" s="209"/>
    </row>
    <row r="99" spans="1:8" x14ac:dyDescent="0.2">
      <c r="A99" s="206">
        <v>45083</v>
      </c>
      <c r="B99" s="207">
        <v>-111.25</v>
      </c>
      <c r="C99" s="207">
        <v>-101.14</v>
      </c>
      <c r="D99" s="208">
        <v>-10</v>
      </c>
      <c r="E99" s="209"/>
      <c r="F99" s="210" t="s">
        <v>698</v>
      </c>
      <c r="G99" s="210" t="s">
        <v>391</v>
      </c>
      <c r="H99" s="209"/>
    </row>
    <row r="100" spans="1:8" x14ac:dyDescent="0.2">
      <c r="A100" s="212">
        <v>45093</v>
      </c>
      <c r="B100" s="207">
        <v>-68817.58</v>
      </c>
      <c r="C100" s="207">
        <v>-62561.440000000002</v>
      </c>
      <c r="D100" s="208">
        <f>C100*0.1</f>
        <v>-6256.1440000000002</v>
      </c>
      <c r="E100" s="207" t="s">
        <v>695</v>
      </c>
      <c r="F100" s="210" t="s">
        <v>251</v>
      </c>
      <c r="G100" s="209" t="s">
        <v>422</v>
      </c>
      <c r="H100" s="211" t="s">
        <v>423</v>
      </c>
    </row>
    <row r="101" spans="1:8" x14ac:dyDescent="0.2">
      <c r="A101" s="206">
        <v>45093</v>
      </c>
      <c r="B101" s="207">
        <v>-300</v>
      </c>
      <c r="C101" s="207">
        <v>-300</v>
      </c>
      <c r="D101" s="207">
        <v>0</v>
      </c>
      <c r="E101" s="209" t="s">
        <v>766</v>
      </c>
      <c r="F101" s="209" t="s">
        <v>696</v>
      </c>
      <c r="G101" s="209" t="s">
        <v>720</v>
      </c>
      <c r="H101" s="209"/>
    </row>
    <row r="102" spans="1:8" x14ac:dyDescent="0.2">
      <c r="A102" s="206">
        <v>45098</v>
      </c>
      <c r="B102" s="207">
        <v>-4028</v>
      </c>
      <c r="C102" s="207">
        <v>-3661.82</v>
      </c>
      <c r="D102" s="208">
        <v>-366</v>
      </c>
      <c r="E102" s="209" t="s">
        <v>393</v>
      </c>
      <c r="F102" s="210" t="s">
        <v>697</v>
      </c>
      <c r="G102" s="209" t="s">
        <v>393</v>
      </c>
      <c r="H102" s="209"/>
    </row>
    <row r="103" spans="1:8" x14ac:dyDescent="0.2">
      <c r="A103" s="206">
        <v>45107</v>
      </c>
      <c r="B103" s="207">
        <v>-3916.63</v>
      </c>
      <c r="C103" s="207">
        <v>-3916.63</v>
      </c>
      <c r="D103" s="207">
        <v>0</v>
      </c>
      <c r="E103" s="209"/>
      <c r="F103" s="209" t="s">
        <v>696</v>
      </c>
      <c r="G103" s="209" t="s">
        <v>713</v>
      </c>
      <c r="H103" s="209"/>
    </row>
    <row r="104" spans="1:8" x14ac:dyDescent="0.2">
      <c r="A104" s="206">
        <v>45107</v>
      </c>
      <c r="B104" s="207">
        <v>-15273.97</v>
      </c>
      <c r="C104" s="207">
        <v>-15273.97</v>
      </c>
      <c r="D104" s="207">
        <v>0</v>
      </c>
      <c r="E104" s="209"/>
      <c r="F104" s="209" t="s">
        <v>696</v>
      </c>
      <c r="G104" s="209" t="s">
        <v>6</v>
      </c>
      <c r="H104" s="209"/>
    </row>
    <row r="105" spans="1:8" x14ac:dyDescent="0.2">
      <c r="A105" s="206">
        <v>45107</v>
      </c>
      <c r="B105" s="207">
        <v>-3163.73</v>
      </c>
      <c r="C105" s="207">
        <v>-3163.73</v>
      </c>
      <c r="D105" s="207">
        <v>0</v>
      </c>
      <c r="E105" s="209" t="s">
        <v>764</v>
      </c>
      <c r="F105" s="209" t="s">
        <v>696</v>
      </c>
      <c r="G105" s="209" t="s">
        <v>718</v>
      </c>
      <c r="H105" s="209"/>
    </row>
    <row r="106" spans="1:8" x14ac:dyDescent="0.2">
      <c r="A106" s="217" t="s">
        <v>0</v>
      </c>
      <c r="B106" s="218">
        <f>SUM(B2:B105)</f>
        <v>-765038.36000000022</v>
      </c>
      <c r="C106" s="218">
        <f>SUM(C2:C105)</f>
        <v>-713229.2200000002</v>
      </c>
      <c r="D106" s="218">
        <f>SUM(D2:D105)</f>
        <v>-51229.394</v>
      </c>
      <c r="E106" s="192"/>
      <c r="F106" s="192"/>
      <c r="G106" s="192"/>
      <c r="H106" s="192"/>
    </row>
  </sheetData>
  <sortState xmlns:xlrd2="http://schemas.microsoft.com/office/spreadsheetml/2017/richdata2" ref="A2:I106">
    <sortCondition ref="A1:A106"/>
  </sortState>
  <phoneticPr fontId="2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B26"/>
  <sheetViews>
    <sheetView workbookViewId="0"/>
  </sheetViews>
  <sheetFormatPr baseColWidth="10" defaultColWidth="10.140625" defaultRowHeight="15" customHeight="1" x14ac:dyDescent="0.2"/>
  <sheetData>
    <row r="2" spans="1:2" x14ac:dyDescent="0.2">
      <c r="A2" s="2" t="s">
        <v>427</v>
      </c>
      <c r="B2" s="2" t="s">
        <v>428</v>
      </c>
    </row>
    <row r="3" spans="1:2" x14ac:dyDescent="0.2">
      <c r="B3" s="2">
        <v>512.4</v>
      </c>
    </row>
    <row r="4" spans="1:2" x14ac:dyDescent="0.2">
      <c r="B4" s="2">
        <v>4366.25</v>
      </c>
    </row>
    <row r="5" spans="1:2" x14ac:dyDescent="0.2">
      <c r="B5" s="2">
        <v>2085.6</v>
      </c>
    </row>
    <row r="6" spans="1:2" x14ac:dyDescent="0.2">
      <c r="B6" s="2">
        <v>2346.3000000000002</v>
      </c>
    </row>
    <row r="7" spans="1:2" x14ac:dyDescent="0.2">
      <c r="B7" s="2">
        <v>2563.5500000000002</v>
      </c>
    </row>
    <row r="8" spans="1:2" x14ac:dyDescent="0.2">
      <c r="B8" s="2">
        <v>5909.2</v>
      </c>
    </row>
    <row r="9" spans="1:2" x14ac:dyDescent="0.2">
      <c r="B9" s="2">
        <v>1894.2</v>
      </c>
    </row>
    <row r="10" spans="1:2" x14ac:dyDescent="0.2">
      <c r="B10" s="2">
        <v>856.9</v>
      </c>
    </row>
    <row r="11" spans="1:2" x14ac:dyDescent="0.2">
      <c r="B11" s="2">
        <v>586.29999999999995</v>
      </c>
    </row>
    <row r="12" spans="1:2" x14ac:dyDescent="0.2">
      <c r="B12" s="2">
        <v>1488.3</v>
      </c>
    </row>
    <row r="13" spans="1:2" x14ac:dyDescent="0.2">
      <c r="B13" s="2">
        <v>704.15</v>
      </c>
    </row>
    <row r="14" spans="1:2" x14ac:dyDescent="0.2">
      <c r="B14" s="2">
        <v>2149.52</v>
      </c>
    </row>
    <row r="15" spans="1:2" x14ac:dyDescent="0.2">
      <c r="B15" s="2">
        <v>1295.32</v>
      </c>
    </row>
    <row r="16" spans="1:2" x14ac:dyDescent="0.2">
      <c r="B16" s="2">
        <v>1262.8</v>
      </c>
    </row>
    <row r="17" spans="1:2" x14ac:dyDescent="0.2">
      <c r="B17" s="2">
        <v>2060.36</v>
      </c>
    </row>
    <row r="18" spans="1:2" x14ac:dyDescent="0.2">
      <c r="B18" s="2">
        <v>2074.6</v>
      </c>
    </row>
    <row r="19" spans="1:2" x14ac:dyDescent="0.2">
      <c r="B19" s="2">
        <v>4329.6000000000004</v>
      </c>
    </row>
    <row r="20" spans="1:2" x14ac:dyDescent="0.2">
      <c r="B20" s="2">
        <v>5070.92</v>
      </c>
    </row>
    <row r="21" spans="1:2" x14ac:dyDescent="0.2">
      <c r="B21" s="2">
        <v>2998.59</v>
      </c>
    </row>
    <row r="22" spans="1:2" x14ac:dyDescent="0.2">
      <c r="B22" s="2">
        <v>4027.96</v>
      </c>
    </row>
    <row r="23" spans="1:2" x14ac:dyDescent="0.2">
      <c r="B23" s="2">
        <f>SUM(B3:B22)</f>
        <v>48582.82</v>
      </c>
    </row>
    <row r="25" spans="1:2" x14ac:dyDescent="0.2">
      <c r="A25" s="2" t="s">
        <v>394</v>
      </c>
      <c r="B25" s="2">
        <v>10000</v>
      </c>
    </row>
    <row r="26" spans="1:2" x14ac:dyDescent="0.2">
      <c r="B26" s="2">
        <f>SUM(B23:B25)</f>
        <v>58582.82</v>
      </c>
    </row>
  </sheetData>
  <pageMargins left="0.7" right="0.7" top="0.75" bottom="0.75" header="0.3" footer="0.3"/>
  <headerFooter>
    <oddFooter>&amp;C_x000D_&amp;1#&amp;"Arial"&amp;8&amp;K000000 Information Security Classification -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44"/>
  <sheetViews>
    <sheetView topLeftCell="A147" workbookViewId="0">
      <selection activeCell="E180" sqref="E180"/>
    </sheetView>
  </sheetViews>
  <sheetFormatPr baseColWidth="10" defaultColWidth="10.140625" defaultRowHeight="15" customHeight="1" x14ac:dyDescent="0.2"/>
  <cols>
    <col min="1" max="1" width="16.140625" style="7" customWidth="1"/>
    <col min="2" max="2" width="10.28515625" style="7" customWidth="1"/>
    <col min="3" max="3" width="31.28515625" style="7" customWidth="1"/>
    <col min="4" max="4" width="11.140625" style="7" customWidth="1"/>
    <col min="5" max="5" width="9.7109375" style="7" customWidth="1"/>
    <col min="6" max="6" width="9.85546875" style="7" customWidth="1"/>
    <col min="7" max="8" width="9.28515625" style="7" bestFit="1" customWidth="1"/>
    <col min="9" max="9" width="10" style="7" bestFit="1" customWidth="1"/>
    <col min="10" max="18" width="8.7109375" style="7" customWidth="1"/>
    <col min="19" max="26" width="11.28515625" style="7" customWidth="1"/>
    <col min="27" max="16384" width="10.140625" style="7"/>
  </cols>
  <sheetData>
    <row r="1" spans="1:7" ht="15.75" customHeight="1" x14ac:dyDescent="0.2">
      <c r="D1" s="14"/>
      <c r="E1" s="14"/>
    </row>
    <row r="2" spans="1:7" ht="15.75" customHeight="1" x14ac:dyDescent="0.2">
      <c r="A2" s="15"/>
      <c r="B2" s="16" t="s">
        <v>23</v>
      </c>
      <c r="C2" s="16" t="s">
        <v>429</v>
      </c>
      <c r="D2" s="17" t="s">
        <v>24</v>
      </c>
      <c r="E2" s="17" t="s">
        <v>2</v>
      </c>
    </row>
    <row r="3" spans="1:7" ht="15.75" customHeight="1" x14ac:dyDescent="0.2">
      <c r="A3" s="18" t="s">
        <v>430</v>
      </c>
      <c r="B3" s="12">
        <v>44132</v>
      </c>
      <c r="C3" s="9" t="s">
        <v>431</v>
      </c>
      <c r="D3" s="8">
        <v>3850</v>
      </c>
      <c r="E3" s="8">
        <f t="shared" ref="E3:E7" si="0">D3/11</f>
        <v>350</v>
      </c>
    </row>
    <row r="4" spans="1:7" ht="15.75" customHeight="1" x14ac:dyDescent="0.2">
      <c r="A4" s="9"/>
      <c r="B4" s="12">
        <v>44154</v>
      </c>
      <c r="C4" s="9" t="s">
        <v>432</v>
      </c>
      <c r="D4" s="8">
        <v>2035</v>
      </c>
      <c r="E4" s="8">
        <f t="shared" si="0"/>
        <v>185</v>
      </c>
    </row>
    <row r="5" spans="1:7" ht="15.75" customHeight="1" x14ac:dyDescent="0.2">
      <c r="A5" s="9"/>
      <c r="B5" s="12">
        <v>44159</v>
      </c>
      <c r="C5" s="9" t="s">
        <v>433</v>
      </c>
      <c r="D5" s="8">
        <v>4950</v>
      </c>
      <c r="E5" s="8">
        <f t="shared" si="0"/>
        <v>450</v>
      </c>
    </row>
    <row r="6" spans="1:7" ht="15.75" customHeight="1" x14ac:dyDescent="0.2">
      <c r="A6" s="9"/>
      <c r="B6" s="12">
        <v>44180</v>
      </c>
      <c r="C6" s="9" t="s">
        <v>434</v>
      </c>
      <c r="D6" s="8">
        <v>110</v>
      </c>
      <c r="E6" s="8">
        <f t="shared" si="0"/>
        <v>10</v>
      </c>
    </row>
    <row r="7" spans="1:7" ht="15.75" customHeight="1" x14ac:dyDescent="0.2">
      <c r="A7" s="9"/>
      <c r="B7" s="12">
        <v>44183</v>
      </c>
      <c r="C7" s="9" t="s">
        <v>435</v>
      </c>
      <c r="D7" s="8">
        <v>726</v>
      </c>
      <c r="E7" s="8">
        <f t="shared" si="0"/>
        <v>66</v>
      </c>
    </row>
    <row r="8" spans="1:7" ht="15.75" customHeight="1" x14ac:dyDescent="0.2">
      <c r="A8" s="19" t="s">
        <v>0</v>
      </c>
      <c r="B8" s="9"/>
      <c r="C8" s="9"/>
      <c r="D8" s="20">
        <f t="shared" ref="D8" si="1">SUM(D3:D7)</f>
        <v>11671</v>
      </c>
      <c r="E8" s="20">
        <f>SUM(E3:E7)</f>
        <v>1061</v>
      </c>
      <c r="F8" s="20"/>
      <c r="G8" s="14"/>
    </row>
    <row r="9" spans="1:7" ht="15.75" customHeight="1" x14ac:dyDescent="0.2">
      <c r="A9" s="9"/>
      <c r="B9" s="9"/>
      <c r="C9" s="9"/>
      <c r="D9" s="20"/>
      <c r="E9" s="20"/>
    </row>
    <row r="10" spans="1:7" ht="15.75" customHeight="1" x14ac:dyDescent="0.2">
      <c r="A10" s="9" t="s">
        <v>436</v>
      </c>
      <c r="B10" s="12">
        <v>44202</v>
      </c>
      <c r="C10" s="9" t="s">
        <v>337</v>
      </c>
      <c r="D10" s="8">
        <v>14411.1</v>
      </c>
      <c r="E10" s="8">
        <f t="shared" ref="E10:E11" si="2">D10/11</f>
        <v>1310.1000000000001</v>
      </c>
    </row>
    <row r="11" spans="1:7" ht="15.75" customHeight="1" x14ac:dyDescent="0.2">
      <c r="A11" s="9"/>
      <c r="B11" s="12">
        <v>44203</v>
      </c>
      <c r="C11" s="9" t="s">
        <v>337</v>
      </c>
      <c r="D11" s="8">
        <v>1667.32</v>
      </c>
      <c r="E11" s="8">
        <f t="shared" si="2"/>
        <v>151.57454545454544</v>
      </c>
    </row>
    <row r="12" spans="1:7" ht="15.75" customHeight="1" x14ac:dyDescent="0.2">
      <c r="A12" s="19" t="s">
        <v>0</v>
      </c>
      <c r="B12" s="9"/>
      <c r="C12" s="9"/>
      <c r="D12" s="20">
        <f t="shared" ref="D12" si="3">SUM(D10:D11)</f>
        <v>16078.42</v>
      </c>
      <c r="E12" s="20">
        <f>SUM(E10:E11)</f>
        <v>1461.6745454545455</v>
      </c>
      <c r="F12" s="14"/>
      <c r="G12" s="14"/>
    </row>
    <row r="13" spans="1:7" ht="15.75" customHeight="1" x14ac:dyDescent="0.2">
      <c r="A13" s="9"/>
      <c r="B13" s="9"/>
      <c r="C13" s="9"/>
      <c r="D13" s="8"/>
      <c r="E13" s="8"/>
    </row>
    <row r="14" spans="1:7" ht="15.75" customHeight="1" x14ac:dyDescent="0.2">
      <c r="A14" s="9" t="s">
        <v>437</v>
      </c>
      <c r="B14" s="12">
        <v>44236</v>
      </c>
      <c r="C14" s="9" t="s">
        <v>438</v>
      </c>
      <c r="D14" s="21">
        <v>12750</v>
      </c>
      <c r="E14" s="8">
        <f t="shared" ref="E14:E15" si="4">D14/11</f>
        <v>1159.090909090909</v>
      </c>
    </row>
    <row r="15" spans="1:7" ht="15.75" customHeight="1" x14ac:dyDescent="0.2">
      <c r="A15" s="9"/>
      <c r="B15" s="12"/>
      <c r="C15" s="9" t="s">
        <v>439</v>
      </c>
      <c r="D15" s="21">
        <v>58008</v>
      </c>
      <c r="E15" s="8">
        <f t="shared" si="4"/>
        <v>5273.454545454545</v>
      </c>
    </row>
    <row r="16" spans="1:7" ht="15.75" customHeight="1" x14ac:dyDescent="0.2">
      <c r="A16" s="19" t="s">
        <v>0</v>
      </c>
      <c r="B16" s="12"/>
      <c r="C16" s="9"/>
      <c r="D16" s="22">
        <f t="shared" ref="D16" si="5">SUM(D14:D15)</f>
        <v>70758</v>
      </c>
      <c r="E16" s="20">
        <f>SUM(E14:E15)</f>
        <v>6432.545454545454</v>
      </c>
      <c r="F16" s="98"/>
      <c r="G16" s="14"/>
    </row>
    <row r="17" spans="1:5" ht="15.75" customHeight="1" x14ac:dyDescent="0.2">
      <c r="A17" s="9"/>
      <c r="B17" s="9"/>
      <c r="C17" s="9"/>
      <c r="D17" s="8"/>
      <c r="E17" s="8"/>
    </row>
    <row r="18" spans="1:5" ht="15.75" customHeight="1" x14ac:dyDescent="0.2">
      <c r="A18" s="9" t="s">
        <v>440</v>
      </c>
      <c r="B18" s="9"/>
      <c r="C18" s="9" t="s">
        <v>441</v>
      </c>
      <c r="D18" s="8">
        <v>2500</v>
      </c>
      <c r="E18" s="8">
        <f t="shared" ref="E18:E19" si="6">D18/11</f>
        <v>227.27272727272728</v>
      </c>
    </row>
    <row r="19" spans="1:5" ht="15.75" customHeight="1" x14ac:dyDescent="0.2">
      <c r="A19" s="9"/>
      <c r="B19" s="12">
        <v>44267</v>
      </c>
      <c r="C19" s="9" t="s">
        <v>380</v>
      </c>
      <c r="D19" s="8">
        <v>13750</v>
      </c>
      <c r="E19" s="8">
        <f t="shared" si="6"/>
        <v>1250</v>
      </c>
    </row>
    <row r="20" spans="1:5" ht="15.75" customHeight="1" x14ac:dyDescent="0.2">
      <c r="A20" s="19" t="s">
        <v>0</v>
      </c>
      <c r="B20" s="9"/>
      <c r="C20" s="9"/>
      <c r="D20" s="20">
        <f t="shared" ref="D20" si="7">SUM(D18:D19)</f>
        <v>16250</v>
      </c>
      <c r="E20" s="20">
        <f>SUM(E18:E19)</f>
        <v>1477.2727272727273</v>
      </c>
    </row>
    <row r="21" spans="1:5" ht="15.75" customHeight="1" x14ac:dyDescent="0.2">
      <c r="A21" s="9"/>
      <c r="B21" s="9"/>
      <c r="C21" s="9"/>
      <c r="D21" s="20"/>
      <c r="E21" s="20"/>
    </row>
    <row r="22" spans="1:5" ht="15.75" customHeight="1" x14ac:dyDescent="0.2">
      <c r="A22" s="9" t="s">
        <v>442</v>
      </c>
      <c r="B22" s="9"/>
      <c r="C22" s="9"/>
      <c r="D22" s="8"/>
      <c r="E22" s="8"/>
    </row>
    <row r="23" spans="1:5" ht="15.75" customHeight="1" x14ac:dyDescent="0.2">
      <c r="A23" s="9"/>
      <c r="B23" s="12">
        <v>44293</v>
      </c>
      <c r="C23" s="9" t="s">
        <v>381</v>
      </c>
      <c r="D23" s="8">
        <v>1100</v>
      </c>
      <c r="E23" s="8">
        <f t="shared" ref="E23:E25" si="8">D23/11</f>
        <v>100</v>
      </c>
    </row>
    <row r="24" spans="1:5" ht="15.75" customHeight="1" x14ac:dyDescent="0.2">
      <c r="A24" s="9"/>
      <c r="B24" s="12">
        <v>44299</v>
      </c>
      <c r="C24" s="9" t="s">
        <v>443</v>
      </c>
      <c r="D24" s="8">
        <v>54753.49</v>
      </c>
      <c r="E24" s="8">
        <f t="shared" si="8"/>
        <v>4977.59</v>
      </c>
    </row>
    <row r="25" spans="1:5" ht="15.75" customHeight="1" x14ac:dyDescent="0.2">
      <c r="A25" s="9"/>
      <c r="B25" s="12">
        <v>44313</v>
      </c>
      <c r="C25" s="9" t="s">
        <v>444</v>
      </c>
      <c r="D25" s="8">
        <v>100418.62</v>
      </c>
      <c r="E25" s="8">
        <f t="shared" si="8"/>
        <v>9128.9654545454541</v>
      </c>
    </row>
    <row r="26" spans="1:5" ht="15.75" customHeight="1" x14ac:dyDescent="0.2">
      <c r="A26" s="19" t="s">
        <v>0</v>
      </c>
      <c r="B26" s="9"/>
      <c r="C26" s="9"/>
      <c r="D26" s="20">
        <f t="shared" ref="D26" si="9">SUM(D23:D25)</f>
        <v>156272.10999999999</v>
      </c>
      <c r="E26" s="20">
        <f>SUM(E23:E25)</f>
        <v>14206.555454545454</v>
      </c>
    </row>
    <row r="27" spans="1:5" ht="15.75" customHeight="1" x14ac:dyDescent="0.2">
      <c r="A27" s="9"/>
      <c r="B27" s="9"/>
      <c r="C27" s="9"/>
      <c r="D27" s="8"/>
      <c r="E27" s="8"/>
    </row>
    <row r="28" spans="1:5" ht="15.75" customHeight="1" x14ac:dyDescent="0.2">
      <c r="A28" s="9" t="s">
        <v>445</v>
      </c>
      <c r="B28" s="12">
        <v>44321</v>
      </c>
      <c r="C28" s="9" t="s">
        <v>381</v>
      </c>
      <c r="D28" s="20">
        <v>1100</v>
      </c>
      <c r="E28" s="20">
        <f>D28/11</f>
        <v>100</v>
      </c>
    </row>
    <row r="29" spans="1:5" ht="15.75" customHeight="1" x14ac:dyDescent="0.2">
      <c r="A29" s="9"/>
      <c r="B29" s="9"/>
      <c r="C29" s="9"/>
      <c r="D29" s="8"/>
      <c r="E29" s="8"/>
    </row>
    <row r="30" spans="1:5" ht="15.75" customHeight="1" x14ac:dyDescent="0.2">
      <c r="A30" s="9" t="s">
        <v>446</v>
      </c>
      <c r="B30" s="12">
        <v>44368</v>
      </c>
      <c r="C30" s="9" t="s">
        <v>447</v>
      </c>
      <c r="D30" s="8">
        <f>59611.15+5961.15</f>
        <v>65572.3</v>
      </c>
      <c r="E30" s="8">
        <f t="shared" ref="E30:E33" si="10">D30/11</f>
        <v>5961.1181818181822</v>
      </c>
    </row>
    <row r="31" spans="1:5" ht="15.75" customHeight="1" x14ac:dyDescent="0.2">
      <c r="A31" s="9"/>
      <c r="B31" s="12">
        <v>44368</v>
      </c>
      <c r="C31" s="9" t="s">
        <v>448</v>
      </c>
      <c r="D31" s="8">
        <v>11844</v>
      </c>
      <c r="E31" s="8">
        <f t="shared" si="10"/>
        <v>1076.7272727272727</v>
      </c>
    </row>
    <row r="32" spans="1:5" ht="15.75" customHeight="1" x14ac:dyDescent="0.2">
      <c r="A32" s="9"/>
      <c r="B32" s="12">
        <v>44375</v>
      </c>
      <c r="C32" s="9" t="s">
        <v>449</v>
      </c>
      <c r="D32" s="8">
        <v>773.85</v>
      </c>
      <c r="E32" s="8">
        <f t="shared" si="10"/>
        <v>70.350000000000009</v>
      </c>
    </row>
    <row r="33" spans="1:5" ht="15.75" customHeight="1" x14ac:dyDescent="0.2">
      <c r="A33" s="9"/>
      <c r="B33" s="12">
        <v>44375</v>
      </c>
      <c r="C33" s="9" t="s">
        <v>381</v>
      </c>
      <c r="D33" s="8">
        <v>1100</v>
      </c>
      <c r="E33" s="8">
        <f t="shared" si="10"/>
        <v>100</v>
      </c>
    </row>
    <row r="34" spans="1:5" ht="15.75" customHeight="1" x14ac:dyDescent="0.2">
      <c r="A34" s="19" t="s">
        <v>0</v>
      </c>
      <c r="B34" s="24"/>
      <c r="C34" s="9"/>
      <c r="D34" s="25">
        <f t="shared" ref="D34" si="11">SUM(D30:D33)</f>
        <v>79290.150000000009</v>
      </c>
      <c r="E34" s="25">
        <f>SUM(E30:E33)</f>
        <v>7208.1954545454555</v>
      </c>
    </row>
    <row r="35" spans="1:5" ht="15" customHeight="1" x14ac:dyDescent="0.2">
      <c r="A35" s="9"/>
      <c r="B35" s="9"/>
      <c r="C35" s="9"/>
      <c r="D35" s="8"/>
      <c r="E35" s="8"/>
    </row>
    <row r="36" spans="1:5" ht="15.75" customHeight="1" x14ac:dyDescent="0.2">
      <c r="A36" s="9" t="s">
        <v>791</v>
      </c>
      <c r="B36" s="9"/>
      <c r="C36" s="9" t="s">
        <v>450</v>
      </c>
      <c r="D36" s="20">
        <v>601.32000000000005</v>
      </c>
      <c r="E36" s="20">
        <f>D36/11</f>
        <v>54.665454545454551</v>
      </c>
    </row>
    <row r="37" spans="1:5" ht="15.75" customHeight="1" x14ac:dyDescent="0.2">
      <c r="A37" s="9"/>
      <c r="B37" s="9"/>
      <c r="C37" s="9"/>
      <c r="D37" s="8"/>
      <c r="E37" s="8"/>
    </row>
    <row r="38" spans="1:5" ht="15.75" customHeight="1" x14ac:dyDescent="0.2">
      <c r="A38" s="9" t="s">
        <v>451</v>
      </c>
      <c r="B38" s="12">
        <v>44438</v>
      </c>
      <c r="C38" s="9" t="s">
        <v>452</v>
      </c>
      <c r="D38" s="8">
        <v>715</v>
      </c>
      <c r="E38" s="8">
        <f t="shared" ref="E38:E40" si="12">D38/11</f>
        <v>65</v>
      </c>
    </row>
    <row r="39" spans="1:5" ht="15.75" customHeight="1" x14ac:dyDescent="0.2">
      <c r="A39" s="9"/>
      <c r="B39" s="12">
        <v>44438</v>
      </c>
      <c r="C39" s="9" t="s">
        <v>452</v>
      </c>
      <c r="D39" s="8">
        <v>700</v>
      </c>
      <c r="E39" s="8">
        <f t="shared" si="12"/>
        <v>63.636363636363633</v>
      </c>
    </row>
    <row r="40" spans="1:5" ht="15.75" customHeight="1" x14ac:dyDescent="0.2">
      <c r="A40" s="9"/>
      <c r="B40" s="12">
        <v>44439</v>
      </c>
      <c r="C40" s="9" t="s">
        <v>453</v>
      </c>
      <c r="D40" s="8">
        <f>88350.27+8835.03</f>
        <v>97185.3</v>
      </c>
      <c r="E40" s="8">
        <f t="shared" si="12"/>
        <v>8835.0272727272732</v>
      </c>
    </row>
    <row r="41" spans="1:5" ht="15.75" customHeight="1" x14ac:dyDescent="0.2">
      <c r="A41" s="19" t="s">
        <v>0</v>
      </c>
      <c r="B41" s="26"/>
      <c r="C41" s="9"/>
      <c r="D41" s="20">
        <f>SUM(D38:D40)</f>
        <v>98600.3</v>
      </c>
      <c r="E41" s="20">
        <f>SUM(E38:E40)</f>
        <v>8963.6636363636371</v>
      </c>
    </row>
    <row r="42" spans="1:5" ht="15.75" customHeight="1" x14ac:dyDescent="0.2">
      <c r="A42" s="9"/>
      <c r="B42" s="12"/>
      <c r="C42" s="9"/>
      <c r="D42" s="8"/>
      <c r="E42" s="8"/>
    </row>
    <row r="43" spans="1:5" ht="15.75" customHeight="1" x14ac:dyDescent="0.2">
      <c r="A43" s="9" t="s">
        <v>454</v>
      </c>
      <c r="B43" s="12">
        <v>44445</v>
      </c>
      <c r="C43" s="9" t="s">
        <v>381</v>
      </c>
      <c r="D43" s="20">
        <v>1100</v>
      </c>
      <c r="E43" s="20">
        <f>D43/11</f>
        <v>100</v>
      </c>
    </row>
    <row r="44" spans="1:5" ht="15.75" customHeight="1" x14ac:dyDescent="0.2">
      <c r="A44" s="9"/>
      <c r="B44" s="12"/>
      <c r="C44" s="9"/>
      <c r="D44" s="8"/>
      <c r="E44" s="8"/>
    </row>
    <row r="45" spans="1:5" ht="15.75" customHeight="1" x14ac:dyDescent="0.2">
      <c r="A45" s="9" t="s">
        <v>455</v>
      </c>
      <c r="B45" s="12">
        <v>44489</v>
      </c>
      <c r="C45" s="9" t="s">
        <v>243</v>
      </c>
      <c r="D45" s="8">
        <v>525.70000000000005</v>
      </c>
      <c r="E45" s="8">
        <v>0</v>
      </c>
    </row>
    <row r="46" spans="1:5" ht="15.75" customHeight="1" x14ac:dyDescent="0.2">
      <c r="A46" s="9"/>
      <c r="B46" s="12">
        <v>44489</v>
      </c>
      <c r="C46" s="9" t="s">
        <v>456</v>
      </c>
      <c r="D46" s="8">
        <v>221.01</v>
      </c>
      <c r="E46" s="8">
        <v>0</v>
      </c>
    </row>
    <row r="47" spans="1:5" ht="15.75" customHeight="1" x14ac:dyDescent="0.2">
      <c r="B47" s="12">
        <v>44489</v>
      </c>
      <c r="C47" s="9" t="s">
        <v>456</v>
      </c>
      <c r="D47" s="8">
        <v>214.12</v>
      </c>
      <c r="E47" s="8">
        <v>0</v>
      </c>
    </row>
    <row r="48" spans="1:5" ht="15.75" customHeight="1" x14ac:dyDescent="0.2">
      <c r="B48" s="12"/>
      <c r="C48" s="9"/>
      <c r="D48" s="20">
        <f t="shared" ref="D48:E48" si="13">SUM(D45:D47)</f>
        <v>960.83</v>
      </c>
      <c r="E48" s="20">
        <f t="shared" si="13"/>
        <v>0</v>
      </c>
    </row>
    <row r="49" spans="1:7" ht="15.75" customHeight="1" x14ac:dyDescent="0.2">
      <c r="A49" s="9" t="s">
        <v>457</v>
      </c>
      <c r="B49" s="12"/>
      <c r="C49" s="9"/>
      <c r="D49" s="8"/>
      <c r="E49" s="8"/>
    </row>
    <row r="50" spans="1:7" ht="15.75" customHeight="1" x14ac:dyDescent="0.2">
      <c r="A50" s="9"/>
      <c r="B50" s="12"/>
      <c r="C50" s="9"/>
      <c r="D50" s="8"/>
      <c r="E50" s="8"/>
    </row>
    <row r="51" spans="1:7" ht="15.75" customHeight="1" x14ac:dyDescent="0.2">
      <c r="A51" s="9" t="s">
        <v>458</v>
      </c>
      <c r="B51" s="27">
        <v>44543</v>
      </c>
      <c r="C51" s="9" t="s">
        <v>456</v>
      </c>
      <c r="D51" s="8">
        <v>365.2</v>
      </c>
      <c r="E51" s="8">
        <v>0</v>
      </c>
    </row>
    <row r="52" spans="1:7" ht="15.75" customHeight="1" x14ac:dyDescent="0.2">
      <c r="A52" s="9"/>
      <c r="B52" s="27">
        <v>44543</v>
      </c>
      <c r="C52" s="9" t="s">
        <v>456</v>
      </c>
      <c r="D52" s="8">
        <v>348.04</v>
      </c>
      <c r="E52" s="8">
        <v>0</v>
      </c>
    </row>
    <row r="53" spans="1:7" ht="15.75" customHeight="1" x14ac:dyDescent="0.2">
      <c r="A53" s="9"/>
      <c r="B53" s="27"/>
      <c r="C53" s="9"/>
      <c r="D53" s="20">
        <f>SUM(D51:D52)</f>
        <v>713.24</v>
      </c>
      <c r="E53" s="20">
        <f>SUM(E51:E52)</f>
        <v>0</v>
      </c>
    </row>
    <row r="54" spans="1:7" ht="15.75" customHeight="1" x14ac:dyDescent="0.2">
      <c r="A54" s="9"/>
      <c r="B54" s="12"/>
      <c r="C54" s="9"/>
      <c r="D54" s="8"/>
      <c r="E54" s="8"/>
    </row>
    <row r="55" spans="1:7" ht="15.75" customHeight="1" x14ac:dyDescent="0.2">
      <c r="A55" s="9" t="s">
        <v>461</v>
      </c>
      <c r="B55" s="12">
        <v>44206</v>
      </c>
      <c r="C55" s="9" t="s">
        <v>412</v>
      </c>
      <c r="D55" s="8">
        <v>521.4</v>
      </c>
      <c r="E55" s="8">
        <f t="shared" ref="E55:E59" si="14">D55/11</f>
        <v>47.4</v>
      </c>
    </row>
    <row r="56" spans="1:7" ht="15.75" customHeight="1" x14ac:dyDescent="0.2">
      <c r="A56" s="9"/>
      <c r="B56" s="12">
        <v>44574</v>
      </c>
      <c r="C56" s="9" t="s">
        <v>412</v>
      </c>
      <c r="D56" s="8">
        <v>1500</v>
      </c>
      <c r="E56" s="8">
        <f t="shared" si="14"/>
        <v>136.36363636363637</v>
      </c>
    </row>
    <row r="57" spans="1:7" ht="15.75" customHeight="1" x14ac:dyDescent="0.2">
      <c r="A57" s="9"/>
      <c r="B57" s="12">
        <v>44213</v>
      </c>
      <c r="C57" s="9" t="s">
        <v>412</v>
      </c>
      <c r="D57" s="8">
        <v>2866.25</v>
      </c>
      <c r="E57" s="8">
        <f t="shared" si="14"/>
        <v>260.56818181818181</v>
      </c>
    </row>
    <row r="58" spans="1:7" ht="15.75" customHeight="1" x14ac:dyDescent="0.2">
      <c r="A58" s="9"/>
      <c r="B58" s="12">
        <v>44213</v>
      </c>
      <c r="C58" s="9" t="s">
        <v>462</v>
      </c>
      <c r="D58" s="8">
        <v>1500</v>
      </c>
      <c r="E58" s="8">
        <f t="shared" si="14"/>
        <v>136.36363636363637</v>
      </c>
      <c r="G58" s="14"/>
    </row>
    <row r="59" spans="1:7" ht="15.75" customHeight="1" x14ac:dyDescent="0.2">
      <c r="A59" s="9"/>
      <c r="B59" s="12">
        <v>44217</v>
      </c>
      <c r="C59" s="9" t="s">
        <v>420</v>
      </c>
      <c r="D59" s="8">
        <v>273.05</v>
      </c>
      <c r="E59" s="8">
        <f t="shared" si="14"/>
        <v>24.822727272727274</v>
      </c>
    </row>
    <row r="60" spans="1:7" ht="15.75" customHeight="1" x14ac:dyDescent="0.2">
      <c r="A60" s="9"/>
      <c r="B60" s="12">
        <v>44213</v>
      </c>
      <c r="C60" s="9" t="s">
        <v>463</v>
      </c>
      <c r="D60" s="8">
        <v>98648.69</v>
      </c>
      <c r="E60" s="8">
        <v>8927.15</v>
      </c>
    </row>
    <row r="61" spans="1:7" ht="15.75" customHeight="1" x14ac:dyDescent="0.2">
      <c r="A61" s="9"/>
      <c r="B61" s="12">
        <v>43859</v>
      </c>
      <c r="C61" s="9" t="s">
        <v>464</v>
      </c>
      <c r="D61" s="8">
        <v>1100</v>
      </c>
      <c r="E61" s="8">
        <f t="shared" ref="E61:E62" si="15">D61/11</f>
        <v>100</v>
      </c>
    </row>
    <row r="62" spans="1:7" ht="15.75" customHeight="1" x14ac:dyDescent="0.2">
      <c r="A62" s="9"/>
      <c r="B62" s="12">
        <v>44227</v>
      </c>
      <c r="C62" s="9" t="s">
        <v>465</v>
      </c>
      <c r="D62" s="8">
        <v>3900</v>
      </c>
      <c r="E62" s="8">
        <f t="shared" si="15"/>
        <v>354.54545454545456</v>
      </c>
    </row>
    <row r="63" spans="1:7" ht="15.75" customHeight="1" x14ac:dyDescent="0.2">
      <c r="A63" s="9"/>
      <c r="B63" s="9"/>
      <c r="C63" s="9"/>
      <c r="D63" s="20">
        <f t="shared" ref="D63" si="16">SUM(D55:D62)</f>
        <v>110309.39</v>
      </c>
      <c r="E63" s="20">
        <f>SUM(E55:E62)</f>
        <v>9987.2136363636364</v>
      </c>
    </row>
    <row r="64" spans="1:7" ht="15.75" customHeight="1" x14ac:dyDescent="0.2">
      <c r="A64" s="9"/>
      <c r="B64" s="9"/>
      <c r="C64" s="9"/>
      <c r="D64" s="20"/>
      <c r="E64" s="20"/>
    </row>
    <row r="65" spans="1:6" ht="15.75" customHeight="1" x14ac:dyDescent="0.2">
      <c r="A65" s="9" t="s">
        <v>437</v>
      </c>
      <c r="B65" s="12">
        <v>44238</v>
      </c>
      <c r="C65" s="9" t="s">
        <v>412</v>
      </c>
      <c r="D65" s="8">
        <v>2085.6</v>
      </c>
      <c r="E65" s="8">
        <f t="shared" ref="E65:E66" si="17">D65/11</f>
        <v>189.6</v>
      </c>
    </row>
    <row r="66" spans="1:6" ht="15.75" customHeight="1" x14ac:dyDescent="0.2">
      <c r="A66" s="9"/>
      <c r="B66" s="12">
        <v>44237</v>
      </c>
      <c r="C66" s="9" t="s">
        <v>462</v>
      </c>
      <c r="D66" s="8">
        <v>625</v>
      </c>
      <c r="E66" s="8">
        <f t="shared" si="17"/>
        <v>56.81818181818182</v>
      </c>
    </row>
    <row r="67" spans="1:6" ht="15.75" customHeight="1" x14ac:dyDescent="0.2">
      <c r="A67" s="9"/>
      <c r="B67" s="12"/>
      <c r="C67" s="9"/>
      <c r="D67" s="20">
        <f t="shared" ref="D67" si="18">SUM(D65:D66)</f>
        <v>2710.6</v>
      </c>
      <c r="E67" s="20">
        <f>SUM(E65:E66)</f>
        <v>246.41818181818181</v>
      </c>
    </row>
    <row r="68" spans="1:6" ht="15.75" customHeight="1" x14ac:dyDescent="0.2">
      <c r="A68" s="9"/>
      <c r="B68" s="12"/>
      <c r="C68" s="9"/>
      <c r="D68" s="8"/>
      <c r="E68" s="8"/>
    </row>
    <row r="69" spans="1:6" ht="15.75" customHeight="1" x14ac:dyDescent="0.2">
      <c r="A69" s="9" t="s">
        <v>440</v>
      </c>
      <c r="B69" s="12">
        <v>44629</v>
      </c>
      <c r="C69" s="9" t="s">
        <v>398</v>
      </c>
      <c r="D69" s="8">
        <v>3120</v>
      </c>
      <c r="E69" s="8">
        <f t="shared" ref="E69:E71" si="19">D69/11</f>
        <v>283.63636363636363</v>
      </c>
    </row>
    <row r="70" spans="1:6" ht="15.75" customHeight="1" x14ac:dyDescent="0.2">
      <c r="A70" s="9"/>
      <c r="B70" s="9"/>
      <c r="C70" s="9" t="s">
        <v>412</v>
      </c>
      <c r="D70" s="8">
        <v>2346</v>
      </c>
      <c r="E70" s="8">
        <f t="shared" si="19"/>
        <v>213.27272727272728</v>
      </c>
    </row>
    <row r="71" spans="1:6" ht="15.75" customHeight="1" x14ac:dyDescent="0.2">
      <c r="A71" s="9"/>
      <c r="B71" s="9"/>
      <c r="C71" s="9" t="s">
        <v>466</v>
      </c>
      <c r="D71" s="8">
        <f>61813.86+6181.39</f>
        <v>67995.25</v>
      </c>
      <c r="E71" s="8">
        <f t="shared" si="19"/>
        <v>6181.386363636364</v>
      </c>
    </row>
    <row r="72" spans="1:6" ht="15.75" customHeight="1" x14ac:dyDescent="0.2">
      <c r="A72" s="9"/>
      <c r="B72" s="9"/>
      <c r="C72" s="9"/>
      <c r="D72" s="20">
        <f t="shared" ref="D72" si="20">SUM(D69:D71)</f>
        <v>73461.25</v>
      </c>
      <c r="E72" s="20">
        <f>SUM(E69:E71)</f>
        <v>6678.295454545455</v>
      </c>
    </row>
    <row r="73" spans="1:6" ht="15" customHeight="1" x14ac:dyDescent="0.2">
      <c r="A73" s="9"/>
      <c r="B73" s="9"/>
      <c r="C73" s="9"/>
      <c r="D73" s="8"/>
      <c r="E73" s="20"/>
    </row>
    <row r="74" spans="1:6" ht="15.75" customHeight="1" x14ac:dyDescent="0.2">
      <c r="A74" s="9" t="s">
        <v>442</v>
      </c>
      <c r="B74" s="12">
        <v>44663</v>
      </c>
      <c r="C74" s="9" t="s">
        <v>464</v>
      </c>
      <c r="D74" s="8">
        <v>1100</v>
      </c>
      <c r="E74" s="8">
        <f t="shared" ref="E74:E79" si="21">D74/11</f>
        <v>100</v>
      </c>
    </row>
    <row r="75" spans="1:6" ht="15.75" customHeight="1" x14ac:dyDescent="0.2">
      <c r="A75" s="9"/>
      <c r="B75" s="12">
        <v>44671</v>
      </c>
      <c r="C75" s="9" t="s">
        <v>394</v>
      </c>
      <c r="D75" s="8">
        <v>450</v>
      </c>
      <c r="E75" s="8">
        <f t="shared" si="21"/>
        <v>40.909090909090907</v>
      </c>
    </row>
    <row r="76" spans="1:6" ht="15.75" customHeight="1" x14ac:dyDescent="0.2">
      <c r="A76" s="9"/>
      <c r="B76" s="12">
        <v>44671</v>
      </c>
      <c r="C76" s="9" t="s">
        <v>412</v>
      </c>
      <c r="D76" s="8">
        <v>2563.5500000000002</v>
      </c>
      <c r="E76" s="8">
        <f t="shared" si="21"/>
        <v>233.05</v>
      </c>
    </row>
    <row r="77" spans="1:6" ht="15.75" customHeight="1" x14ac:dyDescent="0.2">
      <c r="A77" s="9"/>
      <c r="B77" s="12">
        <v>44672</v>
      </c>
      <c r="C77" s="9" t="s">
        <v>403</v>
      </c>
      <c r="D77" s="8">
        <v>150.91999999999999</v>
      </c>
      <c r="E77" s="8">
        <f t="shared" si="21"/>
        <v>13.719999999999999</v>
      </c>
      <c r="F77" s="14"/>
    </row>
    <row r="78" spans="1:6" ht="15.75" customHeight="1" x14ac:dyDescent="0.2">
      <c r="A78" s="9"/>
      <c r="B78" s="12">
        <v>44672</v>
      </c>
      <c r="C78" s="9" t="s">
        <v>467</v>
      </c>
      <c r="D78" s="8">
        <v>1023</v>
      </c>
      <c r="E78" s="8">
        <f t="shared" si="21"/>
        <v>93</v>
      </c>
    </row>
    <row r="79" spans="1:6" ht="15.75" customHeight="1" x14ac:dyDescent="0.2">
      <c r="A79" s="9"/>
      <c r="B79" s="12">
        <v>44678</v>
      </c>
      <c r="C79" s="9" t="s">
        <v>406</v>
      </c>
      <c r="D79" s="8">
        <v>779.5</v>
      </c>
      <c r="E79" s="8">
        <f t="shared" si="21"/>
        <v>70.86363636363636</v>
      </c>
    </row>
    <row r="80" spans="1:6" ht="15" customHeight="1" x14ac:dyDescent="0.2">
      <c r="A80" s="9"/>
      <c r="B80" s="12"/>
      <c r="C80" s="9"/>
      <c r="D80" s="20">
        <f t="shared" ref="D80" si="22">SUM(D74:D79)</f>
        <v>6066.97</v>
      </c>
      <c r="E80" s="20">
        <f>SUM(E74:E79)</f>
        <v>551.54272727272735</v>
      </c>
    </row>
    <row r="81" spans="1:5" ht="15.75" customHeight="1" x14ac:dyDescent="0.2">
      <c r="A81" s="9" t="s">
        <v>445</v>
      </c>
      <c r="B81" s="12"/>
      <c r="C81" s="9"/>
      <c r="D81" s="8"/>
      <c r="E81" s="8"/>
    </row>
    <row r="82" spans="1:5" ht="15" customHeight="1" x14ac:dyDescent="0.2">
      <c r="A82" s="9"/>
      <c r="B82" s="12">
        <v>44685</v>
      </c>
      <c r="C82" s="9" t="s">
        <v>407</v>
      </c>
      <c r="D82" s="8">
        <v>220</v>
      </c>
      <c r="E82" s="8">
        <f t="shared" ref="E82:E86" si="23">D82/11</f>
        <v>20</v>
      </c>
    </row>
    <row r="83" spans="1:5" ht="15.75" customHeight="1" x14ac:dyDescent="0.2">
      <c r="A83" s="9"/>
      <c r="B83" s="12">
        <v>44685</v>
      </c>
      <c r="C83" s="9" t="s">
        <v>468</v>
      </c>
      <c r="D83" s="8">
        <v>3357.2</v>
      </c>
      <c r="E83" s="8">
        <f t="shared" si="23"/>
        <v>305.2</v>
      </c>
    </row>
    <row r="84" spans="1:5" ht="15.75" customHeight="1" x14ac:dyDescent="0.2">
      <c r="A84" s="9"/>
      <c r="B84" s="12">
        <v>44687</v>
      </c>
      <c r="C84" s="9" t="s">
        <v>411</v>
      </c>
      <c r="D84" s="8">
        <v>77</v>
      </c>
      <c r="E84" s="8">
        <f t="shared" si="23"/>
        <v>7</v>
      </c>
    </row>
    <row r="85" spans="1:5" ht="15.75" customHeight="1" x14ac:dyDescent="0.2">
      <c r="A85" s="9"/>
      <c r="B85" s="12">
        <v>44687</v>
      </c>
      <c r="C85" s="9" t="s">
        <v>412</v>
      </c>
      <c r="D85" s="8">
        <v>5909.2</v>
      </c>
      <c r="E85" s="8">
        <f t="shared" si="23"/>
        <v>537.19999999999993</v>
      </c>
    </row>
    <row r="86" spans="1:5" ht="15.75" customHeight="1" x14ac:dyDescent="0.2">
      <c r="A86" s="9"/>
      <c r="B86" s="12">
        <v>44708</v>
      </c>
      <c r="C86" s="9" t="s">
        <v>407</v>
      </c>
      <c r="D86" s="8">
        <v>754.34</v>
      </c>
      <c r="E86" s="8">
        <f t="shared" si="23"/>
        <v>68.576363636363638</v>
      </c>
    </row>
    <row r="87" spans="1:5" ht="15.75" customHeight="1" x14ac:dyDescent="0.2">
      <c r="A87" s="9"/>
      <c r="B87" s="9"/>
      <c r="C87" s="9"/>
      <c r="D87" s="20">
        <f t="shared" ref="D87" si="24">SUM(D82:D86)</f>
        <v>10317.74</v>
      </c>
      <c r="E87" s="20">
        <f>SUM(E82:E86)</f>
        <v>937.97636363636354</v>
      </c>
    </row>
    <row r="88" spans="1:5" ht="15.75" customHeight="1" x14ac:dyDescent="0.2">
      <c r="C88" s="9"/>
      <c r="D88" s="14"/>
      <c r="E88" s="14"/>
    </row>
    <row r="89" spans="1:5" ht="15.75" customHeight="1" x14ac:dyDescent="0.2">
      <c r="A89" s="9" t="s">
        <v>469</v>
      </c>
      <c r="B89" s="12">
        <v>44718</v>
      </c>
      <c r="C89" s="9" t="s">
        <v>470</v>
      </c>
      <c r="D89" s="8">
        <v>235.95</v>
      </c>
      <c r="E89" s="8">
        <f>D89/11</f>
        <v>21.45</v>
      </c>
    </row>
    <row r="90" spans="1:5" ht="15.75" customHeight="1" x14ac:dyDescent="0.2">
      <c r="A90" s="9"/>
      <c r="B90" s="12">
        <v>44727</v>
      </c>
      <c r="C90" s="9" t="s">
        <v>456</v>
      </c>
      <c r="D90" s="8">
        <v>27.33</v>
      </c>
      <c r="E90" s="8">
        <v>0</v>
      </c>
    </row>
    <row r="91" spans="1:5" ht="15.75" customHeight="1" x14ac:dyDescent="0.2">
      <c r="A91" s="9"/>
      <c r="B91" s="12">
        <v>44727</v>
      </c>
      <c r="C91" s="9" t="s">
        <v>456</v>
      </c>
      <c r="D91" s="8">
        <v>23.73</v>
      </c>
      <c r="E91" s="8">
        <v>0</v>
      </c>
    </row>
    <row r="92" spans="1:5" ht="15.75" customHeight="1" x14ac:dyDescent="0.2">
      <c r="A92" s="9"/>
      <c r="B92" s="12">
        <v>44733</v>
      </c>
      <c r="C92" s="9" t="s">
        <v>412</v>
      </c>
      <c r="D92" s="8">
        <v>1894.2</v>
      </c>
      <c r="E92" s="8">
        <f t="shared" ref="E92:E93" si="25">D92/11</f>
        <v>172.20000000000002</v>
      </c>
    </row>
    <row r="93" spans="1:5" ht="15.75" customHeight="1" x14ac:dyDescent="0.2">
      <c r="A93" s="9"/>
      <c r="B93" s="12">
        <v>44736</v>
      </c>
      <c r="C93" s="9" t="s">
        <v>403</v>
      </c>
      <c r="D93" s="8">
        <v>779.5</v>
      </c>
      <c r="E93" s="8">
        <f t="shared" si="25"/>
        <v>70.86363636363636</v>
      </c>
    </row>
    <row r="94" spans="1:5" ht="15.75" customHeight="1" x14ac:dyDescent="0.2">
      <c r="A94" s="9"/>
      <c r="B94" s="12">
        <v>44740</v>
      </c>
      <c r="C94" s="9" t="s">
        <v>420</v>
      </c>
      <c r="D94" s="8">
        <v>206.94</v>
      </c>
      <c r="E94" s="8">
        <v>0</v>
      </c>
    </row>
    <row r="95" spans="1:5" ht="15.75" customHeight="1" x14ac:dyDescent="0.2">
      <c r="A95" s="9"/>
      <c r="B95" s="12">
        <v>44742</v>
      </c>
      <c r="C95" s="9" t="s">
        <v>413</v>
      </c>
      <c r="D95" s="8">
        <v>7000</v>
      </c>
      <c r="E95" s="8">
        <f t="shared" ref="E95:E96" si="26">D95/11</f>
        <v>636.36363636363637</v>
      </c>
    </row>
    <row r="96" spans="1:5" ht="15.75" customHeight="1" x14ac:dyDescent="0.2">
      <c r="A96" s="9"/>
      <c r="B96" s="12">
        <v>44742</v>
      </c>
      <c r="C96" s="9" t="s">
        <v>471</v>
      </c>
      <c r="D96" s="8">
        <v>223.3</v>
      </c>
      <c r="E96" s="8">
        <f t="shared" si="26"/>
        <v>20.3</v>
      </c>
    </row>
    <row r="97" spans="1:5" ht="15.75" customHeight="1" x14ac:dyDescent="0.2">
      <c r="A97" s="9"/>
      <c r="B97" s="9"/>
      <c r="C97" s="9"/>
      <c r="D97" s="20">
        <f t="shared" ref="D97" si="27">SUM(D89:D96)</f>
        <v>10390.949999999999</v>
      </c>
      <c r="E97" s="20">
        <f>SUM(E89:E96)</f>
        <v>921.17727272727268</v>
      </c>
    </row>
    <row r="98" spans="1:5" ht="15" customHeight="1" x14ac:dyDescent="0.2">
      <c r="D98" s="14"/>
      <c r="E98" s="14"/>
    </row>
    <row r="99" spans="1:5" ht="15" customHeight="1" x14ac:dyDescent="0.2">
      <c r="A99" s="9" t="s">
        <v>472</v>
      </c>
      <c r="B99" s="12"/>
      <c r="C99" s="9"/>
      <c r="D99" s="8"/>
      <c r="E99" s="8"/>
    </row>
    <row r="100" spans="1:5" ht="15.75" customHeight="1" x14ac:dyDescent="0.2">
      <c r="A100" s="9"/>
      <c r="B100" s="12">
        <v>44747</v>
      </c>
      <c r="C100" s="9" t="s">
        <v>403</v>
      </c>
      <c r="D100" s="8">
        <v>779.5</v>
      </c>
      <c r="E100" s="8">
        <f t="shared" ref="E100:E103" si="28">D100/11</f>
        <v>70.86363636363636</v>
      </c>
    </row>
    <row r="101" spans="1:5" ht="15.75" customHeight="1" x14ac:dyDescent="0.2">
      <c r="A101" s="9"/>
      <c r="B101" s="12">
        <v>44756</v>
      </c>
      <c r="C101" s="9" t="s">
        <v>412</v>
      </c>
      <c r="D101" s="8">
        <v>856.9</v>
      </c>
      <c r="E101" s="8">
        <f t="shared" si="28"/>
        <v>77.899999999999991</v>
      </c>
    </row>
    <row r="102" spans="1:5" ht="15.75" customHeight="1" x14ac:dyDescent="0.2">
      <c r="A102" s="9"/>
      <c r="B102" s="12">
        <v>44756</v>
      </c>
      <c r="C102" s="9" t="s">
        <v>413</v>
      </c>
      <c r="D102" s="8">
        <v>7784</v>
      </c>
      <c r="E102" s="8">
        <f t="shared" si="28"/>
        <v>707.63636363636363</v>
      </c>
    </row>
    <row r="103" spans="1:5" ht="15.75" customHeight="1" x14ac:dyDescent="0.2">
      <c r="A103" s="9"/>
      <c r="B103" s="12">
        <v>44769</v>
      </c>
      <c r="C103" s="9" t="s">
        <v>403</v>
      </c>
      <c r="D103" s="8">
        <v>779.5</v>
      </c>
      <c r="E103" s="8">
        <f t="shared" si="28"/>
        <v>70.86363636363636</v>
      </c>
    </row>
    <row r="104" spans="1:5" ht="15.75" customHeight="1" x14ac:dyDescent="0.2">
      <c r="A104" s="9"/>
      <c r="B104" s="12"/>
      <c r="C104" s="9"/>
      <c r="D104" s="20">
        <f t="shared" ref="D104" si="29">SUM(D99:D103)</f>
        <v>10199.9</v>
      </c>
      <c r="E104" s="20">
        <f>SUM(E100:E103)</f>
        <v>927.26363636363635</v>
      </c>
    </row>
    <row r="105" spans="1:5" ht="15.75" customHeight="1" x14ac:dyDescent="0.2">
      <c r="B105" s="28"/>
      <c r="D105" s="14"/>
      <c r="E105" s="14"/>
    </row>
    <row r="106" spans="1:5" ht="15.75" customHeight="1" x14ac:dyDescent="0.2">
      <c r="A106" s="9" t="s">
        <v>473</v>
      </c>
      <c r="B106" s="12">
        <v>44774</v>
      </c>
      <c r="C106" s="9" t="s">
        <v>414</v>
      </c>
      <c r="D106" s="8">
        <v>238.7</v>
      </c>
      <c r="E106" s="8">
        <f t="shared" ref="E106:E109" si="30">D106/11</f>
        <v>21.7</v>
      </c>
    </row>
    <row r="107" spans="1:5" ht="15.75" customHeight="1" x14ac:dyDescent="0.2">
      <c r="A107" s="9"/>
      <c r="B107" s="12">
        <v>44788</v>
      </c>
      <c r="C107" s="9" t="s">
        <v>403</v>
      </c>
      <c r="D107" s="8">
        <v>389.75</v>
      </c>
      <c r="E107" s="8">
        <f t="shared" si="30"/>
        <v>35.43181818181818</v>
      </c>
    </row>
    <row r="108" spans="1:5" ht="15.75" customHeight="1" x14ac:dyDescent="0.2">
      <c r="A108" s="9"/>
      <c r="B108" s="12">
        <v>44789</v>
      </c>
      <c r="C108" s="9" t="s">
        <v>412</v>
      </c>
      <c r="D108" s="8">
        <v>586.29999999999995</v>
      </c>
      <c r="E108" s="8">
        <f t="shared" si="30"/>
        <v>53.3</v>
      </c>
    </row>
    <row r="109" spans="1:5" ht="15.75" customHeight="1" x14ac:dyDescent="0.2">
      <c r="A109" s="9"/>
      <c r="B109" s="12">
        <v>44802</v>
      </c>
      <c r="C109" s="9" t="s">
        <v>403</v>
      </c>
      <c r="D109" s="8">
        <v>377.17</v>
      </c>
      <c r="E109" s="8">
        <f t="shared" si="30"/>
        <v>34.288181818181819</v>
      </c>
    </row>
    <row r="110" spans="1:5" ht="15.75" customHeight="1" x14ac:dyDescent="0.2">
      <c r="A110" s="9"/>
      <c r="B110" s="12"/>
      <c r="C110" s="9"/>
      <c r="D110" s="20">
        <f t="shared" ref="D110" si="31">SUM(D106:D109)</f>
        <v>1591.92</v>
      </c>
      <c r="E110" s="20">
        <f>SUM(E106:E109)</f>
        <v>144.72</v>
      </c>
    </row>
    <row r="111" spans="1:5" ht="15.75" customHeight="1" x14ac:dyDescent="0.2">
      <c r="B111" s="28"/>
      <c r="D111" s="14"/>
      <c r="E111" s="14"/>
    </row>
    <row r="112" spans="1:5" ht="15.75" customHeight="1" x14ac:dyDescent="0.2">
      <c r="A112" s="9" t="s">
        <v>474</v>
      </c>
      <c r="B112" s="12">
        <v>44805</v>
      </c>
      <c r="C112" s="9" t="s">
        <v>414</v>
      </c>
      <c r="D112" s="29">
        <v>231</v>
      </c>
      <c r="E112" s="8">
        <f t="shared" ref="E112:E113" si="32">D112/11</f>
        <v>21</v>
      </c>
    </row>
    <row r="113" spans="1:9" ht="15.75" customHeight="1" x14ac:dyDescent="0.2">
      <c r="A113" s="9"/>
      <c r="B113" s="12">
        <v>44819</v>
      </c>
      <c r="C113" s="9" t="s">
        <v>414</v>
      </c>
      <c r="D113" s="8">
        <v>195.25</v>
      </c>
      <c r="E113" s="8">
        <f t="shared" si="32"/>
        <v>17.75</v>
      </c>
    </row>
    <row r="114" spans="1:9" ht="15.75" customHeight="1" x14ac:dyDescent="0.2">
      <c r="D114" s="30">
        <f t="shared" ref="D114" si="33">SUM(D112:D113)</f>
        <v>426.25</v>
      </c>
      <c r="E114" s="30">
        <f>SUM(E112:E113)</f>
        <v>38.75</v>
      </c>
    </row>
    <row r="115" spans="1:9" ht="15.75" customHeight="1" x14ac:dyDescent="0.2">
      <c r="D115" s="14"/>
      <c r="E115" s="8"/>
    </row>
    <row r="116" spans="1:9" ht="15.75" customHeight="1" x14ac:dyDescent="0.2">
      <c r="A116" s="9" t="s">
        <v>475</v>
      </c>
      <c r="B116" s="9" t="s">
        <v>415</v>
      </c>
      <c r="C116" s="9" t="s">
        <v>394</v>
      </c>
      <c r="D116" s="8">
        <v>200</v>
      </c>
      <c r="E116" s="8">
        <f t="shared" ref="E116:E120" si="34">D116/11</f>
        <v>18.181818181818183</v>
      </c>
      <c r="G116" s="196"/>
      <c r="H116" s="197"/>
      <c r="I116" s="198"/>
    </row>
    <row r="117" spans="1:9" ht="15.75" customHeight="1" x14ac:dyDescent="0.2">
      <c r="A117" s="9"/>
      <c r="B117" s="9" t="s">
        <v>416</v>
      </c>
      <c r="C117" s="9" t="s">
        <v>394</v>
      </c>
      <c r="D117" s="8">
        <v>150</v>
      </c>
      <c r="E117" s="8">
        <f t="shared" si="34"/>
        <v>13.636363636363637</v>
      </c>
      <c r="G117" s="196"/>
      <c r="H117" s="198"/>
      <c r="I117" s="198"/>
    </row>
    <row r="118" spans="1:9" ht="15.75" customHeight="1" x14ac:dyDescent="0.2">
      <c r="A118" s="9"/>
      <c r="B118" s="9" t="s">
        <v>417</v>
      </c>
      <c r="C118" s="9" t="s">
        <v>394</v>
      </c>
      <c r="D118" s="8">
        <v>150</v>
      </c>
      <c r="E118" s="8">
        <f t="shared" si="34"/>
        <v>13.636363636363637</v>
      </c>
      <c r="G118" s="196"/>
      <c r="H118" s="198"/>
      <c r="I118" s="198"/>
    </row>
    <row r="119" spans="1:9" ht="15.75" customHeight="1" x14ac:dyDescent="0.2">
      <c r="A119" s="9"/>
      <c r="B119" s="9" t="s">
        <v>418</v>
      </c>
      <c r="C119" s="9" t="s">
        <v>464</v>
      </c>
      <c r="D119" s="8">
        <v>1100</v>
      </c>
      <c r="E119" s="8">
        <f t="shared" si="34"/>
        <v>100</v>
      </c>
      <c r="G119" s="196"/>
      <c r="H119" s="198"/>
      <c r="I119" s="198"/>
    </row>
    <row r="120" spans="1:9" ht="15.75" customHeight="1" x14ac:dyDescent="0.2">
      <c r="A120" s="9"/>
      <c r="B120" s="9" t="s">
        <v>419</v>
      </c>
      <c r="C120" s="9" t="s">
        <v>420</v>
      </c>
      <c r="D120" s="8">
        <v>108.28</v>
      </c>
      <c r="E120" s="8">
        <f t="shared" si="34"/>
        <v>9.8436363636363637</v>
      </c>
      <c r="G120" s="196"/>
      <c r="H120" s="198"/>
      <c r="I120" s="198"/>
    </row>
    <row r="121" spans="1:9" ht="15.75" customHeight="1" x14ac:dyDescent="0.2">
      <c r="A121" s="9"/>
      <c r="B121" s="9" t="s">
        <v>419</v>
      </c>
      <c r="C121" s="9" t="s">
        <v>476</v>
      </c>
      <c r="D121" s="8">
        <v>106814.89</v>
      </c>
      <c r="E121" s="8">
        <v>9710.44</v>
      </c>
      <c r="G121" s="14"/>
      <c r="H121" s="198"/>
      <c r="I121" s="198"/>
    </row>
    <row r="122" spans="1:9" ht="15.75" customHeight="1" x14ac:dyDescent="0.2">
      <c r="D122" s="30">
        <f t="shared" ref="D122" si="35">SUM(D116:D121)</f>
        <v>108523.17</v>
      </c>
      <c r="E122" s="30">
        <f>SUM(E116:E121)</f>
        <v>9865.7381818181821</v>
      </c>
      <c r="G122" s="196"/>
      <c r="H122" s="198"/>
      <c r="I122" s="198"/>
    </row>
    <row r="123" spans="1:9" ht="15.75" customHeight="1" x14ac:dyDescent="0.2">
      <c r="D123" s="14"/>
      <c r="E123" s="30"/>
      <c r="G123" s="193"/>
      <c r="H123" s="193"/>
      <c r="I123" s="193"/>
    </row>
    <row r="124" spans="1:9" ht="15.75" customHeight="1" x14ac:dyDescent="0.2">
      <c r="A124" s="9" t="s">
        <v>477</v>
      </c>
      <c r="B124" s="12">
        <v>44883</v>
      </c>
      <c r="C124" s="9" t="s">
        <v>202</v>
      </c>
      <c r="D124" s="8">
        <v>1000</v>
      </c>
      <c r="E124" s="8">
        <f t="shared" ref="E124:E127" si="36">D124/11</f>
        <v>90.909090909090907</v>
      </c>
    </row>
    <row r="125" spans="1:9" ht="15.75" customHeight="1" x14ac:dyDescent="0.2">
      <c r="A125" s="9"/>
      <c r="B125" s="12">
        <v>44886</v>
      </c>
      <c r="C125" s="9" t="s">
        <v>464</v>
      </c>
      <c r="D125" s="8">
        <v>1100</v>
      </c>
      <c r="E125" s="8">
        <f t="shared" si="36"/>
        <v>100</v>
      </c>
    </row>
    <row r="126" spans="1:9" ht="15.75" customHeight="1" x14ac:dyDescent="0.2">
      <c r="A126" s="9"/>
      <c r="B126" s="11" t="s">
        <v>424</v>
      </c>
      <c r="C126" s="9" t="s">
        <v>476</v>
      </c>
      <c r="D126" s="8">
        <v>62480</v>
      </c>
      <c r="E126" s="8">
        <f t="shared" si="36"/>
        <v>5680</v>
      </c>
      <c r="I126" s="14"/>
    </row>
    <row r="127" spans="1:9" ht="15.75" customHeight="1" x14ac:dyDescent="0.2">
      <c r="A127" s="9"/>
      <c r="B127" s="12">
        <v>44887</v>
      </c>
      <c r="C127" s="9" t="s">
        <v>202</v>
      </c>
      <c r="D127" s="8">
        <v>500</v>
      </c>
      <c r="E127" s="8">
        <f t="shared" si="36"/>
        <v>45.454545454545453</v>
      </c>
    </row>
    <row r="128" spans="1:9" ht="15.75" customHeight="1" x14ac:dyDescent="0.2">
      <c r="A128" s="9"/>
      <c r="B128" s="9"/>
      <c r="C128" s="9"/>
      <c r="D128" s="20">
        <f t="shared" ref="D128" si="37">SUM(D124:D127)</f>
        <v>65080</v>
      </c>
      <c r="E128" s="20">
        <f>SUM(E124:E127)</f>
        <v>5916.363636363636</v>
      </c>
    </row>
    <row r="129" spans="1:9" ht="15.75" customHeight="1" x14ac:dyDescent="0.2">
      <c r="D129" s="14"/>
      <c r="E129" s="14"/>
    </row>
    <row r="130" spans="1:9" ht="15.75" customHeight="1" x14ac:dyDescent="0.2">
      <c r="A130" s="185">
        <v>44896</v>
      </c>
      <c r="B130" s="12">
        <v>44907</v>
      </c>
      <c r="C130" s="9" t="s">
        <v>394</v>
      </c>
      <c r="D130" s="8">
        <v>400</v>
      </c>
      <c r="E130" s="8">
        <f t="shared" ref="E130:E134" si="38">D130/11</f>
        <v>36.363636363636367</v>
      </c>
    </row>
    <row r="131" spans="1:9" ht="15.75" customHeight="1" x14ac:dyDescent="0.2">
      <c r="A131" s="9"/>
      <c r="B131" s="12">
        <v>44907</v>
      </c>
      <c r="C131" s="9" t="s">
        <v>202</v>
      </c>
      <c r="D131" s="8">
        <v>1000</v>
      </c>
      <c r="E131" s="8">
        <f t="shared" si="38"/>
        <v>90.909090909090907</v>
      </c>
    </row>
    <row r="132" spans="1:9" ht="15.75" customHeight="1" x14ac:dyDescent="0.2">
      <c r="A132" s="9"/>
      <c r="B132" s="12">
        <v>44914</v>
      </c>
      <c r="C132" s="9" t="s">
        <v>202</v>
      </c>
      <c r="D132" s="8">
        <v>750</v>
      </c>
      <c r="E132" s="8">
        <f t="shared" si="38"/>
        <v>68.181818181818187</v>
      </c>
    </row>
    <row r="133" spans="1:9" ht="15.75" customHeight="1" x14ac:dyDescent="0.2">
      <c r="A133" s="9"/>
      <c r="B133" s="12">
        <v>44926</v>
      </c>
      <c r="C133" s="9" t="s">
        <v>476</v>
      </c>
      <c r="D133" s="8">
        <v>43450</v>
      </c>
      <c r="E133" s="8">
        <f t="shared" si="38"/>
        <v>3950</v>
      </c>
      <c r="I133" s="14"/>
    </row>
    <row r="134" spans="1:9" ht="15.75" customHeight="1" x14ac:dyDescent="0.2">
      <c r="A134" s="9"/>
      <c r="B134" s="12">
        <v>44926</v>
      </c>
      <c r="C134" s="9" t="s">
        <v>381</v>
      </c>
      <c r="D134" s="8">
        <v>1100</v>
      </c>
      <c r="E134" s="8">
        <f t="shared" si="38"/>
        <v>100</v>
      </c>
    </row>
    <row r="135" spans="1:9" ht="15.75" customHeight="1" x14ac:dyDescent="0.2">
      <c r="A135" s="9"/>
      <c r="B135" s="9"/>
      <c r="C135" s="9"/>
      <c r="D135" s="20">
        <f t="shared" ref="D135" si="39">SUM(D130:D134)</f>
        <v>46700</v>
      </c>
      <c r="E135" s="20">
        <f>SUM(E130:E134)</f>
        <v>4245.454545454545</v>
      </c>
    </row>
    <row r="136" spans="1:9" ht="15.75" customHeight="1" x14ac:dyDescent="0.2">
      <c r="A136" s="9"/>
      <c r="B136" s="9"/>
      <c r="C136" s="9"/>
      <c r="D136" s="8"/>
      <c r="E136" s="8"/>
    </row>
    <row r="137" spans="1:9" ht="15.75" customHeight="1" x14ac:dyDescent="0.2">
      <c r="A137" s="186">
        <v>44949</v>
      </c>
      <c r="B137" s="31">
        <v>45200</v>
      </c>
      <c r="C137" s="9" t="s">
        <v>412</v>
      </c>
      <c r="D137" s="8">
        <v>860</v>
      </c>
      <c r="E137" s="8">
        <f t="shared" ref="E137:E138" si="40">D137/11</f>
        <v>78.181818181818187</v>
      </c>
    </row>
    <row r="138" spans="1:9" ht="15.75" customHeight="1" x14ac:dyDescent="0.2">
      <c r="A138" s="9"/>
      <c r="B138" s="11" t="s">
        <v>478</v>
      </c>
      <c r="C138" s="9" t="s">
        <v>412</v>
      </c>
      <c r="D138" s="8">
        <v>1000</v>
      </c>
      <c r="E138" s="8">
        <f t="shared" si="40"/>
        <v>90.909090909090907</v>
      </c>
    </row>
    <row r="139" spans="1:9" ht="15.75" customHeight="1" x14ac:dyDescent="0.2">
      <c r="A139" s="9"/>
      <c r="B139" s="9"/>
      <c r="C139" s="9"/>
      <c r="D139" s="20">
        <f t="shared" ref="D139" si="41">SUM(D137:D138)</f>
        <v>1860</v>
      </c>
      <c r="E139" s="20">
        <f>SUM(E137:E138)</f>
        <v>169.09090909090909</v>
      </c>
    </row>
    <row r="140" spans="1:9" ht="15.75" customHeight="1" x14ac:dyDescent="0.2">
      <c r="A140" s="9"/>
      <c r="B140" s="9"/>
      <c r="C140" s="9"/>
      <c r="D140" s="8"/>
      <c r="E140" s="8"/>
    </row>
    <row r="141" spans="1:9" ht="15.75" customHeight="1" x14ac:dyDescent="0.2">
      <c r="A141" s="9" t="s">
        <v>479</v>
      </c>
      <c r="B141" s="11" t="s">
        <v>480</v>
      </c>
      <c r="C141" s="9" t="s">
        <v>481</v>
      </c>
      <c r="D141" s="8">
        <v>710</v>
      </c>
      <c r="E141" s="8">
        <f t="shared" ref="E141:E142" si="42">D141/11</f>
        <v>64.545454545454547</v>
      </c>
    </row>
    <row r="142" spans="1:9" ht="15.75" customHeight="1" x14ac:dyDescent="0.2">
      <c r="A142" s="9"/>
      <c r="B142" s="11" t="s">
        <v>480</v>
      </c>
      <c r="C142" s="9" t="s">
        <v>412</v>
      </c>
      <c r="D142" s="8">
        <v>1500</v>
      </c>
      <c r="E142" s="8">
        <f t="shared" si="42"/>
        <v>136.36363636363637</v>
      </c>
    </row>
    <row r="143" spans="1:9" ht="15.75" customHeight="1" x14ac:dyDescent="0.2">
      <c r="A143" s="9"/>
      <c r="B143" s="11"/>
      <c r="C143" s="9"/>
      <c r="D143" s="20">
        <f t="shared" ref="D143" si="43">SUM(D141:D142)</f>
        <v>2210</v>
      </c>
      <c r="E143" s="20">
        <f>SUM(E141:E142)</f>
        <v>200.90909090909093</v>
      </c>
    </row>
    <row r="144" spans="1:9" ht="15.75" customHeight="1" x14ac:dyDescent="0.2">
      <c r="A144" s="9"/>
      <c r="B144" s="11"/>
      <c r="C144" s="9"/>
      <c r="D144" s="8"/>
      <c r="E144" s="8"/>
    </row>
    <row r="145" spans="1:9" ht="15.75" customHeight="1" x14ac:dyDescent="0.2">
      <c r="A145" s="10" t="s">
        <v>482</v>
      </c>
      <c r="B145" s="32">
        <v>44960</v>
      </c>
      <c r="C145" s="9" t="s">
        <v>412</v>
      </c>
      <c r="D145" s="8">
        <v>1000</v>
      </c>
      <c r="E145" s="8">
        <f t="shared" ref="E145:E153" si="44">D145/11</f>
        <v>90.909090909090907</v>
      </c>
    </row>
    <row r="146" spans="1:9" ht="15.75" customHeight="1" x14ac:dyDescent="0.2">
      <c r="A146" s="9"/>
      <c r="B146" s="32">
        <v>45110</v>
      </c>
      <c r="C146" s="9" t="s">
        <v>476</v>
      </c>
      <c r="D146" s="8">
        <v>63601.59</v>
      </c>
      <c r="E146" s="8">
        <f t="shared" si="44"/>
        <v>5781.9627272727266</v>
      </c>
      <c r="I146" s="14"/>
    </row>
    <row r="147" spans="1:9" ht="15.75" customHeight="1" x14ac:dyDescent="0.2">
      <c r="A147" s="9"/>
      <c r="B147" s="11" t="s">
        <v>483</v>
      </c>
      <c r="C147" s="9" t="s">
        <v>481</v>
      </c>
      <c r="D147" s="8">
        <v>525</v>
      </c>
      <c r="E147" s="8">
        <f t="shared" si="44"/>
        <v>47.727272727272727</v>
      </c>
    </row>
    <row r="148" spans="1:9" ht="15.75" customHeight="1" x14ac:dyDescent="0.2">
      <c r="A148" s="9"/>
      <c r="B148" s="11" t="s">
        <v>483</v>
      </c>
      <c r="C148" s="9" t="s">
        <v>464</v>
      </c>
      <c r="D148" s="8">
        <v>1100</v>
      </c>
      <c r="E148" s="8">
        <f t="shared" si="44"/>
        <v>100</v>
      </c>
    </row>
    <row r="149" spans="1:9" ht="15.75" customHeight="1" x14ac:dyDescent="0.2">
      <c r="A149" s="9"/>
      <c r="B149" s="11" t="s">
        <v>483</v>
      </c>
      <c r="C149" s="9" t="s">
        <v>464</v>
      </c>
      <c r="D149" s="8">
        <v>1100</v>
      </c>
      <c r="E149" s="8">
        <f t="shared" si="44"/>
        <v>100</v>
      </c>
    </row>
    <row r="150" spans="1:9" ht="15.75" customHeight="1" x14ac:dyDescent="0.2">
      <c r="A150" s="9"/>
      <c r="B150" s="11" t="s">
        <v>484</v>
      </c>
      <c r="C150" s="9" t="s">
        <v>481</v>
      </c>
      <c r="D150" s="8">
        <v>575</v>
      </c>
      <c r="E150" s="8">
        <f t="shared" si="44"/>
        <v>52.272727272727273</v>
      </c>
    </row>
    <row r="151" spans="1:9" ht="15.75" customHeight="1" x14ac:dyDescent="0.2">
      <c r="A151" s="9"/>
      <c r="B151" s="11" t="s">
        <v>484</v>
      </c>
      <c r="C151" s="9" t="s">
        <v>485</v>
      </c>
      <c r="D151" s="8">
        <v>2000</v>
      </c>
      <c r="E151" s="8">
        <f t="shared" si="44"/>
        <v>181.81818181818181</v>
      </c>
    </row>
    <row r="152" spans="1:9" ht="15.75" customHeight="1" x14ac:dyDescent="0.2">
      <c r="A152" s="9"/>
      <c r="B152" s="11" t="s">
        <v>486</v>
      </c>
      <c r="C152" s="9" t="s">
        <v>487</v>
      </c>
      <c r="D152" s="8">
        <v>1600</v>
      </c>
      <c r="E152" s="8">
        <f t="shared" si="44"/>
        <v>145.45454545454547</v>
      </c>
    </row>
    <row r="153" spans="1:9" ht="15.75" customHeight="1" x14ac:dyDescent="0.2">
      <c r="A153" s="9"/>
      <c r="B153" s="11" t="s">
        <v>486</v>
      </c>
      <c r="C153" s="9" t="s">
        <v>476</v>
      </c>
      <c r="D153" s="8">
        <v>63030</v>
      </c>
      <c r="E153" s="8">
        <f t="shared" si="44"/>
        <v>5730</v>
      </c>
      <c r="I153" s="14"/>
    </row>
    <row r="154" spans="1:9" ht="15.75" customHeight="1" x14ac:dyDescent="0.2">
      <c r="A154" s="9"/>
      <c r="B154" s="9"/>
      <c r="C154" s="9"/>
      <c r="D154" s="20">
        <f t="shared" ref="D154" si="45">SUM(D145:D153)</f>
        <v>134531.59</v>
      </c>
      <c r="E154" s="20">
        <f>SUM(E145:E153)</f>
        <v>12230.144545454545</v>
      </c>
    </row>
    <row r="155" spans="1:9" ht="15.75" customHeight="1" x14ac:dyDescent="0.2">
      <c r="A155" s="9"/>
      <c r="B155" s="9"/>
      <c r="C155" s="9"/>
      <c r="D155" s="20"/>
      <c r="E155" s="20"/>
    </row>
    <row r="156" spans="1:9" ht="15.75" customHeight="1" x14ac:dyDescent="0.2">
      <c r="A156" s="9" t="s">
        <v>488</v>
      </c>
      <c r="B156" s="33">
        <v>45264</v>
      </c>
      <c r="C156" s="9" t="s">
        <v>412</v>
      </c>
      <c r="D156" s="8">
        <v>3000</v>
      </c>
      <c r="E156" s="8">
        <f t="shared" ref="E156:E158" si="46">D156/11</f>
        <v>272.72727272727275</v>
      </c>
    </row>
    <row r="157" spans="1:9" ht="15.75" customHeight="1" x14ac:dyDescent="0.2">
      <c r="A157" s="9"/>
      <c r="B157" s="33">
        <v>45234</v>
      </c>
      <c r="C157" s="9" t="s">
        <v>412</v>
      </c>
      <c r="D157" s="8">
        <v>2000</v>
      </c>
      <c r="E157" s="8">
        <f t="shared" si="46"/>
        <v>181.81818181818181</v>
      </c>
    </row>
    <row r="158" spans="1:9" ht="15.75" customHeight="1" x14ac:dyDescent="0.2">
      <c r="A158" s="9"/>
      <c r="B158" s="11" t="s">
        <v>489</v>
      </c>
      <c r="C158" s="9" t="s">
        <v>476</v>
      </c>
      <c r="D158" s="8">
        <v>108347.92</v>
      </c>
      <c r="E158" s="8">
        <f t="shared" si="46"/>
        <v>9849.8109090909093</v>
      </c>
      <c r="G158" s="14"/>
    </row>
    <row r="159" spans="1:9" ht="15.75" customHeight="1" x14ac:dyDescent="0.2">
      <c r="A159" s="9"/>
      <c r="B159" s="11" t="s">
        <v>489</v>
      </c>
      <c r="C159" s="9" t="s">
        <v>490</v>
      </c>
      <c r="D159" s="8">
        <v>1100</v>
      </c>
      <c r="E159" s="8">
        <f>D159/11</f>
        <v>100</v>
      </c>
    </row>
    <row r="160" spans="1:9" ht="15.75" customHeight="1" x14ac:dyDescent="0.2">
      <c r="A160" s="9"/>
      <c r="B160" s="11"/>
      <c r="C160" s="9"/>
      <c r="D160" s="20">
        <f>SUM(D156:D159)</f>
        <v>114447.92</v>
      </c>
      <c r="E160" s="20">
        <f>SUM(E156:E159)</f>
        <v>10404.356363636363</v>
      </c>
    </row>
    <row r="161" spans="1:9" ht="15.75" customHeight="1" x14ac:dyDescent="0.2">
      <c r="A161" s="9"/>
      <c r="B161" s="11"/>
      <c r="C161" s="9"/>
      <c r="D161" s="20"/>
      <c r="E161" s="20"/>
    </row>
    <row r="162" spans="1:9" ht="15.75" customHeight="1" x14ac:dyDescent="0.2">
      <c r="A162" s="9" t="s">
        <v>491</v>
      </c>
      <c r="B162" s="12">
        <v>45048</v>
      </c>
      <c r="C162" s="9" t="s">
        <v>487</v>
      </c>
      <c r="D162" s="8">
        <v>1788.31</v>
      </c>
      <c r="E162" s="8">
        <f t="shared" ref="E162:E170" si="47">D162/11</f>
        <v>162.57363636363635</v>
      </c>
    </row>
    <row r="163" spans="1:9" ht="15.75" customHeight="1" x14ac:dyDescent="0.2">
      <c r="A163" s="9"/>
      <c r="B163" s="9"/>
      <c r="C163" s="9" t="s">
        <v>412</v>
      </c>
      <c r="D163" s="8">
        <v>2000</v>
      </c>
      <c r="E163" s="8">
        <f t="shared" si="47"/>
        <v>181.81818181818181</v>
      </c>
    </row>
    <row r="164" spans="1:9" ht="15.75" customHeight="1" x14ac:dyDescent="0.2">
      <c r="A164" s="9"/>
      <c r="B164" s="12">
        <v>45068</v>
      </c>
      <c r="C164" s="9" t="s">
        <v>394</v>
      </c>
      <c r="D164" s="8">
        <v>885</v>
      </c>
      <c r="E164" s="8">
        <f t="shared" si="47"/>
        <v>80.454545454545453</v>
      </c>
    </row>
    <row r="165" spans="1:9" ht="15.75" customHeight="1" x14ac:dyDescent="0.2">
      <c r="A165" s="9"/>
      <c r="B165" s="12">
        <v>45068</v>
      </c>
      <c r="C165" s="9" t="s">
        <v>394</v>
      </c>
      <c r="D165" s="8">
        <v>410</v>
      </c>
      <c r="E165" s="8">
        <f t="shared" si="47"/>
        <v>37.272727272727273</v>
      </c>
    </row>
    <row r="166" spans="1:9" ht="15.75" customHeight="1" x14ac:dyDescent="0.2">
      <c r="A166" s="9"/>
      <c r="B166" s="12">
        <v>45068</v>
      </c>
      <c r="C166" s="9" t="s">
        <v>412</v>
      </c>
      <c r="D166" s="8">
        <v>2029</v>
      </c>
      <c r="E166" s="8">
        <f t="shared" si="47"/>
        <v>184.45454545454547</v>
      </c>
    </row>
    <row r="167" spans="1:9" ht="15.75" customHeight="1" x14ac:dyDescent="0.2">
      <c r="A167" s="9"/>
      <c r="B167" s="12">
        <v>45057</v>
      </c>
      <c r="C167" s="9" t="s">
        <v>795</v>
      </c>
      <c r="D167" s="8">
        <v>218.64</v>
      </c>
      <c r="E167" s="8">
        <v>0</v>
      </c>
    </row>
    <row r="168" spans="1:9" ht="15.75" customHeight="1" x14ac:dyDescent="0.2">
      <c r="A168" s="9"/>
      <c r="B168" s="12">
        <v>45057</v>
      </c>
      <c r="C168" s="9" t="s">
        <v>456</v>
      </c>
      <c r="D168" s="8">
        <v>111.25</v>
      </c>
      <c r="E168" s="8">
        <v>0</v>
      </c>
    </row>
    <row r="169" spans="1:9" ht="15.75" customHeight="1" x14ac:dyDescent="0.2">
      <c r="A169" s="9"/>
      <c r="B169" s="12">
        <v>45057</v>
      </c>
      <c r="C169" s="9" t="s">
        <v>456</v>
      </c>
      <c r="D169" s="8">
        <v>111.25</v>
      </c>
      <c r="E169" s="8">
        <v>0</v>
      </c>
    </row>
    <row r="170" spans="1:9" ht="15.75" customHeight="1" x14ac:dyDescent="0.2">
      <c r="A170" s="9"/>
      <c r="B170" s="9"/>
      <c r="C170" s="9" t="s">
        <v>476</v>
      </c>
      <c r="D170" s="8">
        <v>68817.58</v>
      </c>
      <c r="E170" s="8">
        <f t="shared" si="47"/>
        <v>6256.1436363636367</v>
      </c>
      <c r="I170" s="14"/>
    </row>
    <row r="171" spans="1:9" ht="15.75" customHeight="1" x14ac:dyDescent="0.2">
      <c r="A171" s="9"/>
      <c r="B171" s="9"/>
      <c r="C171" s="9"/>
      <c r="D171" s="20">
        <f t="shared" ref="D171" si="48">SUM(D162:D170)</f>
        <v>76371.03</v>
      </c>
      <c r="E171" s="20">
        <f>SUM(E162:E170)</f>
        <v>6902.7172727272728</v>
      </c>
      <c r="I171" s="14"/>
    </row>
    <row r="172" spans="1:9" ht="15.75" customHeight="1" x14ac:dyDescent="0.2">
      <c r="A172" s="193"/>
      <c r="B172" s="193"/>
      <c r="C172" s="193"/>
      <c r="D172" s="194"/>
      <c r="E172" s="194"/>
      <c r="I172" s="14"/>
    </row>
    <row r="173" spans="1:9" ht="15.75" customHeight="1" x14ac:dyDescent="0.2">
      <c r="A173" s="146" t="s">
        <v>469</v>
      </c>
      <c r="B173" s="154">
        <v>45098</v>
      </c>
      <c r="C173" s="146" t="s">
        <v>412</v>
      </c>
      <c r="D173" s="151">
        <v>4027.96</v>
      </c>
      <c r="E173" s="151">
        <f>D173/11</f>
        <v>366.17818181818183</v>
      </c>
    </row>
    <row r="174" spans="1:9" ht="15.75" customHeight="1" x14ac:dyDescent="0.2">
      <c r="A174" s="146"/>
      <c r="B174" s="154">
        <v>45083</v>
      </c>
      <c r="C174" s="146" t="s">
        <v>794</v>
      </c>
      <c r="D174" s="151">
        <v>111.25</v>
      </c>
      <c r="E174" s="151">
        <v>0</v>
      </c>
    </row>
    <row r="175" spans="1:9" ht="15.75" customHeight="1" x14ac:dyDescent="0.2">
      <c r="A175" s="193"/>
      <c r="B175" s="195"/>
      <c r="C175" s="193"/>
      <c r="D175" s="194">
        <f>SUM(D173:D174)</f>
        <v>4139.21</v>
      </c>
      <c r="E175" s="194">
        <f>SUM(E173:E174)</f>
        <v>366.17818181818183</v>
      </c>
    </row>
    <row r="176" spans="1:9" ht="15.75" customHeight="1" x14ac:dyDescent="0.2">
      <c r="A176" s="193"/>
      <c r="B176" s="195"/>
      <c r="C176" s="193"/>
      <c r="D176" s="194"/>
      <c r="E176" s="194"/>
    </row>
    <row r="177" spans="1:5" ht="15.75" customHeight="1" x14ac:dyDescent="0.2">
      <c r="D177" s="14"/>
      <c r="E177" s="14"/>
    </row>
    <row r="178" spans="1:5" ht="15.75" customHeight="1" x14ac:dyDescent="0.2">
      <c r="A178" s="119" t="s">
        <v>0</v>
      </c>
      <c r="B178" s="119"/>
      <c r="C178" s="119"/>
      <c r="D178" s="30"/>
      <c r="E178" s="30">
        <f>E8+E12+E16+E20+E26+E28+E34+E36+E41+E43+E48+E63+E67+E72+E80+E87+E97+E104+E110+E114+E122+E128+E135+E139+E143+E154+E159+E171+E175</f>
        <v>101495.52636363635</v>
      </c>
    </row>
    <row r="179" spans="1:5" ht="15.75" customHeight="1" x14ac:dyDescent="0.2">
      <c r="A179" s="119" t="s">
        <v>790</v>
      </c>
      <c r="B179" s="119"/>
      <c r="C179" s="119"/>
      <c r="D179" s="30"/>
      <c r="E179" s="30">
        <f>E104+E110+E114+E122+E128+E135+E139+E143+E154+E160+E171+E175</f>
        <v>51411.686363636363</v>
      </c>
    </row>
    <row r="180" spans="1:5" ht="15.75" customHeight="1" x14ac:dyDescent="0.2">
      <c r="D180" s="14"/>
      <c r="E180" s="14"/>
    </row>
    <row r="181" spans="1:5" ht="15.75" customHeight="1" x14ac:dyDescent="0.2">
      <c r="D181" s="14"/>
      <c r="E181" s="14"/>
    </row>
    <row r="182" spans="1:5" ht="15.75" customHeight="1" x14ac:dyDescent="0.2">
      <c r="D182" s="14"/>
      <c r="E182" s="14"/>
    </row>
    <row r="183" spans="1:5" ht="15.75" customHeight="1" x14ac:dyDescent="0.2">
      <c r="D183" s="14"/>
      <c r="E183" s="14"/>
    </row>
    <row r="184" spans="1:5" ht="15.75" customHeight="1" x14ac:dyDescent="0.2">
      <c r="D184" s="14"/>
      <c r="E184" s="14"/>
    </row>
    <row r="185" spans="1:5" ht="15.75" customHeight="1" x14ac:dyDescent="0.2">
      <c r="D185" s="14"/>
      <c r="E185" s="14"/>
    </row>
    <row r="186" spans="1:5" ht="15.75" customHeight="1" x14ac:dyDescent="0.2">
      <c r="D186" s="14"/>
      <c r="E186" s="14"/>
    </row>
    <row r="187" spans="1:5" ht="15.75" customHeight="1" x14ac:dyDescent="0.2">
      <c r="D187" s="14"/>
      <c r="E187" s="14"/>
    </row>
    <row r="188" spans="1:5" ht="15.75" customHeight="1" x14ac:dyDescent="0.2">
      <c r="D188" s="14"/>
      <c r="E188" s="14"/>
    </row>
    <row r="189" spans="1:5" ht="15.75" customHeight="1" x14ac:dyDescent="0.2">
      <c r="D189" s="14"/>
      <c r="E189" s="14"/>
    </row>
    <row r="190" spans="1:5" ht="15.75" customHeight="1" x14ac:dyDescent="0.2">
      <c r="D190" s="14"/>
      <c r="E190" s="14"/>
    </row>
    <row r="191" spans="1:5" ht="15.75" customHeight="1" x14ac:dyDescent="0.2">
      <c r="D191" s="14"/>
      <c r="E191" s="14"/>
    </row>
    <row r="192" spans="1:5" ht="15.75" customHeight="1" x14ac:dyDescent="0.2">
      <c r="D192" s="14"/>
      <c r="E192" s="14"/>
    </row>
    <row r="193" spans="4:5" ht="15.75" customHeight="1" x14ac:dyDescent="0.2">
      <c r="D193" s="14"/>
      <c r="E193" s="14"/>
    </row>
    <row r="194" spans="4:5" ht="15.75" customHeight="1" x14ac:dyDescent="0.2">
      <c r="D194" s="14"/>
      <c r="E194" s="14"/>
    </row>
    <row r="195" spans="4:5" ht="15.75" customHeight="1" x14ac:dyDescent="0.2">
      <c r="D195" s="14"/>
      <c r="E195" s="14"/>
    </row>
    <row r="196" spans="4:5" ht="15.75" customHeight="1" x14ac:dyDescent="0.2">
      <c r="D196" s="14"/>
      <c r="E196" s="14"/>
    </row>
    <row r="197" spans="4:5" ht="15.75" customHeight="1" x14ac:dyDescent="0.2">
      <c r="D197" s="14"/>
      <c r="E197" s="14"/>
    </row>
    <row r="198" spans="4:5" ht="15.75" customHeight="1" x14ac:dyDescent="0.2">
      <c r="D198" s="14"/>
      <c r="E198" s="14"/>
    </row>
    <row r="199" spans="4:5" ht="15.75" customHeight="1" x14ac:dyDescent="0.2">
      <c r="D199" s="14"/>
      <c r="E199" s="14"/>
    </row>
    <row r="200" spans="4:5" ht="15.75" customHeight="1" x14ac:dyDescent="0.2">
      <c r="D200" s="14"/>
      <c r="E200" s="14"/>
    </row>
    <row r="201" spans="4:5" ht="15.75" customHeight="1" x14ac:dyDescent="0.2">
      <c r="D201" s="14"/>
      <c r="E201" s="14"/>
    </row>
    <row r="202" spans="4:5" ht="15.75" customHeight="1" x14ac:dyDescent="0.2">
      <c r="D202" s="14"/>
      <c r="E202" s="14"/>
    </row>
    <row r="203" spans="4:5" ht="15.75" customHeight="1" x14ac:dyDescent="0.2">
      <c r="D203" s="14"/>
      <c r="E203" s="14"/>
    </row>
    <row r="204" spans="4:5" ht="15.75" customHeight="1" x14ac:dyDescent="0.2">
      <c r="D204" s="14"/>
      <c r="E204" s="14"/>
    </row>
    <row r="205" spans="4:5" ht="15.75" customHeight="1" x14ac:dyDescent="0.2">
      <c r="D205" s="14"/>
      <c r="E205" s="14"/>
    </row>
    <row r="206" spans="4:5" ht="15.75" customHeight="1" x14ac:dyDescent="0.2">
      <c r="D206" s="14"/>
      <c r="E206" s="14"/>
    </row>
    <row r="207" spans="4:5" ht="15.75" customHeight="1" x14ac:dyDescent="0.2">
      <c r="D207" s="14"/>
      <c r="E207" s="14"/>
    </row>
    <row r="208" spans="4:5" ht="15.75" customHeight="1" x14ac:dyDescent="0.2">
      <c r="D208" s="14"/>
      <c r="E208" s="14"/>
    </row>
    <row r="209" spans="4:5" ht="15.75" customHeight="1" x14ac:dyDescent="0.2">
      <c r="D209" s="14"/>
      <c r="E209" s="14"/>
    </row>
    <row r="210" spans="4:5" ht="15.75" customHeight="1" x14ac:dyDescent="0.2">
      <c r="D210" s="14"/>
      <c r="E210" s="14"/>
    </row>
    <row r="211" spans="4:5" ht="15.75" customHeight="1" x14ac:dyDescent="0.2">
      <c r="D211" s="14"/>
      <c r="E211" s="14"/>
    </row>
    <row r="212" spans="4:5" ht="15.75" customHeight="1" x14ac:dyDescent="0.2">
      <c r="D212" s="14"/>
      <c r="E212" s="14"/>
    </row>
    <row r="213" spans="4:5" ht="15.75" customHeight="1" x14ac:dyDescent="0.2">
      <c r="D213" s="14"/>
      <c r="E213" s="14"/>
    </row>
    <row r="214" spans="4:5" ht="15.75" customHeight="1" x14ac:dyDescent="0.2">
      <c r="D214" s="14"/>
      <c r="E214" s="14"/>
    </row>
    <row r="215" spans="4:5" ht="15.75" customHeight="1" x14ac:dyDescent="0.2">
      <c r="D215" s="14"/>
      <c r="E215" s="14"/>
    </row>
    <row r="216" spans="4:5" ht="15.75" customHeight="1" x14ac:dyDescent="0.2">
      <c r="D216" s="14"/>
      <c r="E216" s="14"/>
    </row>
    <row r="217" spans="4:5" ht="15.75" customHeight="1" x14ac:dyDescent="0.2">
      <c r="D217" s="14"/>
      <c r="E217" s="14"/>
    </row>
    <row r="218" spans="4:5" ht="15.75" customHeight="1" x14ac:dyDescent="0.2">
      <c r="D218" s="14"/>
      <c r="E218" s="14"/>
    </row>
    <row r="219" spans="4:5" ht="15.75" customHeight="1" x14ac:dyDescent="0.2">
      <c r="D219" s="14"/>
      <c r="E219" s="14"/>
    </row>
    <row r="220" spans="4:5" ht="15.75" customHeight="1" x14ac:dyDescent="0.2">
      <c r="D220" s="14"/>
      <c r="E220" s="14"/>
    </row>
    <row r="221" spans="4:5" ht="15.75" customHeight="1" x14ac:dyDescent="0.2">
      <c r="D221" s="14"/>
      <c r="E221" s="14"/>
    </row>
    <row r="222" spans="4:5" ht="15.75" customHeight="1" x14ac:dyDescent="0.2">
      <c r="D222" s="14"/>
      <c r="E222" s="14"/>
    </row>
    <row r="223" spans="4:5" ht="15.75" customHeight="1" x14ac:dyDescent="0.2">
      <c r="D223" s="14"/>
      <c r="E223" s="14"/>
    </row>
    <row r="224" spans="4:5" ht="15.75" customHeight="1" x14ac:dyDescent="0.2">
      <c r="D224" s="14"/>
      <c r="E224" s="14"/>
    </row>
    <row r="225" spans="4:5" ht="15.75" customHeight="1" x14ac:dyDescent="0.2">
      <c r="D225" s="14"/>
      <c r="E225" s="14"/>
    </row>
    <row r="226" spans="4:5" ht="15.75" customHeight="1" x14ac:dyDescent="0.2">
      <c r="D226" s="14"/>
      <c r="E226" s="14"/>
    </row>
    <row r="227" spans="4:5" ht="15.75" customHeight="1" x14ac:dyDescent="0.2">
      <c r="D227" s="14"/>
      <c r="E227" s="14"/>
    </row>
    <row r="228" spans="4:5" ht="15.75" customHeight="1" x14ac:dyDescent="0.2">
      <c r="D228" s="14"/>
      <c r="E228" s="14"/>
    </row>
    <row r="229" spans="4:5" ht="15.75" customHeight="1" x14ac:dyDescent="0.2">
      <c r="D229" s="14"/>
      <c r="E229" s="14"/>
    </row>
    <row r="230" spans="4:5" ht="15.75" customHeight="1" x14ac:dyDescent="0.2">
      <c r="D230" s="14"/>
      <c r="E230" s="14"/>
    </row>
    <row r="231" spans="4:5" ht="15.75" customHeight="1" x14ac:dyDescent="0.2">
      <c r="D231" s="14"/>
      <c r="E231" s="14"/>
    </row>
    <row r="232" spans="4:5" ht="15.75" customHeight="1" x14ac:dyDescent="0.2">
      <c r="D232" s="14"/>
      <c r="E232" s="14"/>
    </row>
    <row r="233" spans="4:5" ht="15.75" customHeight="1" x14ac:dyDescent="0.2">
      <c r="D233" s="14"/>
      <c r="E233" s="14"/>
    </row>
    <row r="234" spans="4:5" ht="15.75" customHeight="1" x14ac:dyDescent="0.2">
      <c r="D234" s="14"/>
      <c r="E234" s="14"/>
    </row>
    <row r="235" spans="4:5" ht="15.75" customHeight="1" x14ac:dyDescent="0.2">
      <c r="D235" s="14"/>
      <c r="E235" s="14"/>
    </row>
    <row r="236" spans="4:5" ht="15.75" customHeight="1" x14ac:dyDescent="0.2">
      <c r="D236" s="14"/>
      <c r="E236" s="14"/>
    </row>
    <row r="237" spans="4:5" ht="15.75" customHeight="1" x14ac:dyDescent="0.2">
      <c r="D237" s="14"/>
      <c r="E237" s="14"/>
    </row>
    <row r="238" spans="4:5" ht="15.75" customHeight="1" x14ac:dyDescent="0.2">
      <c r="D238" s="14"/>
      <c r="E238" s="14"/>
    </row>
    <row r="239" spans="4:5" ht="15.75" customHeight="1" x14ac:dyDescent="0.2">
      <c r="D239" s="14"/>
      <c r="E239" s="14"/>
    </row>
    <row r="240" spans="4:5" ht="15.75" customHeight="1" x14ac:dyDescent="0.2">
      <c r="D240" s="14"/>
      <c r="E240" s="14"/>
    </row>
    <row r="241" spans="4:5" ht="15.75" customHeight="1" x14ac:dyDescent="0.2">
      <c r="D241" s="14"/>
      <c r="E241" s="14"/>
    </row>
    <row r="242" spans="4:5" ht="15.75" customHeight="1" x14ac:dyDescent="0.2">
      <c r="D242" s="14"/>
      <c r="E242" s="14"/>
    </row>
    <row r="243" spans="4:5" ht="15.75" customHeight="1" x14ac:dyDescent="0.2">
      <c r="D243" s="14"/>
      <c r="E243" s="14"/>
    </row>
    <row r="244" spans="4:5" ht="15.75" customHeight="1" x14ac:dyDescent="0.2">
      <c r="D244" s="14"/>
      <c r="E244" s="14"/>
    </row>
    <row r="245" spans="4:5" ht="15.75" customHeight="1" x14ac:dyDescent="0.2">
      <c r="D245" s="14"/>
      <c r="E245" s="14"/>
    </row>
    <row r="246" spans="4:5" ht="15.75" customHeight="1" x14ac:dyDescent="0.2">
      <c r="D246" s="14"/>
      <c r="E246" s="14"/>
    </row>
    <row r="247" spans="4:5" ht="15.75" customHeight="1" x14ac:dyDescent="0.2">
      <c r="D247" s="14"/>
      <c r="E247" s="14"/>
    </row>
    <row r="248" spans="4:5" ht="15.75" customHeight="1" x14ac:dyDescent="0.2">
      <c r="D248" s="14"/>
      <c r="E248" s="14"/>
    </row>
    <row r="249" spans="4:5" ht="15.75" customHeight="1" x14ac:dyDescent="0.2">
      <c r="D249" s="14"/>
      <c r="E249" s="14"/>
    </row>
    <row r="250" spans="4:5" ht="15.75" customHeight="1" x14ac:dyDescent="0.2">
      <c r="D250" s="14"/>
      <c r="E250" s="14"/>
    </row>
    <row r="251" spans="4:5" ht="15.75" customHeight="1" x14ac:dyDescent="0.2">
      <c r="D251" s="14"/>
      <c r="E251" s="14"/>
    </row>
    <row r="252" spans="4:5" ht="15.75" customHeight="1" x14ac:dyDescent="0.2">
      <c r="D252" s="14"/>
      <c r="E252" s="14"/>
    </row>
    <row r="253" spans="4:5" ht="15.75" customHeight="1" x14ac:dyDescent="0.2">
      <c r="D253" s="14"/>
      <c r="E253" s="14"/>
    </row>
    <row r="254" spans="4:5" ht="15.75" customHeight="1" x14ac:dyDescent="0.2">
      <c r="D254" s="14"/>
      <c r="E254" s="14"/>
    </row>
    <row r="255" spans="4:5" ht="15.75" customHeight="1" x14ac:dyDescent="0.2">
      <c r="D255" s="14"/>
      <c r="E255" s="14"/>
    </row>
    <row r="256" spans="4:5" ht="15.75" customHeight="1" x14ac:dyDescent="0.2">
      <c r="D256" s="14"/>
      <c r="E256" s="14"/>
    </row>
    <row r="257" spans="4:5" ht="15.75" customHeight="1" x14ac:dyDescent="0.2">
      <c r="D257" s="14"/>
      <c r="E257" s="14"/>
    </row>
    <row r="258" spans="4:5" ht="15.75" customHeight="1" x14ac:dyDescent="0.2">
      <c r="D258" s="14"/>
      <c r="E258" s="14"/>
    </row>
    <row r="259" spans="4:5" ht="15.75" customHeight="1" x14ac:dyDescent="0.2">
      <c r="D259" s="14"/>
      <c r="E259" s="14"/>
    </row>
    <row r="260" spans="4:5" ht="15.75" customHeight="1" x14ac:dyDescent="0.2">
      <c r="D260" s="14"/>
      <c r="E260" s="14"/>
    </row>
    <row r="261" spans="4:5" ht="15.75" customHeight="1" x14ac:dyDescent="0.2">
      <c r="D261" s="14"/>
      <c r="E261" s="14"/>
    </row>
    <row r="262" spans="4:5" ht="15.75" customHeight="1" x14ac:dyDescent="0.2">
      <c r="D262" s="14"/>
      <c r="E262" s="14"/>
    </row>
    <row r="263" spans="4:5" ht="15.75" customHeight="1" x14ac:dyDescent="0.2">
      <c r="D263" s="14"/>
      <c r="E263" s="14"/>
    </row>
    <row r="264" spans="4:5" ht="15.75" customHeight="1" x14ac:dyDescent="0.2">
      <c r="D264" s="14"/>
      <c r="E264" s="14"/>
    </row>
    <row r="265" spans="4:5" ht="15.75" customHeight="1" x14ac:dyDescent="0.2">
      <c r="D265" s="14"/>
      <c r="E265" s="14"/>
    </row>
    <row r="266" spans="4:5" ht="15.75" customHeight="1" x14ac:dyDescent="0.2">
      <c r="D266" s="14"/>
      <c r="E266" s="14"/>
    </row>
    <row r="267" spans="4:5" ht="15.75" customHeight="1" x14ac:dyDescent="0.2">
      <c r="D267" s="14"/>
      <c r="E267" s="14"/>
    </row>
    <row r="268" spans="4:5" ht="15.75" customHeight="1" x14ac:dyDescent="0.2">
      <c r="D268" s="14"/>
      <c r="E268" s="14"/>
    </row>
    <row r="269" spans="4:5" ht="15.75" customHeight="1" x14ac:dyDescent="0.2">
      <c r="D269" s="14"/>
      <c r="E269" s="14"/>
    </row>
    <row r="270" spans="4:5" ht="15.75" customHeight="1" x14ac:dyDescent="0.2">
      <c r="D270" s="14"/>
      <c r="E270" s="14"/>
    </row>
    <row r="271" spans="4:5" ht="15.75" customHeight="1" x14ac:dyDescent="0.2">
      <c r="D271" s="14"/>
      <c r="E271" s="14"/>
    </row>
    <row r="272" spans="4:5" ht="15.75" customHeight="1" x14ac:dyDescent="0.2">
      <c r="D272" s="14"/>
      <c r="E272" s="14"/>
    </row>
    <row r="273" spans="4:5" ht="15.75" customHeight="1" x14ac:dyDescent="0.2">
      <c r="D273" s="14"/>
      <c r="E273" s="14"/>
    </row>
    <row r="274" spans="4:5" ht="15.75" customHeight="1" x14ac:dyDescent="0.2">
      <c r="D274" s="14"/>
      <c r="E274" s="14"/>
    </row>
    <row r="275" spans="4:5" ht="15.75" customHeight="1" x14ac:dyDescent="0.2">
      <c r="D275" s="14"/>
      <c r="E275" s="14"/>
    </row>
    <row r="276" spans="4:5" ht="15.75" customHeight="1" x14ac:dyDescent="0.2">
      <c r="D276" s="14"/>
      <c r="E276" s="14"/>
    </row>
    <row r="277" spans="4:5" ht="15.75" customHeight="1" x14ac:dyDescent="0.2">
      <c r="D277" s="14"/>
      <c r="E277" s="14"/>
    </row>
    <row r="278" spans="4:5" ht="15.75" customHeight="1" x14ac:dyDescent="0.2">
      <c r="D278" s="14"/>
      <c r="E278" s="14"/>
    </row>
    <row r="279" spans="4:5" ht="15.75" customHeight="1" x14ac:dyDescent="0.2">
      <c r="D279" s="14"/>
      <c r="E279" s="14"/>
    </row>
    <row r="280" spans="4:5" ht="15.75" customHeight="1" x14ac:dyDescent="0.2">
      <c r="D280" s="14"/>
      <c r="E280" s="14"/>
    </row>
    <row r="281" spans="4:5" ht="15.75" customHeight="1" x14ac:dyDescent="0.2">
      <c r="D281" s="14"/>
      <c r="E281" s="14"/>
    </row>
    <row r="282" spans="4:5" ht="15.75" customHeight="1" x14ac:dyDescent="0.2">
      <c r="D282" s="14"/>
      <c r="E282" s="14"/>
    </row>
    <row r="283" spans="4:5" ht="15.75" customHeight="1" x14ac:dyDescent="0.2">
      <c r="D283" s="14"/>
      <c r="E283" s="14"/>
    </row>
    <row r="284" spans="4:5" ht="15.75" customHeight="1" x14ac:dyDescent="0.2">
      <c r="D284" s="14"/>
      <c r="E284" s="14"/>
    </row>
    <row r="285" spans="4:5" ht="15.75" customHeight="1" x14ac:dyDescent="0.2">
      <c r="D285" s="14"/>
      <c r="E285" s="14"/>
    </row>
    <row r="286" spans="4:5" ht="15.75" customHeight="1" x14ac:dyDescent="0.2">
      <c r="D286" s="14"/>
      <c r="E286" s="14"/>
    </row>
    <row r="287" spans="4:5" ht="15.75" customHeight="1" x14ac:dyDescent="0.2">
      <c r="D287" s="14"/>
      <c r="E287" s="14"/>
    </row>
    <row r="288" spans="4:5" ht="15.75" customHeight="1" x14ac:dyDescent="0.2">
      <c r="D288" s="14"/>
      <c r="E288" s="14"/>
    </row>
    <row r="289" spans="4:5" ht="15.75" customHeight="1" x14ac:dyDescent="0.2">
      <c r="D289" s="14"/>
      <c r="E289" s="14"/>
    </row>
    <row r="290" spans="4:5" ht="15.75" customHeight="1" x14ac:dyDescent="0.2">
      <c r="D290" s="14"/>
      <c r="E290" s="14"/>
    </row>
    <row r="291" spans="4:5" ht="15.75" customHeight="1" x14ac:dyDescent="0.2">
      <c r="D291" s="14"/>
      <c r="E291" s="14"/>
    </row>
    <row r="292" spans="4:5" ht="15.75" customHeight="1" x14ac:dyDescent="0.2">
      <c r="D292" s="14"/>
      <c r="E292" s="14"/>
    </row>
    <row r="293" spans="4:5" ht="15.75" customHeight="1" x14ac:dyDescent="0.2">
      <c r="D293" s="14"/>
      <c r="E293" s="14"/>
    </row>
    <row r="294" spans="4:5" ht="15.75" customHeight="1" x14ac:dyDescent="0.2">
      <c r="D294" s="14"/>
      <c r="E294" s="14"/>
    </row>
    <row r="295" spans="4:5" ht="15.75" customHeight="1" x14ac:dyDescent="0.2">
      <c r="D295" s="14"/>
      <c r="E295" s="14"/>
    </row>
    <row r="296" spans="4:5" ht="15.75" customHeight="1" x14ac:dyDescent="0.2">
      <c r="D296" s="14"/>
      <c r="E296" s="14"/>
    </row>
    <row r="297" spans="4:5" ht="15.75" customHeight="1" x14ac:dyDescent="0.2">
      <c r="D297" s="14"/>
      <c r="E297" s="14"/>
    </row>
    <row r="298" spans="4:5" ht="15.75" customHeight="1" x14ac:dyDescent="0.2">
      <c r="D298" s="14"/>
      <c r="E298" s="14"/>
    </row>
    <row r="299" spans="4:5" ht="15.75" customHeight="1" x14ac:dyDescent="0.2">
      <c r="D299" s="14"/>
      <c r="E299" s="14"/>
    </row>
    <row r="300" spans="4:5" ht="15.75" customHeight="1" x14ac:dyDescent="0.2">
      <c r="D300" s="14"/>
      <c r="E300" s="14"/>
    </row>
    <row r="301" spans="4:5" ht="15.75" customHeight="1" x14ac:dyDescent="0.2">
      <c r="D301" s="14"/>
      <c r="E301" s="14"/>
    </row>
    <row r="302" spans="4:5" ht="15.75" customHeight="1" x14ac:dyDescent="0.2">
      <c r="D302" s="14"/>
      <c r="E302" s="14"/>
    </row>
    <row r="303" spans="4:5" ht="15.75" customHeight="1" x14ac:dyDescent="0.2">
      <c r="D303" s="14"/>
      <c r="E303" s="14"/>
    </row>
    <row r="304" spans="4:5" ht="15.75" customHeight="1" x14ac:dyDescent="0.2">
      <c r="D304" s="14"/>
      <c r="E304" s="14"/>
    </row>
    <row r="305" spans="4:5" ht="15.75" customHeight="1" x14ac:dyDescent="0.2">
      <c r="D305" s="14"/>
      <c r="E305" s="14"/>
    </row>
    <row r="306" spans="4:5" ht="15.75" customHeight="1" x14ac:dyDescent="0.2">
      <c r="D306" s="14"/>
      <c r="E306" s="14"/>
    </row>
    <row r="307" spans="4:5" ht="15.75" customHeight="1" x14ac:dyDescent="0.2">
      <c r="D307" s="14"/>
      <c r="E307" s="14"/>
    </row>
    <row r="308" spans="4:5" ht="15.75" customHeight="1" x14ac:dyDescent="0.2">
      <c r="D308" s="14"/>
      <c r="E308" s="14"/>
    </row>
    <row r="309" spans="4:5" ht="15.75" customHeight="1" x14ac:dyDescent="0.2">
      <c r="D309" s="14"/>
      <c r="E309" s="14"/>
    </row>
    <row r="310" spans="4:5" ht="15.75" customHeight="1" x14ac:dyDescent="0.2">
      <c r="D310" s="14"/>
      <c r="E310" s="14"/>
    </row>
    <row r="311" spans="4:5" ht="15.75" customHeight="1" x14ac:dyDescent="0.2">
      <c r="D311" s="14"/>
      <c r="E311" s="14"/>
    </row>
    <row r="312" spans="4:5" ht="15.75" customHeight="1" x14ac:dyDescent="0.2">
      <c r="D312" s="14"/>
      <c r="E312" s="14"/>
    </row>
    <row r="313" spans="4:5" ht="15.75" customHeight="1" x14ac:dyDescent="0.2">
      <c r="D313" s="14"/>
      <c r="E313" s="14"/>
    </row>
    <row r="314" spans="4:5" ht="15.75" customHeight="1" x14ac:dyDescent="0.2">
      <c r="D314" s="14"/>
      <c r="E314" s="14"/>
    </row>
    <row r="315" spans="4:5" ht="15.75" customHeight="1" x14ac:dyDescent="0.2">
      <c r="D315" s="14"/>
      <c r="E315" s="14"/>
    </row>
    <row r="316" spans="4:5" ht="15.75" customHeight="1" x14ac:dyDescent="0.2">
      <c r="D316" s="14"/>
      <c r="E316" s="14"/>
    </row>
    <row r="317" spans="4:5" ht="15.75" customHeight="1" x14ac:dyDescent="0.2">
      <c r="D317" s="14"/>
      <c r="E317" s="14"/>
    </row>
    <row r="318" spans="4:5" ht="15.75" customHeight="1" x14ac:dyDescent="0.2">
      <c r="D318" s="14"/>
      <c r="E318" s="14"/>
    </row>
    <row r="319" spans="4:5" ht="15.75" customHeight="1" x14ac:dyDescent="0.2">
      <c r="D319" s="14"/>
      <c r="E319" s="14"/>
    </row>
    <row r="320" spans="4:5" ht="15.75" customHeight="1" x14ac:dyDescent="0.2">
      <c r="D320" s="14"/>
      <c r="E320" s="14"/>
    </row>
    <row r="321" spans="4:5" ht="15.75" customHeight="1" x14ac:dyDescent="0.2">
      <c r="D321" s="14"/>
      <c r="E321" s="14"/>
    </row>
    <row r="322" spans="4:5" ht="15.75" customHeight="1" x14ac:dyDescent="0.2">
      <c r="D322" s="14"/>
      <c r="E322" s="14"/>
    </row>
    <row r="323" spans="4:5" ht="15.75" customHeight="1" x14ac:dyDescent="0.2">
      <c r="D323" s="14"/>
      <c r="E323" s="14"/>
    </row>
    <row r="324" spans="4:5" ht="15.75" customHeight="1" x14ac:dyDescent="0.2">
      <c r="D324" s="14"/>
      <c r="E324" s="14"/>
    </row>
    <row r="325" spans="4:5" ht="15.75" customHeight="1" x14ac:dyDescent="0.2">
      <c r="D325" s="14"/>
      <c r="E325" s="14"/>
    </row>
    <row r="326" spans="4:5" ht="15.75" customHeight="1" x14ac:dyDescent="0.2">
      <c r="D326" s="14"/>
      <c r="E326" s="14"/>
    </row>
    <row r="327" spans="4:5" ht="15.75" customHeight="1" x14ac:dyDescent="0.2">
      <c r="D327" s="14"/>
      <c r="E327" s="14"/>
    </row>
    <row r="328" spans="4:5" ht="15.75" customHeight="1" x14ac:dyDescent="0.2">
      <c r="D328" s="14"/>
      <c r="E328" s="14"/>
    </row>
    <row r="329" spans="4:5" ht="15.75" customHeight="1" x14ac:dyDescent="0.2">
      <c r="D329" s="14"/>
      <c r="E329" s="14"/>
    </row>
    <row r="330" spans="4:5" ht="15.75" customHeight="1" x14ac:dyDescent="0.2">
      <c r="D330" s="14"/>
      <c r="E330" s="14"/>
    </row>
    <row r="331" spans="4:5" ht="15.75" customHeight="1" x14ac:dyDescent="0.2">
      <c r="D331" s="14"/>
      <c r="E331" s="14"/>
    </row>
    <row r="332" spans="4:5" ht="15.75" customHeight="1" x14ac:dyDescent="0.2">
      <c r="D332" s="14"/>
      <c r="E332" s="14"/>
    </row>
    <row r="333" spans="4:5" ht="15.75" customHeight="1" x14ac:dyDescent="0.2">
      <c r="D333" s="14"/>
      <c r="E333" s="14"/>
    </row>
    <row r="334" spans="4:5" ht="15.75" customHeight="1" x14ac:dyDescent="0.2">
      <c r="D334" s="14"/>
      <c r="E334" s="14"/>
    </row>
    <row r="335" spans="4:5" ht="15.75" customHeight="1" x14ac:dyDescent="0.2">
      <c r="D335" s="14"/>
      <c r="E335" s="14"/>
    </row>
    <row r="336" spans="4:5" ht="15.75" customHeight="1" x14ac:dyDescent="0.2">
      <c r="D336" s="14"/>
      <c r="E336" s="14"/>
    </row>
    <row r="337" spans="4:5" ht="15.75" customHeight="1" x14ac:dyDescent="0.2">
      <c r="D337" s="14"/>
      <c r="E337" s="14"/>
    </row>
    <row r="338" spans="4:5" ht="15.75" customHeight="1" x14ac:dyDescent="0.2">
      <c r="D338" s="14"/>
      <c r="E338" s="14"/>
    </row>
    <row r="339" spans="4:5" ht="15.75" customHeight="1" x14ac:dyDescent="0.2">
      <c r="D339" s="14"/>
      <c r="E339" s="14"/>
    </row>
    <row r="340" spans="4:5" ht="15.75" customHeight="1" x14ac:dyDescent="0.2">
      <c r="D340" s="14"/>
      <c r="E340" s="14"/>
    </row>
    <row r="341" spans="4:5" ht="15.75" customHeight="1" x14ac:dyDescent="0.2">
      <c r="D341" s="14"/>
      <c r="E341" s="14"/>
    </row>
    <row r="342" spans="4:5" ht="15.75" customHeight="1" x14ac:dyDescent="0.2">
      <c r="D342" s="14"/>
      <c r="E342" s="14"/>
    </row>
    <row r="343" spans="4:5" ht="15.75" customHeight="1" x14ac:dyDescent="0.2">
      <c r="D343" s="14"/>
      <c r="E343" s="14"/>
    </row>
    <row r="344" spans="4:5" ht="15.75" customHeight="1" x14ac:dyDescent="0.2">
      <c r="D344" s="14"/>
      <c r="E344" s="14"/>
    </row>
    <row r="345" spans="4:5" ht="15.75" customHeight="1" x14ac:dyDescent="0.2">
      <c r="D345" s="14"/>
      <c r="E345" s="14"/>
    </row>
    <row r="346" spans="4:5" ht="15.75" customHeight="1" x14ac:dyDescent="0.2">
      <c r="D346" s="14"/>
      <c r="E346" s="14"/>
    </row>
    <row r="347" spans="4:5" ht="15.75" customHeight="1" x14ac:dyDescent="0.2">
      <c r="D347" s="14"/>
      <c r="E347" s="14"/>
    </row>
    <row r="348" spans="4:5" ht="15.75" customHeight="1" x14ac:dyDescent="0.2">
      <c r="D348" s="14"/>
      <c r="E348" s="14"/>
    </row>
    <row r="349" spans="4:5" ht="15.75" customHeight="1" x14ac:dyDescent="0.2">
      <c r="D349" s="14"/>
      <c r="E349" s="14"/>
    </row>
    <row r="350" spans="4:5" ht="15.75" customHeight="1" x14ac:dyDescent="0.2">
      <c r="D350" s="14"/>
      <c r="E350" s="14"/>
    </row>
    <row r="351" spans="4:5" ht="15.75" customHeight="1" x14ac:dyDescent="0.2">
      <c r="D351" s="14"/>
      <c r="E351" s="14"/>
    </row>
    <row r="352" spans="4:5" ht="15.75" customHeight="1" x14ac:dyDescent="0.2">
      <c r="D352" s="14"/>
      <c r="E352" s="14"/>
    </row>
    <row r="353" spans="4:5" ht="15.75" customHeight="1" x14ac:dyDescent="0.2">
      <c r="D353" s="14"/>
      <c r="E353" s="14"/>
    </row>
    <row r="354" spans="4:5" ht="15.75" customHeight="1" x14ac:dyDescent="0.2">
      <c r="D354" s="14"/>
      <c r="E354" s="14"/>
    </row>
    <row r="355" spans="4:5" ht="15.75" customHeight="1" x14ac:dyDescent="0.2">
      <c r="D355" s="14"/>
      <c r="E355" s="14"/>
    </row>
    <row r="356" spans="4:5" ht="15.75" customHeight="1" x14ac:dyDescent="0.2">
      <c r="D356" s="14"/>
      <c r="E356" s="14"/>
    </row>
    <row r="357" spans="4:5" ht="15.75" customHeight="1" x14ac:dyDescent="0.2">
      <c r="D357" s="14"/>
      <c r="E357" s="14"/>
    </row>
    <row r="358" spans="4:5" ht="15.75" customHeight="1" x14ac:dyDescent="0.2">
      <c r="D358" s="14"/>
      <c r="E358" s="14"/>
    </row>
    <row r="359" spans="4:5" ht="15.75" customHeight="1" x14ac:dyDescent="0.2">
      <c r="D359" s="14"/>
      <c r="E359" s="14"/>
    </row>
    <row r="360" spans="4:5" ht="15.75" customHeight="1" x14ac:dyDescent="0.2">
      <c r="D360" s="14"/>
      <c r="E360" s="14"/>
    </row>
    <row r="361" spans="4:5" ht="15.75" customHeight="1" x14ac:dyDescent="0.2">
      <c r="D361" s="14"/>
      <c r="E361" s="14"/>
    </row>
    <row r="362" spans="4:5" ht="15.75" customHeight="1" x14ac:dyDescent="0.2">
      <c r="D362" s="14"/>
      <c r="E362" s="14"/>
    </row>
    <row r="363" spans="4:5" ht="15.75" customHeight="1" x14ac:dyDescent="0.2">
      <c r="D363" s="14"/>
      <c r="E363" s="14"/>
    </row>
    <row r="364" spans="4:5" ht="15.75" customHeight="1" x14ac:dyDescent="0.2">
      <c r="D364" s="14"/>
      <c r="E364" s="14"/>
    </row>
    <row r="365" spans="4:5" ht="15.75" customHeight="1" x14ac:dyDescent="0.2">
      <c r="D365" s="14"/>
      <c r="E365" s="14"/>
    </row>
    <row r="366" spans="4:5" ht="15.75" customHeight="1" x14ac:dyDescent="0.2">
      <c r="D366" s="14"/>
      <c r="E366" s="14"/>
    </row>
    <row r="367" spans="4:5" ht="15.75" customHeight="1" x14ac:dyDescent="0.2">
      <c r="D367" s="14"/>
      <c r="E367" s="14"/>
    </row>
    <row r="368" spans="4:5" ht="15.75" customHeight="1" x14ac:dyDescent="0.2">
      <c r="D368" s="14"/>
      <c r="E368" s="14"/>
    </row>
    <row r="369" spans="4:5" ht="15.75" customHeight="1" x14ac:dyDescent="0.2">
      <c r="D369" s="14"/>
      <c r="E369" s="14"/>
    </row>
    <row r="370" spans="4:5" ht="15.75" customHeight="1" x14ac:dyDescent="0.2">
      <c r="D370" s="14"/>
      <c r="E370" s="14"/>
    </row>
    <row r="371" spans="4:5" ht="15.75" customHeight="1" x14ac:dyDescent="0.2">
      <c r="D371" s="14"/>
      <c r="E371" s="14"/>
    </row>
    <row r="372" spans="4:5" ht="15.75" customHeight="1" x14ac:dyDescent="0.2">
      <c r="D372" s="14"/>
      <c r="E372" s="14"/>
    </row>
    <row r="373" spans="4:5" ht="15.75" customHeight="1" x14ac:dyDescent="0.2">
      <c r="D373" s="14"/>
      <c r="E373" s="14"/>
    </row>
    <row r="374" spans="4:5" ht="15.75" customHeight="1" x14ac:dyDescent="0.2">
      <c r="D374" s="14"/>
      <c r="E374" s="14"/>
    </row>
    <row r="375" spans="4:5" ht="15.75" customHeight="1" x14ac:dyDescent="0.2">
      <c r="D375" s="14"/>
      <c r="E375" s="14"/>
    </row>
    <row r="376" spans="4:5" ht="15.75" customHeight="1" x14ac:dyDescent="0.2">
      <c r="D376" s="14"/>
      <c r="E376" s="14"/>
    </row>
    <row r="377" spans="4:5" ht="15.75" customHeight="1" x14ac:dyDescent="0.2">
      <c r="D377" s="14"/>
      <c r="E377" s="14"/>
    </row>
    <row r="378" spans="4:5" ht="15.75" customHeight="1" x14ac:dyDescent="0.2">
      <c r="D378" s="14"/>
      <c r="E378" s="14"/>
    </row>
    <row r="379" spans="4:5" ht="15.75" customHeight="1" x14ac:dyDescent="0.2">
      <c r="D379" s="14"/>
      <c r="E379" s="14"/>
    </row>
    <row r="380" spans="4:5" ht="15.75" customHeight="1" x14ac:dyDescent="0.2">
      <c r="D380" s="14"/>
      <c r="E380" s="14"/>
    </row>
    <row r="381" spans="4:5" ht="15.75" customHeight="1" x14ac:dyDescent="0.2">
      <c r="D381" s="14"/>
      <c r="E381" s="14"/>
    </row>
    <row r="382" spans="4:5" ht="15.75" customHeight="1" x14ac:dyDescent="0.2">
      <c r="D382" s="14"/>
      <c r="E382" s="14"/>
    </row>
    <row r="383" spans="4:5" ht="15.75" customHeight="1" x14ac:dyDescent="0.2">
      <c r="D383" s="14"/>
      <c r="E383" s="14"/>
    </row>
    <row r="384" spans="4:5" ht="15.75" customHeight="1" x14ac:dyDescent="0.2">
      <c r="D384" s="14"/>
      <c r="E384" s="14"/>
    </row>
    <row r="385" spans="4:5" ht="15.75" customHeight="1" x14ac:dyDescent="0.2">
      <c r="D385" s="14"/>
      <c r="E385" s="14"/>
    </row>
    <row r="386" spans="4:5" ht="15.75" customHeight="1" x14ac:dyDescent="0.2">
      <c r="D386" s="14"/>
      <c r="E386" s="14"/>
    </row>
    <row r="387" spans="4:5" ht="15.75" customHeight="1" x14ac:dyDescent="0.2">
      <c r="D387" s="14"/>
      <c r="E387" s="14"/>
    </row>
    <row r="388" spans="4:5" ht="15.75" customHeight="1" x14ac:dyDescent="0.2">
      <c r="D388" s="14"/>
      <c r="E388" s="14"/>
    </row>
    <row r="389" spans="4:5" ht="15.75" customHeight="1" x14ac:dyDescent="0.2">
      <c r="D389" s="14"/>
      <c r="E389" s="14"/>
    </row>
    <row r="390" spans="4:5" ht="15.75" customHeight="1" x14ac:dyDescent="0.2">
      <c r="D390" s="14"/>
      <c r="E390" s="14"/>
    </row>
    <row r="391" spans="4:5" ht="15.75" customHeight="1" x14ac:dyDescent="0.2">
      <c r="D391" s="14"/>
      <c r="E391" s="14"/>
    </row>
    <row r="392" spans="4:5" ht="15.75" customHeight="1" x14ac:dyDescent="0.2">
      <c r="D392" s="14"/>
      <c r="E392" s="14"/>
    </row>
    <row r="393" spans="4:5" ht="15.75" customHeight="1" x14ac:dyDescent="0.2">
      <c r="D393" s="14"/>
      <c r="E393" s="14"/>
    </row>
    <row r="394" spans="4:5" ht="15.75" customHeight="1" x14ac:dyDescent="0.2">
      <c r="D394" s="14"/>
      <c r="E394" s="14"/>
    </row>
    <row r="395" spans="4:5" ht="15.75" customHeight="1" x14ac:dyDescent="0.2">
      <c r="D395" s="14"/>
      <c r="E395" s="14"/>
    </row>
    <row r="396" spans="4:5" ht="15.75" customHeight="1" x14ac:dyDescent="0.2">
      <c r="D396" s="14"/>
      <c r="E396" s="14"/>
    </row>
    <row r="397" spans="4:5" ht="15.75" customHeight="1" x14ac:dyDescent="0.2">
      <c r="D397" s="14"/>
      <c r="E397" s="14"/>
    </row>
    <row r="398" spans="4:5" ht="15.75" customHeight="1" x14ac:dyDescent="0.2">
      <c r="D398" s="14"/>
      <c r="E398" s="14"/>
    </row>
    <row r="399" spans="4:5" ht="15.75" customHeight="1" x14ac:dyDescent="0.2">
      <c r="D399" s="14"/>
      <c r="E399" s="14"/>
    </row>
    <row r="400" spans="4:5" ht="15.75" customHeight="1" x14ac:dyDescent="0.2">
      <c r="D400" s="14"/>
      <c r="E400" s="14"/>
    </row>
    <row r="401" spans="4:5" ht="15.75" customHeight="1" x14ac:dyDescent="0.2">
      <c r="D401" s="14"/>
      <c r="E401" s="14"/>
    </row>
    <row r="402" spans="4:5" ht="15.75" customHeight="1" x14ac:dyDescent="0.2">
      <c r="D402" s="14"/>
      <c r="E402" s="14"/>
    </row>
    <row r="403" spans="4:5" ht="15.75" customHeight="1" x14ac:dyDescent="0.2">
      <c r="D403" s="14"/>
      <c r="E403" s="14"/>
    </row>
    <row r="404" spans="4:5" ht="15.75" customHeight="1" x14ac:dyDescent="0.2">
      <c r="D404" s="14"/>
      <c r="E404" s="14"/>
    </row>
    <row r="405" spans="4:5" ht="15.75" customHeight="1" x14ac:dyDescent="0.2">
      <c r="D405" s="14"/>
      <c r="E405" s="14"/>
    </row>
    <row r="406" spans="4:5" ht="15.75" customHeight="1" x14ac:dyDescent="0.2">
      <c r="D406" s="14"/>
      <c r="E406" s="14"/>
    </row>
    <row r="407" spans="4:5" ht="15.75" customHeight="1" x14ac:dyDescent="0.2">
      <c r="D407" s="14"/>
      <c r="E407" s="14"/>
    </row>
    <row r="408" spans="4:5" ht="15.75" customHeight="1" x14ac:dyDescent="0.2">
      <c r="D408" s="14"/>
      <c r="E408" s="14"/>
    </row>
    <row r="409" spans="4:5" ht="15.75" customHeight="1" x14ac:dyDescent="0.2">
      <c r="D409" s="14"/>
      <c r="E409" s="14"/>
    </row>
    <row r="410" spans="4:5" ht="15.75" customHeight="1" x14ac:dyDescent="0.2">
      <c r="D410" s="14"/>
      <c r="E410" s="14"/>
    </row>
    <row r="411" spans="4:5" ht="15.75" customHeight="1" x14ac:dyDescent="0.2">
      <c r="D411" s="14"/>
      <c r="E411" s="14"/>
    </row>
    <row r="412" spans="4:5" ht="15.75" customHeight="1" x14ac:dyDescent="0.2">
      <c r="D412" s="14"/>
      <c r="E412" s="14"/>
    </row>
    <row r="413" spans="4:5" ht="15.75" customHeight="1" x14ac:dyDescent="0.2">
      <c r="D413" s="14"/>
      <c r="E413" s="14"/>
    </row>
    <row r="414" spans="4:5" ht="15.75" customHeight="1" x14ac:dyDescent="0.2">
      <c r="D414" s="14"/>
      <c r="E414" s="14"/>
    </row>
    <row r="415" spans="4:5" ht="15.75" customHeight="1" x14ac:dyDescent="0.2">
      <c r="D415" s="14"/>
      <c r="E415" s="14"/>
    </row>
    <row r="416" spans="4:5" ht="15.75" customHeight="1" x14ac:dyDescent="0.2">
      <c r="D416" s="14"/>
      <c r="E416" s="14"/>
    </row>
    <row r="417" spans="4:5" ht="15.75" customHeight="1" x14ac:dyDescent="0.2">
      <c r="D417" s="14"/>
      <c r="E417" s="14"/>
    </row>
    <row r="418" spans="4:5" ht="15.75" customHeight="1" x14ac:dyDescent="0.2">
      <c r="D418" s="14"/>
      <c r="E418" s="14"/>
    </row>
    <row r="419" spans="4:5" ht="15.75" customHeight="1" x14ac:dyDescent="0.2">
      <c r="D419" s="14"/>
      <c r="E419" s="14"/>
    </row>
    <row r="420" spans="4:5" ht="15.75" customHeight="1" x14ac:dyDescent="0.2">
      <c r="D420" s="14"/>
      <c r="E420" s="14"/>
    </row>
    <row r="421" spans="4:5" ht="15.75" customHeight="1" x14ac:dyDescent="0.2">
      <c r="D421" s="14"/>
      <c r="E421" s="14"/>
    </row>
    <row r="422" spans="4:5" ht="15.75" customHeight="1" x14ac:dyDescent="0.2">
      <c r="D422" s="14"/>
      <c r="E422" s="14"/>
    </row>
    <row r="423" spans="4:5" ht="15.75" customHeight="1" x14ac:dyDescent="0.2">
      <c r="D423" s="14"/>
      <c r="E423" s="14"/>
    </row>
    <row r="424" spans="4:5" ht="15.75" customHeight="1" x14ac:dyDescent="0.2">
      <c r="D424" s="14"/>
      <c r="E424" s="14"/>
    </row>
    <row r="425" spans="4:5" ht="15.75" customHeight="1" x14ac:dyDescent="0.2">
      <c r="D425" s="14"/>
      <c r="E425" s="14"/>
    </row>
    <row r="426" spans="4:5" ht="15.75" customHeight="1" x14ac:dyDescent="0.2">
      <c r="D426" s="14"/>
      <c r="E426" s="14"/>
    </row>
    <row r="427" spans="4:5" ht="15.75" customHeight="1" x14ac:dyDescent="0.2">
      <c r="D427" s="14"/>
      <c r="E427" s="14"/>
    </row>
    <row r="428" spans="4:5" ht="15.75" customHeight="1" x14ac:dyDescent="0.2">
      <c r="D428" s="14"/>
      <c r="E428" s="14"/>
    </row>
    <row r="429" spans="4:5" ht="15.75" customHeight="1" x14ac:dyDescent="0.2">
      <c r="D429" s="14"/>
      <c r="E429" s="14"/>
    </row>
    <row r="430" spans="4:5" ht="15.75" customHeight="1" x14ac:dyDescent="0.2">
      <c r="D430" s="14"/>
      <c r="E430" s="14"/>
    </row>
    <row r="431" spans="4:5" ht="15.75" customHeight="1" x14ac:dyDescent="0.2">
      <c r="D431" s="14"/>
      <c r="E431" s="14"/>
    </row>
    <row r="432" spans="4:5" ht="15.75" customHeight="1" x14ac:dyDescent="0.2">
      <c r="D432" s="14"/>
      <c r="E432" s="14"/>
    </row>
    <row r="433" spans="4:5" ht="15.75" customHeight="1" x14ac:dyDescent="0.2">
      <c r="D433" s="14"/>
      <c r="E433" s="14"/>
    </row>
    <row r="434" spans="4:5" ht="15.75" customHeight="1" x14ac:dyDescent="0.2">
      <c r="D434" s="14"/>
      <c r="E434" s="14"/>
    </row>
    <row r="435" spans="4:5" ht="15.75" customHeight="1" x14ac:dyDescent="0.2">
      <c r="D435" s="14"/>
      <c r="E435" s="14"/>
    </row>
    <row r="436" spans="4:5" ht="15.75" customHeight="1" x14ac:dyDescent="0.2">
      <c r="D436" s="14"/>
      <c r="E436" s="14"/>
    </row>
    <row r="437" spans="4:5" ht="15.75" customHeight="1" x14ac:dyDescent="0.2">
      <c r="D437" s="14"/>
      <c r="E437" s="14"/>
    </row>
    <row r="438" spans="4:5" ht="15.75" customHeight="1" x14ac:dyDescent="0.2">
      <c r="D438" s="14"/>
      <c r="E438" s="14"/>
    </row>
    <row r="439" spans="4:5" ht="15.75" customHeight="1" x14ac:dyDescent="0.2">
      <c r="D439" s="14"/>
      <c r="E439" s="14"/>
    </row>
    <row r="440" spans="4:5" ht="15.75" customHeight="1" x14ac:dyDescent="0.2">
      <c r="D440" s="14"/>
      <c r="E440" s="14"/>
    </row>
    <row r="441" spans="4:5" ht="15.75" customHeight="1" x14ac:dyDescent="0.2">
      <c r="D441" s="14"/>
      <c r="E441" s="14"/>
    </row>
    <row r="442" spans="4:5" ht="15.75" customHeight="1" x14ac:dyDescent="0.2">
      <c r="D442" s="14"/>
      <c r="E442" s="14"/>
    </row>
    <row r="443" spans="4:5" ht="15.75" customHeight="1" x14ac:dyDescent="0.2">
      <c r="D443" s="14"/>
      <c r="E443" s="14"/>
    </row>
    <row r="444" spans="4:5" ht="15.75" customHeight="1" x14ac:dyDescent="0.2">
      <c r="D444" s="14"/>
      <c r="E444" s="14"/>
    </row>
    <row r="445" spans="4:5" ht="15.75" customHeight="1" x14ac:dyDescent="0.2">
      <c r="D445" s="14"/>
      <c r="E445" s="14"/>
    </row>
    <row r="446" spans="4:5" ht="15.75" customHeight="1" x14ac:dyDescent="0.2">
      <c r="D446" s="14"/>
      <c r="E446" s="14"/>
    </row>
    <row r="447" spans="4:5" ht="15.75" customHeight="1" x14ac:dyDescent="0.2">
      <c r="D447" s="14"/>
      <c r="E447" s="14"/>
    </row>
    <row r="448" spans="4:5" ht="15.75" customHeight="1" x14ac:dyDescent="0.2">
      <c r="D448" s="14"/>
      <c r="E448" s="14"/>
    </row>
    <row r="449" spans="4:5" ht="15.75" customHeight="1" x14ac:dyDescent="0.2">
      <c r="D449" s="14"/>
      <c r="E449" s="14"/>
    </row>
    <row r="450" spans="4:5" ht="15.75" customHeight="1" x14ac:dyDescent="0.2">
      <c r="D450" s="14"/>
      <c r="E450" s="14"/>
    </row>
    <row r="451" spans="4:5" ht="15.75" customHeight="1" x14ac:dyDescent="0.2">
      <c r="D451" s="14"/>
      <c r="E451" s="14"/>
    </row>
    <row r="452" spans="4:5" ht="15.75" customHeight="1" x14ac:dyDescent="0.2">
      <c r="D452" s="14"/>
      <c r="E452" s="14"/>
    </row>
    <row r="453" spans="4:5" ht="15.75" customHeight="1" x14ac:dyDescent="0.2">
      <c r="D453" s="14"/>
      <c r="E453" s="14"/>
    </row>
    <row r="454" spans="4:5" ht="15.75" customHeight="1" x14ac:dyDescent="0.2">
      <c r="D454" s="14"/>
      <c r="E454" s="14"/>
    </row>
    <row r="455" spans="4:5" ht="15.75" customHeight="1" x14ac:dyDescent="0.2">
      <c r="D455" s="14"/>
      <c r="E455" s="14"/>
    </row>
    <row r="456" spans="4:5" ht="15.75" customHeight="1" x14ac:dyDescent="0.2">
      <c r="D456" s="14"/>
      <c r="E456" s="14"/>
    </row>
    <row r="457" spans="4:5" ht="15.75" customHeight="1" x14ac:dyDescent="0.2">
      <c r="D457" s="14"/>
      <c r="E457" s="14"/>
    </row>
    <row r="458" spans="4:5" ht="15.75" customHeight="1" x14ac:dyDescent="0.2">
      <c r="D458" s="14"/>
      <c r="E458" s="14"/>
    </row>
    <row r="459" spans="4:5" ht="15.75" customHeight="1" x14ac:dyDescent="0.2">
      <c r="D459" s="14"/>
      <c r="E459" s="14"/>
    </row>
    <row r="460" spans="4:5" ht="15.75" customHeight="1" x14ac:dyDescent="0.2">
      <c r="D460" s="14"/>
      <c r="E460" s="14"/>
    </row>
    <row r="461" spans="4:5" ht="15.75" customHeight="1" x14ac:dyDescent="0.2">
      <c r="D461" s="14"/>
      <c r="E461" s="14"/>
    </row>
    <row r="462" spans="4:5" ht="15.75" customHeight="1" x14ac:dyDescent="0.2">
      <c r="D462" s="14"/>
      <c r="E462" s="14"/>
    </row>
    <row r="463" spans="4:5" ht="15.75" customHeight="1" x14ac:dyDescent="0.2">
      <c r="D463" s="14"/>
      <c r="E463" s="14"/>
    </row>
    <row r="464" spans="4:5" ht="15.75" customHeight="1" x14ac:dyDescent="0.2">
      <c r="D464" s="14"/>
      <c r="E464" s="14"/>
    </row>
    <row r="465" spans="4:5" ht="15.75" customHeight="1" x14ac:dyDescent="0.2">
      <c r="D465" s="14"/>
      <c r="E465" s="14"/>
    </row>
    <row r="466" spans="4:5" ht="15.75" customHeight="1" x14ac:dyDescent="0.2">
      <c r="D466" s="14"/>
      <c r="E466" s="14"/>
    </row>
    <row r="467" spans="4:5" ht="15.75" customHeight="1" x14ac:dyDescent="0.2">
      <c r="D467" s="14"/>
      <c r="E467" s="14"/>
    </row>
    <row r="468" spans="4:5" ht="15.75" customHeight="1" x14ac:dyDescent="0.2">
      <c r="D468" s="14"/>
      <c r="E468" s="14"/>
    </row>
    <row r="469" spans="4:5" ht="15.75" customHeight="1" x14ac:dyDescent="0.2">
      <c r="D469" s="14"/>
      <c r="E469" s="14"/>
    </row>
    <row r="470" spans="4:5" ht="15.75" customHeight="1" x14ac:dyDescent="0.2">
      <c r="D470" s="14"/>
      <c r="E470" s="14"/>
    </row>
    <row r="471" spans="4:5" ht="15.75" customHeight="1" x14ac:dyDescent="0.2">
      <c r="D471" s="14"/>
      <c r="E471" s="14"/>
    </row>
    <row r="472" spans="4:5" ht="15.75" customHeight="1" x14ac:dyDescent="0.2">
      <c r="D472" s="14"/>
      <c r="E472" s="14"/>
    </row>
    <row r="473" spans="4:5" ht="15.75" customHeight="1" x14ac:dyDescent="0.2">
      <c r="D473" s="14"/>
      <c r="E473" s="14"/>
    </row>
    <row r="474" spans="4:5" ht="15.75" customHeight="1" x14ac:dyDescent="0.2">
      <c r="D474" s="14"/>
      <c r="E474" s="14"/>
    </row>
    <row r="475" spans="4:5" ht="15.75" customHeight="1" x14ac:dyDescent="0.2">
      <c r="D475" s="14"/>
      <c r="E475" s="14"/>
    </row>
    <row r="476" spans="4:5" ht="15.75" customHeight="1" x14ac:dyDescent="0.2">
      <c r="D476" s="14"/>
      <c r="E476" s="14"/>
    </row>
    <row r="477" spans="4:5" ht="15.75" customHeight="1" x14ac:dyDescent="0.2">
      <c r="D477" s="14"/>
      <c r="E477" s="14"/>
    </row>
    <row r="478" spans="4:5" ht="15.75" customHeight="1" x14ac:dyDescent="0.2">
      <c r="D478" s="14"/>
      <c r="E478" s="14"/>
    </row>
    <row r="479" spans="4:5" ht="15.75" customHeight="1" x14ac:dyDescent="0.2">
      <c r="D479" s="14"/>
      <c r="E479" s="14"/>
    </row>
    <row r="480" spans="4:5" ht="15.75" customHeight="1" x14ac:dyDescent="0.2">
      <c r="D480" s="14"/>
      <c r="E480" s="14"/>
    </row>
    <row r="481" spans="4:5" ht="15.75" customHeight="1" x14ac:dyDescent="0.2">
      <c r="D481" s="14"/>
      <c r="E481" s="14"/>
    </row>
    <row r="482" spans="4:5" ht="15.75" customHeight="1" x14ac:dyDescent="0.2">
      <c r="D482" s="14"/>
      <c r="E482" s="14"/>
    </row>
    <row r="483" spans="4:5" ht="15.75" customHeight="1" x14ac:dyDescent="0.2">
      <c r="D483" s="14"/>
      <c r="E483" s="14"/>
    </row>
    <row r="484" spans="4:5" ht="15.75" customHeight="1" x14ac:dyDescent="0.2">
      <c r="D484" s="14"/>
      <c r="E484" s="14"/>
    </row>
    <row r="485" spans="4:5" ht="15.75" customHeight="1" x14ac:dyDescent="0.2">
      <c r="D485" s="14"/>
      <c r="E485" s="14"/>
    </row>
    <row r="486" spans="4:5" ht="15.75" customHeight="1" x14ac:dyDescent="0.2">
      <c r="D486" s="14"/>
      <c r="E486" s="14"/>
    </row>
    <row r="487" spans="4:5" ht="15.75" customHeight="1" x14ac:dyDescent="0.2">
      <c r="D487" s="14"/>
      <c r="E487" s="14"/>
    </row>
    <row r="488" spans="4:5" ht="15.75" customHeight="1" x14ac:dyDescent="0.2">
      <c r="D488" s="14"/>
      <c r="E488" s="14"/>
    </row>
    <row r="489" spans="4:5" ht="15.75" customHeight="1" x14ac:dyDescent="0.2">
      <c r="D489" s="14"/>
      <c r="E489" s="14"/>
    </row>
    <row r="490" spans="4:5" ht="15.75" customHeight="1" x14ac:dyDescent="0.2">
      <c r="D490" s="14"/>
      <c r="E490" s="14"/>
    </row>
    <row r="491" spans="4:5" ht="15.75" customHeight="1" x14ac:dyDescent="0.2">
      <c r="D491" s="14"/>
      <c r="E491" s="14"/>
    </row>
    <row r="492" spans="4:5" ht="15.75" customHeight="1" x14ac:dyDescent="0.2">
      <c r="D492" s="14"/>
      <c r="E492" s="14"/>
    </row>
    <row r="493" spans="4:5" ht="15.75" customHeight="1" x14ac:dyDescent="0.2">
      <c r="D493" s="14"/>
      <c r="E493" s="14"/>
    </row>
    <row r="494" spans="4:5" ht="15.75" customHeight="1" x14ac:dyDescent="0.2">
      <c r="D494" s="14"/>
      <c r="E494" s="14"/>
    </row>
    <row r="495" spans="4:5" ht="15.75" customHeight="1" x14ac:dyDescent="0.2">
      <c r="D495" s="14"/>
      <c r="E495" s="14"/>
    </row>
    <row r="496" spans="4:5" ht="15.75" customHeight="1" x14ac:dyDescent="0.2">
      <c r="D496" s="14"/>
      <c r="E496" s="14"/>
    </row>
    <row r="497" spans="4:5" ht="15.75" customHeight="1" x14ac:dyDescent="0.2">
      <c r="D497" s="14"/>
      <c r="E497" s="14"/>
    </row>
    <row r="498" spans="4:5" ht="15.75" customHeight="1" x14ac:dyDescent="0.2">
      <c r="D498" s="14"/>
      <c r="E498" s="14"/>
    </row>
    <row r="499" spans="4:5" ht="15.75" customHeight="1" x14ac:dyDescent="0.2">
      <c r="D499" s="14"/>
      <c r="E499" s="14"/>
    </row>
    <row r="500" spans="4:5" ht="15.75" customHeight="1" x14ac:dyDescent="0.2">
      <c r="D500" s="14"/>
      <c r="E500" s="14"/>
    </row>
    <row r="501" spans="4:5" ht="15.75" customHeight="1" x14ac:dyDescent="0.2">
      <c r="D501" s="14"/>
      <c r="E501" s="14"/>
    </row>
    <row r="502" spans="4:5" ht="15.75" customHeight="1" x14ac:dyDescent="0.2">
      <c r="D502" s="14"/>
      <c r="E502" s="14"/>
    </row>
    <row r="503" spans="4:5" ht="15.75" customHeight="1" x14ac:dyDescent="0.2">
      <c r="D503" s="14"/>
      <c r="E503" s="14"/>
    </row>
    <row r="504" spans="4:5" ht="15.75" customHeight="1" x14ac:dyDescent="0.2">
      <c r="D504" s="14"/>
      <c r="E504" s="14"/>
    </row>
    <row r="505" spans="4:5" ht="15.75" customHeight="1" x14ac:dyDescent="0.2">
      <c r="D505" s="14"/>
      <c r="E505" s="14"/>
    </row>
    <row r="506" spans="4:5" ht="15.75" customHeight="1" x14ac:dyDescent="0.2">
      <c r="D506" s="14"/>
      <c r="E506" s="14"/>
    </row>
    <row r="507" spans="4:5" ht="15.75" customHeight="1" x14ac:dyDescent="0.2">
      <c r="D507" s="14"/>
      <c r="E507" s="14"/>
    </row>
    <row r="508" spans="4:5" ht="15.75" customHeight="1" x14ac:dyDescent="0.2">
      <c r="D508" s="14"/>
      <c r="E508" s="14"/>
    </row>
    <row r="509" spans="4:5" ht="15.75" customHeight="1" x14ac:dyDescent="0.2">
      <c r="D509" s="14"/>
      <c r="E509" s="14"/>
    </row>
    <row r="510" spans="4:5" ht="15.75" customHeight="1" x14ac:dyDescent="0.2">
      <c r="D510" s="14"/>
      <c r="E510" s="14"/>
    </row>
    <row r="511" spans="4:5" ht="15.75" customHeight="1" x14ac:dyDescent="0.2">
      <c r="D511" s="14"/>
      <c r="E511" s="14"/>
    </row>
    <row r="512" spans="4:5" ht="15.75" customHeight="1" x14ac:dyDescent="0.2">
      <c r="D512" s="14"/>
      <c r="E512" s="14"/>
    </row>
    <row r="513" spans="4:5" ht="15.75" customHeight="1" x14ac:dyDescent="0.2">
      <c r="D513" s="14"/>
      <c r="E513" s="14"/>
    </row>
    <row r="514" spans="4:5" ht="15.75" customHeight="1" x14ac:dyDescent="0.2">
      <c r="D514" s="14"/>
      <c r="E514" s="14"/>
    </row>
    <row r="515" spans="4:5" ht="15.75" customHeight="1" x14ac:dyDescent="0.2">
      <c r="D515" s="14"/>
      <c r="E515" s="14"/>
    </row>
    <row r="516" spans="4:5" ht="15.75" customHeight="1" x14ac:dyDescent="0.2">
      <c r="D516" s="14"/>
      <c r="E516" s="14"/>
    </row>
    <row r="517" spans="4:5" ht="15.75" customHeight="1" x14ac:dyDescent="0.2">
      <c r="D517" s="14"/>
      <c r="E517" s="14"/>
    </row>
    <row r="518" spans="4:5" ht="15.75" customHeight="1" x14ac:dyDescent="0.2">
      <c r="D518" s="14"/>
      <c r="E518" s="14"/>
    </row>
    <row r="519" spans="4:5" ht="15.75" customHeight="1" x14ac:dyDescent="0.2">
      <c r="D519" s="14"/>
      <c r="E519" s="14"/>
    </row>
    <row r="520" spans="4:5" ht="15.75" customHeight="1" x14ac:dyDescent="0.2">
      <c r="D520" s="14"/>
      <c r="E520" s="14"/>
    </row>
    <row r="521" spans="4:5" ht="15.75" customHeight="1" x14ac:dyDescent="0.2">
      <c r="D521" s="14"/>
      <c r="E521" s="14"/>
    </row>
    <row r="522" spans="4:5" ht="15.75" customHeight="1" x14ac:dyDescent="0.2">
      <c r="D522" s="14"/>
      <c r="E522" s="14"/>
    </row>
    <row r="523" spans="4:5" ht="15.75" customHeight="1" x14ac:dyDescent="0.2">
      <c r="D523" s="14"/>
      <c r="E523" s="14"/>
    </row>
    <row r="524" spans="4:5" ht="15.75" customHeight="1" x14ac:dyDescent="0.2">
      <c r="D524" s="14"/>
      <c r="E524" s="14"/>
    </row>
    <row r="525" spans="4:5" ht="15.75" customHeight="1" x14ac:dyDescent="0.2">
      <c r="D525" s="14"/>
      <c r="E525" s="14"/>
    </row>
    <row r="526" spans="4:5" ht="15.75" customHeight="1" x14ac:dyDescent="0.2">
      <c r="D526" s="14"/>
      <c r="E526" s="14"/>
    </row>
    <row r="527" spans="4:5" ht="15.75" customHeight="1" x14ac:dyDescent="0.2">
      <c r="D527" s="14"/>
      <c r="E527" s="14"/>
    </row>
    <row r="528" spans="4:5" ht="15.75" customHeight="1" x14ac:dyDescent="0.2">
      <c r="D528" s="14"/>
      <c r="E528" s="14"/>
    </row>
    <row r="529" spans="4:5" ht="15.75" customHeight="1" x14ac:dyDescent="0.2">
      <c r="D529" s="14"/>
      <c r="E529" s="14"/>
    </row>
    <row r="530" spans="4:5" ht="15.75" customHeight="1" x14ac:dyDescent="0.2">
      <c r="D530" s="14"/>
      <c r="E530" s="14"/>
    </row>
    <row r="531" spans="4:5" ht="15.75" customHeight="1" x14ac:dyDescent="0.2">
      <c r="D531" s="14"/>
      <c r="E531" s="14"/>
    </row>
    <row r="532" spans="4:5" ht="15.75" customHeight="1" x14ac:dyDescent="0.2">
      <c r="D532" s="14"/>
      <c r="E532" s="14"/>
    </row>
    <row r="533" spans="4:5" ht="15.75" customHeight="1" x14ac:dyDescent="0.2">
      <c r="D533" s="14"/>
      <c r="E533" s="14"/>
    </row>
    <row r="534" spans="4:5" ht="15.75" customHeight="1" x14ac:dyDescent="0.2">
      <c r="D534" s="14"/>
      <c r="E534" s="14"/>
    </row>
    <row r="535" spans="4:5" ht="15.75" customHeight="1" x14ac:dyDescent="0.2">
      <c r="D535" s="14"/>
      <c r="E535" s="14"/>
    </row>
    <row r="536" spans="4:5" ht="15.75" customHeight="1" x14ac:dyDescent="0.2">
      <c r="D536" s="14"/>
      <c r="E536" s="14"/>
    </row>
    <row r="537" spans="4:5" ht="15.75" customHeight="1" x14ac:dyDescent="0.2">
      <c r="D537" s="14"/>
      <c r="E537" s="14"/>
    </row>
    <row r="538" spans="4:5" ht="15.75" customHeight="1" x14ac:dyDescent="0.2">
      <c r="D538" s="14"/>
      <c r="E538" s="14"/>
    </row>
    <row r="539" spans="4:5" ht="15.75" customHeight="1" x14ac:dyDescent="0.2">
      <c r="D539" s="14"/>
      <c r="E539" s="14"/>
    </row>
    <row r="540" spans="4:5" ht="15.75" customHeight="1" x14ac:dyDescent="0.2">
      <c r="D540" s="14"/>
      <c r="E540" s="14"/>
    </row>
    <row r="541" spans="4:5" ht="15.75" customHeight="1" x14ac:dyDescent="0.2">
      <c r="D541" s="14"/>
      <c r="E541" s="14"/>
    </row>
    <row r="542" spans="4:5" ht="15.75" customHeight="1" x14ac:dyDescent="0.2">
      <c r="D542" s="14"/>
      <c r="E542" s="14"/>
    </row>
    <row r="543" spans="4:5" ht="15.75" customHeight="1" x14ac:dyDescent="0.2">
      <c r="D543" s="14"/>
      <c r="E543" s="14"/>
    </row>
    <row r="544" spans="4:5" ht="15.75" customHeight="1" x14ac:dyDescent="0.2">
      <c r="D544" s="14"/>
      <c r="E544" s="14"/>
    </row>
    <row r="545" spans="4:5" ht="15.75" customHeight="1" x14ac:dyDescent="0.2">
      <c r="D545" s="14"/>
      <c r="E545" s="14"/>
    </row>
    <row r="546" spans="4:5" ht="15.75" customHeight="1" x14ac:dyDescent="0.2">
      <c r="D546" s="14"/>
      <c r="E546" s="14"/>
    </row>
    <row r="547" spans="4:5" ht="15.75" customHeight="1" x14ac:dyDescent="0.2">
      <c r="D547" s="14"/>
      <c r="E547" s="14"/>
    </row>
    <row r="548" spans="4:5" ht="15.75" customHeight="1" x14ac:dyDescent="0.2">
      <c r="D548" s="14"/>
      <c r="E548" s="14"/>
    </row>
    <row r="549" spans="4:5" ht="15.75" customHeight="1" x14ac:dyDescent="0.2">
      <c r="D549" s="14"/>
      <c r="E549" s="14"/>
    </row>
    <row r="550" spans="4:5" ht="15.75" customHeight="1" x14ac:dyDescent="0.2">
      <c r="D550" s="14"/>
      <c r="E550" s="14"/>
    </row>
    <row r="551" spans="4:5" ht="15.75" customHeight="1" x14ac:dyDescent="0.2">
      <c r="D551" s="14"/>
      <c r="E551" s="14"/>
    </row>
    <row r="552" spans="4:5" ht="15.75" customHeight="1" x14ac:dyDescent="0.2">
      <c r="D552" s="14"/>
      <c r="E552" s="14"/>
    </row>
    <row r="553" spans="4:5" ht="15.75" customHeight="1" x14ac:dyDescent="0.2">
      <c r="D553" s="14"/>
      <c r="E553" s="14"/>
    </row>
    <row r="554" spans="4:5" ht="15.75" customHeight="1" x14ac:dyDescent="0.2">
      <c r="D554" s="14"/>
      <c r="E554" s="14"/>
    </row>
    <row r="555" spans="4:5" ht="15.75" customHeight="1" x14ac:dyDescent="0.2">
      <c r="D555" s="14"/>
      <c r="E555" s="14"/>
    </row>
    <row r="556" spans="4:5" ht="15.75" customHeight="1" x14ac:dyDescent="0.2">
      <c r="D556" s="14"/>
      <c r="E556" s="14"/>
    </row>
    <row r="557" spans="4:5" ht="15.75" customHeight="1" x14ac:dyDescent="0.2">
      <c r="D557" s="14"/>
      <c r="E557" s="14"/>
    </row>
    <row r="558" spans="4:5" ht="15.75" customHeight="1" x14ac:dyDescent="0.2">
      <c r="D558" s="14"/>
      <c r="E558" s="14"/>
    </row>
    <row r="559" spans="4:5" ht="15.75" customHeight="1" x14ac:dyDescent="0.2">
      <c r="D559" s="14"/>
      <c r="E559" s="14"/>
    </row>
    <row r="560" spans="4:5" ht="15.75" customHeight="1" x14ac:dyDescent="0.2">
      <c r="D560" s="14"/>
      <c r="E560" s="14"/>
    </row>
    <row r="561" spans="4:5" ht="15.75" customHeight="1" x14ac:dyDescent="0.2">
      <c r="D561" s="14"/>
      <c r="E561" s="14"/>
    </row>
    <row r="562" spans="4:5" ht="15.75" customHeight="1" x14ac:dyDescent="0.2">
      <c r="D562" s="14"/>
      <c r="E562" s="14"/>
    </row>
    <row r="563" spans="4:5" ht="15.75" customHeight="1" x14ac:dyDescent="0.2">
      <c r="D563" s="14"/>
      <c r="E563" s="14"/>
    </row>
    <row r="564" spans="4:5" ht="15.75" customHeight="1" x14ac:dyDescent="0.2">
      <c r="D564" s="14"/>
      <c r="E564" s="14"/>
    </row>
    <row r="565" spans="4:5" ht="15.75" customHeight="1" x14ac:dyDescent="0.2">
      <c r="D565" s="14"/>
      <c r="E565" s="14"/>
    </row>
    <row r="566" spans="4:5" ht="15.75" customHeight="1" x14ac:dyDescent="0.2">
      <c r="D566" s="14"/>
      <c r="E566" s="14"/>
    </row>
    <row r="567" spans="4:5" ht="15.75" customHeight="1" x14ac:dyDescent="0.2">
      <c r="D567" s="14"/>
      <c r="E567" s="14"/>
    </row>
    <row r="568" spans="4:5" ht="15.75" customHeight="1" x14ac:dyDescent="0.2">
      <c r="D568" s="14"/>
      <c r="E568" s="14"/>
    </row>
    <row r="569" spans="4:5" ht="15.75" customHeight="1" x14ac:dyDescent="0.2">
      <c r="D569" s="14"/>
      <c r="E569" s="14"/>
    </row>
    <row r="570" spans="4:5" ht="15.75" customHeight="1" x14ac:dyDescent="0.2">
      <c r="D570" s="14"/>
      <c r="E570" s="14"/>
    </row>
    <row r="571" spans="4:5" ht="15.75" customHeight="1" x14ac:dyDescent="0.2">
      <c r="D571" s="14"/>
      <c r="E571" s="14"/>
    </row>
    <row r="572" spans="4:5" ht="15.75" customHeight="1" x14ac:dyDescent="0.2">
      <c r="D572" s="14"/>
      <c r="E572" s="14"/>
    </row>
    <row r="573" spans="4:5" ht="15.75" customHeight="1" x14ac:dyDescent="0.2">
      <c r="D573" s="14"/>
      <c r="E573" s="14"/>
    </row>
    <row r="574" spans="4:5" ht="15.75" customHeight="1" x14ac:dyDescent="0.2">
      <c r="D574" s="14"/>
      <c r="E574" s="14"/>
    </row>
    <row r="575" spans="4:5" ht="15.75" customHeight="1" x14ac:dyDescent="0.2">
      <c r="D575" s="14"/>
      <c r="E575" s="14"/>
    </row>
    <row r="576" spans="4:5" ht="15.75" customHeight="1" x14ac:dyDescent="0.2">
      <c r="D576" s="14"/>
      <c r="E576" s="14"/>
    </row>
    <row r="577" spans="4:5" ht="15.75" customHeight="1" x14ac:dyDescent="0.2">
      <c r="D577" s="14"/>
      <c r="E577" s="14"/>
    </row>
    <row r="578" spans="4:5" ht="15.75" customHeight="1" x14ac:dyDescent="0.2">
      <c r="D578" s="14"/>
      <c r="E578" s="14"/>
    </row>
    <row r="579" spans="4:5" ht="15.75" customHeight="1" x14ac:dyDescent="0.2">
      <c r="D579" s="14"/>
      <c r="E579" s="14"/>
    </row>
    <row r="580" spans="4:5" ht="15.75" customHeight="1" x14ac:dyDescent="0.2">
      <c r="D580" s="14"/>
      <c r="E580" s="14"/>
    </row>
    <row r="581" spans="4:5" ht="15.75" customHeight="1" x14ac:dyDescent="0.2">
      <c r="D581" s="14"/>
      <c r="E581" s="14"/>
    </row>
    <row r="582" spans="4:5" ht="15.75" customHeight="1" x14ac:dyDescent="0.2">
      <c r="D582" s="14"/>
      <c r="E582" s="14"/>
    </row>
    <row r="583" spans="4:5" ht="15.75" customHeight="1" x14ac:dyDescent="0.2">
      <c r="D583" s="14"/>
      <c r="E583" s="14"/>
    </row>
    <row r="584" spans="4:5" ht="15.75" customHeight="1" x14ac:dyDescent="0.2">
      <c r="D584" s="14"/>
      <c r="E584" s="14"/>
    </row>
    <row r="585" spans="4:5" ht="15.75" customHeight="1" x14ac:dyDescent="0.2">
      <c r="D585" s="14"/>
      <c r="E585" s="14"/>
    </row>
    <row r="586" spans="4:5" ht="15.75" customHeight="1" x14ac:dyDescent="0.2">
      <c r="D586" s="14"/>
      <c r="E586" s="14"/>
    </row>
    <row r="587" spans="4:5" ht="15.75" customHeight="1" x14ac:dyDescent="0.2">
      <c r="D587" s="14"/>
      <c r="E587" s="14"/>
    </row>
    <row r="588" spans="4:5" ht="15.75" customHeight="1" x14ac:dyDescent="0.2">
      <c r="D588" s="14"/>
      <c r="E588" s="14"/>
    </row>
    <row r="589" spans="4:5" ht="15.75" customHeight="1" x14ac:dyDescent="0.2">
      <c r="D589" s="14"/>
      <c r="E589" s="14"/>
    </row>
    <row r="590" spans="4:5" ht="15.75" customHeight="1" x14ac:dyDescent="0.2">
      <c r="D590" s="14"/>
      <c r="E590" s="14"/>
    </row>
    <row r="591" spans="4:5" ht="15.75" customHeight="1" x14ac:dyDescent="0.2">
      <c r="D591" s="14"/>
      <c r="E591" s="14"/>
    </row>
    <row r="592" spans="4:5" ht="15.75" customHeight="1" x14ac:dyDescent="0.2">
      <c r="D592" s="14"/>
      <c r="E592" s="14"/>
    </row>
    <row r="593" spans="4:5" ht="15.75" customHeight="1" x14ac:dyDescent="0.2">
      <c r="D593" s="14"/>
      <c r="E593" s="14"/>
    </row>
    <row r="594" spans="4:5" ht="15.75" customHeight="1" x14ac:dyDescent="0.2">
      <c r="D594" s="14"/>
      <c r="E594" s="14"/>
    </row>
    <row r="595" spans="4:5" ht="15.75" customHeight="1" x14ac:dyDescent="0.2">
      <c r="D595" s="14"/>
      <c r="E595" s="14"/>
    </row>
    <row r="596" spans="4:5" ht="15.75" customHeight="1" x14ac:dyDescent="0.2">
      <c r="D596" s="14"/>
      <c r="E596" s="14"/>
    </row>
    <row r="597" spans="4:5" ht="15.75" customHeight="1" x14ac:dyDescent="0.2">
      <c r="D597" s="14"/>
      <c r="E597" s="14"/>
    </row>
    <row r="598" spans="4:5" ht="15.75" customHeight="1" x14ac:dyDescent="0.2">
      <c r="D598" s="14"/>
      <c r="E598" s="14"/>
    </row>
    <row r="599" spans="4:5" ht="15.75" customHeight="1" x14ac:dyDescent="0.2">
      <c r="D599" s="14"/>
      <c r="E599" s="14"/>
    </row>
    <row r="600" spans="4:5" ht="15.75" customHeight="1" x14ac:dyDescent="0.2">
      <c r="D600" s="14"/>
      <c r="E600" s="14"/>
    </row>
    <row r="601" spans="4:5" ht="15.75" customHeight="1" x14ac:dyDescent="0.2">
      <c r="D601" s="14"/>
      <c r="E601" s="14"/>
    </row>
    <row r="602" spans="4:5" ht="15.75" customHeight="1" x14ac:dyDescent="0.2">
      <c r="D602" s="14"/>
      <c r="E602" s="14"/>
    </row>
    <row r="603" spans="4:5" ht="15.75" customHeight="1" x14ac:dyDescent="0.2">
      <c r="D603" s="14"/>
      <c r="E603" s="14"/>
    </row>
    <row r="604" spans="4:5" ht="15.75" customHeight="1" x14ac:dyDescent="0.2">
      <c r="D604" s="14"/>
      <c r="E604" s="14"/>
    </row>
    <row r="605" spans="4:5" ht="15.75" customHeight="1" x14ac:dyDescent="0.2">
      <c r="D605" s="14"/>
      <c r="E605" s="14"/>
    </row>
    <row r="606" spans="4:5" ht="15.75" customHeight="1" x14ac:dyDescent="0.2">
      <c r="D606" s="14"/>
      <c r="E606" s="14"/>
    </row>
    <row r="607" spans="4:5" ht="15.75" customHeight="1" x14ac:dyDescent="0.2">
      <c r="D607" s="14"/>
      <c r="E607" s="14"/>
    </row>
    <row r="608" spans="4:5" ht="15.75" customHeight="1" x14ac:dyDescent="0.2">
      <c r="D608" s="14"/>
      <c r="E608" s="14"/>
    </row>
    <row r="609" spans="4:5" ht="15.75" customHeight="1" x14ac:dyDescent="0.2">
      <c r="D609" s="14"/>
      <c r="E609" s="14"/>
    </row>
    <row r="610" spans="4:5" ht="15.75" customHeight="1" x14ac:dyDescent="0.2">
      <c r="D610" s="14"/>
      <c r="E610" s="14"/>
    </row>
    <row r="611" spans="4:5" ht="15.75" customHeight="1" x14ac:dyDescent="0.2">
      <c r="D611" s="14"/>
      <c r="E611" s="14"/>
    </row>
    <row r="612" spans="4:5" ht="15.75" customHeight="1" x14ac:dyDescent="0.2">
      <c r="D612" s="14"/>
      <c r="E612" s="14"/>
    </row>
    <row r="613" spans="4:5" ht="15.75" customHeight="1" x14ac:dyDescent="0.2">
      <c r="D613" s="14"/>
      <c r="E613" s="14"/>
    </row>
    <row r="614" spans="4:5" ht="15.75" customHeight="1" x14ac:dyDescent="0.2">
      <c r="D614" s="14"/>
      <c r="E614" s="14"/>
    </row>
    <row r="615" spans="4:5" ht="15.75" customHeight="1" x14ac:dyDescent="0.2">
      <c r="D615" s="14"/>
      <c r="E615" s="14"/>
    </row>
    <row r="616" spans="4:5" ht="15.75" customHeight="1" x14ac:dyDescent="0.2">
      <c r="D616" s="14"/>
      <c r="E616" s="14"/>
    </row>
    <row r="617" spans="4:5" ht="15.75" customHeight="1" x14ac:dyDescent="0.2">
      <c r="D617" s="14"/>
      <c r="E617" s="14"/>
    </row>
    <row r="618" spans="4:5" ht="15.75" customHeight="1" x14ac:dyDescent="0.2">
      <c r="D618" s="14"/>
      <c r="E618" s="14"/>
    </row>
    <row r="619" spans="4:5" ht="15.75" customHeight="1" x14ac:dyDescent="0.2">
      <c r="D619" s="14"/>
      <c r="E619" s="14"/>
    </row>
    <row r="620" spans="4:5" ht="15.75" customHeight="1" x14ac:dyDescent="0.2">
      <c r="D620" s="14"/>
      <c r="E620" s="14"/>
    </row>
    <row r="621" spans="4:5" ht="15.75" customHeight="1" x14ac:dyDescent="0.2">
      <c r="D621" s="14"/>
      <c r="E621" s="14"/>
    </row>
    <row r="622" spans="4:5" ht="15.75" customHeight="1" x14ac:dyDescent="0.2">
      <c r="D622" s="14"/>
      <c r="E622" s="14"/>
    </row>
    <row r="623" spans="4:5" ht="15.75" customHeight="1" x14ac:dyDescent="0.2">
      <c r="D623" s="14"/>
      <c r="E623" s="14"/>
    </row>
    <row r="624" spans="4:5" ht="15.75" customHeight="1" x14ac:dyDescent="0.2">
      <c r="D624" s="14"/>
      <c r="E624" s="14"/>
    </row>
    <row r="625" spans="4:5" ht="15.75" customHeight="1" x14ac:dyDescent="0.2">
      <c r="D625" s="14"/>
      <c r="E625" s="14"/>
    </row>
    <row r="626" spans="4:5" ht="15.75" customHeight="1" x14ac:dyDescent="0.2">
      <c r="D626" s="14"/>
      <c r="E626" s="14"/>
    </row>
    <row r="627" spans="4:5" ht="15.75" customHeight="1" x14ac:dyDescent="0.2">
      <c r="D627" s="14"/>
      <c r="E627" s="14"/>
    </row>
    <row r="628" spans="4:5" ht="15.75" customHeight="1" x14ac:dyDescent="0.2">
      <c r="D628" s="14"/>
      <c r="E628" s="14"/>
    </row>
    <row r="629" spans="4:5" ht="15.75" customHeight="1" x14ac:dyDescent="0.2">
      <c r="D629" s="14"/>
      <c r="E629" s="14"/>
    </row>
    <row r="630" spans="4:5" ht="15.75" customHeight="1" x14ac:dyDescent="0.2">
      <c r="D630" s="14"/>
      <c r="E630" s="14"/>
    </row>
    <row r="631" spans="4:5" ht="15.75" customHeight="1" x14ac:dyDescent="0.2">
      <c r="D631" s="14"/>
      <c r="E631" s="14"/>
    </row>
    <row r="632" spans="4:5" ht="15.75" customHeight="1" x14ac:dyDescent="0.2">
      <c r="D632" s="14"/>
      <c r="E632" s="14"/>
    </row>
    <row r="633" spans="4:5" ht="15.75" customHeight="1" x14ac:dyDescent="0.2">
      <c r="D633" s="14"/>
      <c r="E633" s="14"/>
    </row>
    <row r="634" spans="4:5" ht="15.75" customHeight="1" x14ac:dyDescent="0.2">
      <c r="D634" s="14"/>
      <c r="E634" s="14"/>
    </row>
    <row r="635" spans="4:5" ht="15.75" customHeight="1" x14ac:dyDescent="0.2">
      <c r="D635" s="14"/>
      <c r="E635" s="14"/>
    </row>
    <row r="636" spans="4:5" ht="15.75" customHeight="1" x14ac:dyDescent="0.2">
      <c r="D636" s="14"/>
      <c r="E636" s="14"/>
    </row>
    <row r="637" spans="4:5" ht="15.75" customHeight="1" x14ac:dyDescent="0.2">
      <c r="D637" s="14"/>
      <c r="E637" s="14"/>
    </row>
    <row r="638" spans="4:5" ht="15.75" customHeight="1" x14ac:dyDescent="0.2">
      <c r="D638" s="14"/>
      <c r="E638" s="14"/>
    </row>
    <row r="639" spans="4:5" ht="15.75" customHeight="1" x14ac:dyDescent="0.2">
      <c r="D639" s="14"/>
      <c r="E639" s="14"/>
    </row>
    <row r="640" spans="4:5" ht="15.75" customHeight="1" x14ac:dyDescent="0.2">
      <c r="D640" s="14"/>
      <c r="E640" s="14"/>
    </row>
    <row r="641" spans="4:5" ht="15.75" customHeight="1" x14ac:dyDescent="0.2">
      <c r="D641" s="14"/>
      <c r="E641" s="14"/>
    </row>
    <row r="642" spans="4:5" ht="15.75" customHeight="1" x14ac:dyDescent="0.2">
      <c r="D642" s="14"/>
      <c r="E642" s="14"/>
    </row>
    <row r="643" spans="4:5" ht="15.75" customHeight="1" x14ac:dyDescent="0.2">
      <c r="D643" s="14"/>
      <c r="E643" s="14"/>
    </row>
    <row r="644" spans="4:5" ht="15.75" customHeight="1" x14ac:dyDescent="0.2">
      <c r="D644" s="14"/>
      <c r="E644" s="14"/>
    </row>
    <row r="645" spans="4:5" ht="15.75" customHeight="1" x14ac:dyDescent="0.2">
      <c r="D645" s="14"/>
      <c r="E645" s="14"/>
    </row>
    <row r="646" spans="4:5" ht="15.75" customHeight="1" x14ac:dyDescent="0.2">
      <c r="D646" s="14"/>
      <c r="E646" s="14"/>
    </row>
    <row r="647" spans="4:5" ht="15.75" customHeight="1" x14ac:dyDescent="0.2">
      <c r="D647" s="14"/>
      <c r="E647" s="14"/>
    </row>
    <row r="648" spans="4:5" ht="15.75" customHeight="1" x14ac:dyDescent="0.2">
      <c r="D648" s="14"/>
      <c r="E648" s="14"/>
    </row>
    <row r="649" spans="4:5" ht="15.75" customHeight="1" x14ac:dyDescent="0.2">
      <c r="D649" s="14"/>
      <c r="E649" s="14"/>
    </row>
    <row r="650" spans="4:5" ht="15.75" customHeight="1" x14ac:dyDescent="0.2">
      <c r="D650" s="14"/>
      <c r="E650" s="14"/>
    </row>
    <row r="651" spans="4:5" ht="15.75" customHeight="1" x14ac:dyDescent="0.2">
      <c r="D651" s="14"/>
      <c r="E651" s="14"/>
    </row>
    <row r="652" spans="4:5" ht="15.75" customHeight="1" x14ac:dyDescent="0.2">
      <c r="D652" s="14"/>
      <c r="E652" s="14"/>
    </row>
    <row r="653" spans="4:5" ht="15.75" customHeight="1" x14ac:dyDescent="0.2">
      <c r="D653" s="14"/>
      <c r="E653" s="14"/>
    </row>
    <row r="654" spans="4:5" ht="15.75" customHeight="1" x14ac:dyDescent="0.2">
      <c r="D654" s="14"/>
      <c r="E654" s="14"/>
    </row>
    <row r="655" spans="4:5" ht="15.75" customHeight="1" x14ac:dyDescent="0.2">
      <c r="D655" s="14"/>
      <c r="E655" s="14"/>
    </row>
    <row r="656" spans="4:5" ht="15.75" customHeight="1" x14ac:dyDescent="0.2">
      <c r="D656" s="14"/>
      <c r="E656" s="14"/>
    </row>
    <row r="657" spans="4:5" ht="15.75" customHeight="1" x14ac:dyDescent="0.2">
      <c r="D657" s="14"/>
      <c r="E657" s="14"/>
    </row>
    <row r="658" spans="4:5" ht="15.75" customHeight="1" x14ac:dyDescent="0.2">
      <c r="D658" s="14"/>
      <c r="E658" s="14"/>
    </row>
    <row r="659" spans="4:5" ht="15.75" customHeight="1" x14ac:dyDescent="0.2">
      <c r="D659" s="14"/>
      <c r="E659" s="14"/>
    </row>
    <row r="660" spans="4:5" ht="15.75" customHeight="1" x14ac:dyDescent="0.2">
      <c r="D660" s="14"/>
      <c r="E660" s="14"/>
    </row>
    <row r="661" spans="4:5" ht="15.75" customHeight="1" x14ac:dyDescent="0.2">
      <c r="D661" s="14"/>
      <c r="E661" s="14"/>
    </row>
    <row r="662" spans="4:5" ht="15.75" customHeight="1" x14ac:dyDescent="0.2">
      <c r="D662" s="14"/>
      <c r="E662" s="14"/>
    </row>
    <row r="663" spans="4:5" ht="15.75" customHeight="1" x14ac:dyDescent="0.2">
      <c r="D663" s="14"/>
      <c r="E663" s="14"/>
    </row>
    <row r="664" spans="4:5" ht="15.75" customHeight="1" x14ac:dyDescent="0.2">
      <c r="D664" s="14"/>
      <c r="E664" s="14"/>
    </row>
    <row r="665" spans="4:5" ht="15.75" customHeight="1" x14ac:dyDescent="0.2">
      <c r="D665" s="14"/>
      <c r="E665" s="14"/>
    </row>
    <row r="666" spans="4:5" ht="15.75" customHeight="1" x14ac:dyDescent="0.2">
      <c r="D666" s="14"/>
      <c r="E666" s="14"/>
    </row>
    <row r="667" spans="4:5" ht="15.75" customHeight="1" x14ac:dyDescent="0.2">
      <c r="D667" s="14"/>
      <c r="E667" s="14"/>
    </row>
    <row r="668" spans="4:5" ht="15.75" customHeight="1" x14ac:dyDescent="0.2">
      <c r="D668" s="14"/>
      <c r="E668" s="14"/>
    </row>
    <row r="669" spans="4:5" ht="15.75" customHeight="1" x14ac:dyDescent="0.2">
      <c r="D669" s="14"/>
      <c r="E669" s="14"/>
    </row>
    <row r="670" spans="4:5" ht="15.75" customHeight="1" x14ac:dyDescent="0.2">
      <c r="D670" s="14"/>
      <c r="E670" s="14"/>
    </row>
    <row r="671" spans="4:5" ht="15.75" customHeight="1" x14ac:dyDescent="0.2">
      <c r="D671" s="14"/>
      <c r="E671" s="14"/>
    </row>
    <row r="672" spans="4:5" ht="15.75" customHeight="1" x14ac:dyDescent="0.2">
      <c r="D672" s="14"/>
      <c r="E672" s="14"/>
    </row>
    <row r="673" spans="4:5" ht="15.75" customHeight="1" x14ac:dyDescent="0.2">
      <c r="D673" s="14"/>
      <c r="E673" s="14"/>
    </row>
    <row r="674" spans="4:5" ht="15.75" customHeight="1" x14ac:dyDescent="0.2">
      <c r="D674" s="14"/>
      <c r="E674" s="14"/>
    </row>
    <row r="675" spans="4:5" ht="15.75" customHeight="1" x14ac:dyDescent="0.2">
      <c r="D675" s="14"/>
      <c r="E675" s="14"/>
    </row>
    <row r="676" spans="4:5" ht="15.75" customHeight="1" x14ac:dyDescent="0.2">
      <c r="D676" s="14"/>
      <c r="E676" s="14"/>
    </row>
    <row r="677" spans="4:5" ht="15.75" customHeight="1" x14ac:dyDescent="0.2">
      <c r="D677" s="14"/>
      <c r="E677" s="14"/>
    </row>
    <row r="678" spans="4:5" ht="15.75" customHeight="1" x14ac:dyDescent="0.2">
      <c r="D678" s="14"/>
      <c r="E678" s="14"/>
    </row>
    <row r="679" spans="4:5" ht="15.75" customHeight="1" x14ac:dyDescent="0.2">
      <c r="D679" s="14"/>
      <c r="E679" s="14"/>
    </row>
    <row r="680" spans="4:5" ht="15.75" customHeight="1" x14ac:dyDescent="0.2">
      <c r="D680" s="14"/>
      <c r="E680" s="14"/>
    </row>
    <row r="681" spans="4:5" ht="15.75" customHeight="1" x14ac:dyDescent="0.2">
      <c r="D681" s="14"/>
      <c r="E681" s="14"/>
    </row>
    <row r="682" spans="4:5" ht="15.75" customHeight="1" x14ac:dyDescent="0.2">
      <c r="D682" s="14"/>
      <c r="E682" s="14"/>
    </row>
    <row r="683" spans="4:5" ht="15.75" customHeight="1" x14ac:dyDescent="0.2">
      <c r="D683" s="14"/>
      <c r="E683" s="14"/>
    </row>
    <row r="684" spans="4:5" ht="15.75" customHeight="1" x14ac:dyDescent="0.2">
      <c r="D684" s="14"/>
      <c r="E684" s="14"/>
    </row>
    <row r="685" spans="4:5" ht="15.75" customHeight="1" x14ac:dyDescent="0.2">
      <c r="D685" s="14"/>
      <c r="E685" s="14"/>
    </row>
    <row r="686" spans="4:5" ht="15.75" customHeight="1" x14ac:dyDescent="0.2">
      <c r="D686" s="14"/>
      <c r="E686" s="14"/>
    </row>
    <row r="687" spans="4:5" ht="15.75" customHeight="1" x14ac:dyDescent="0.2">
      <c r="D687" s="14"/>
      <c r="E687" s="14"/>
    </row>
    <row r="688" spans="4:5" ht="15.75" customHeight="1" x14ac:dyDescent="0.2">
      <c r="D688" s="14"/>
      <c r="E688" s="14"/>
    </row>
    <row r="689" spans="4:5" ht="15.75" customHeight="1" x14ac:dyDescent="0.2">
      <c r="D689" s="14"/>
      <c r="E689" s="14"/>
    </row>
    <row r="690" spans="4:5" ht="15.75" customHeight="1" x14ac:dyDescent="0.2">
      <c r="D690" s="14"/>
      <c r="E690" s="14"/>
    </row>
    <row r="691" spans="4:5" ht="15.75" customHeight="1" x14ac:dyDescent="0.2">
      <c r="D691" s="14"/>
      <c r="E691" s="14"/>
    </row>
    <row r="692" spans="4:5" ht="15.75" customHeight="1" x14ac:dyDescent="0.2">
      <c r="D692" s="14"/>
      <c r="E692" s="14"/>
    </row>
    <row r="693" spans="4:5" ht="15.75" customHeight="1" x14ac:dyDescent="0.2">
      <c r="D693" s="14"/>
      <c r="E693" s="14"/>
    </row>
    <row r="694" spans="4:5" ht="15.75" customHeight="1" x14ac:dyDescent="0.2">
      <c r="D694" s="14"/>
      <c r="E694" s="14"/>
    </row>
    <row r="695" spans="4:5" ht="15.75" customHeight="1" x14ac:dyDescent="0.2">
      <c r="D695" s="14"/>
      <c r="E695" s="14"/>
    </row>
    <row r="696" spans="4:5" ht="15.75" customHeight="1" x14ac:dyDescent="0.2">
      <c r="D696" s="14"/>
      <c r="E696" s="14"/>
    </row>
    <row r="697" spans="4:5" ht="15.75" customHeight="1" x14ac:dyDescent="0.2">
      <c r="D697" s="14"/>
      <c r="E697" s="14"/>
    </row>
    <row r="698" spans="4:5" ht="15.75" customHeight="1" x14ac:dyDescent="0.2">
      <c r="D698" s="14"/>
      <c r="E698" s="14"/>
    </row>
    <row r="699" spans="4:5" ht="15.75" customHeight="1" x14ac:dyDescent="0.2">
      <c r="D699" s="14"/>
      <c r="E699" s="14"/>
    </row>
    <row r="700" spans="4:5" ht="15.75" customHeight="1" x14ac:dyDescent="0.2">
      <c r="D700" s="14"/>
      <c r="E700" s="14"/>
    </row>
    <row r="701" spans="4:5" ht="15.75" customHeight="1" x14ac:dyDescent="0.2">
      <c r="D701" s="14"/>
      <c r="E701" s="14"/>
    </row>
    <row r="702" spans="4:5" ht="15.75" customHeight="1" x14ac:dyDescent="0.2">
      <c r="D702" s="14"/>
      <c r="E702" s="14"/>
    </row>
    <row r="703" spans="4:5" ht="15.75" customHeight="1" x14ac:dyDescent="0.2">
      <c r="D703" s="14"/>
      <c r="E703" s="14"/>
    </row>
    <row r="704" spans="4:5" ht="15.75" customHeight="1" x14ac:dyDescent="0.2">
      <c r="D704" s="14"/>
      <c r="E704" s="14"/>
    </row>
    <row r="705" spans="4:5" ht="15.75" customHeight="1" x14ac:dyDescent="0.2">
      <c r="D705" s="14"/>
      <c r="E705" s="14"/>
    </row>
    <row r="706" spans="4:5" ht="15.75" customHeight="1" x14ac:dyDescent="0.2">
      <c r="D706" s="14"/>
      <c r="E706" s="14"/>
    </row>
    <row r="707" spans="4:5" ht="15.75" customHeight="1" x14ac:dyDescent="0.2">
      <c r="D707" s="14"/>
      <c r="E707" s="14"/>
    </row>
    <row r="708" spans="4:5" ht="15.75" customHeight="1" x14ac:dyDescent="0.2">
      <c r="D708" s="14"/>
      <c r="E708" s="14"/>
    </row>
    <row r="709" spans="4:5" ht="15.75" customHeight="1" x14ac:dyDescent="0.2">
      <c r="D709" s="14"/>
      <c r="E709" s="14"/>
    </row>
    <row r="710" spans="4:5" ht="15.75" customHeight="1" x14ac:dyDescent="0.2">
      <c r="D710" s="14"/>
      <c r="E710" s="14"/>
    </row>
    <row r="711" spans="4:5" ht="15.75" customHeight="1" x14ac:dyDescent="0.2">
      <c r="D711" s="14"/>
      <c r="E711" s="14"/>
    </row>
    <row r="712" spans="4:5" ht="15.75" customHeight="1" x14ac:dyDescent="0.2">
      <c r="D712" s="14"/>
      <c r="E712" s="14"/>
    </row>
    <row r="713" spans="4:5" ht="15.75" customHeight="1" x14ac:dyDescent="0.2">
      <c r="D713" s="14"/>
      <c r="E713" s="14"/>
    </row>
    <row r="714" spans="4:5" ht="15.75" customHeight="1" x14ac:dyDescent="0.2">
      <c r="D714" s="14"/>
      <c r="E714" s="14"/>
    </row>
    <row r="715" spans="4:5" ht="15.75" customHeight="1" x14ac:dyDescent="0.2">
      <c r="D715" s="14"/>
      <c r="E715" s="14"/>
    </row>
    <row r="716" spans="4:5" ht="15.75" customHeight="1" x14ac:dyDescent="0.2">
      <c r="D716" s="14"/>
      <c r="E716" s="14"/>
    </row>
    <row r="717" spans="4:5" ht="15.75" customHeight="1" x14ac:dyDescent="0.2">
      <c r="D717" s="14"/>
      <c r="E717" s="14"/>
    </row>
    <row r="718" spans="4:5" ht="15.75" customHeight="1" x14ac:dyDescent="0.2">
      <c r="D718" s="14"/>
      <c r="E718" s="14"/>
    </row>
    <row r="719" spans="4:5" ht="15.75" customHeight="1" x14ac:dyDescent="0.2">
      <c r="D719" s="14"/>
      <c r="E719" s="14"/>
    </row>
    <row r="720" spans="4:5" ht="15.75" customHeight="1" x14ac:dyDescent="0.2">
      <c r="D720" s="14"/>
      <c r="E720" s="14"/>
    </row>
    <row r="721" spans="4:5" ht="15.75" customHeight="1" x14ac:dyDescent="0.2">
      <c r="D721" s="14"/>
      <c r="E721" s="14"/>
    </row>
    <row r="722" spans="4:5" ht="15.75" customHeight="1" x14ac:dyDescent="0.2">
      <c r="D722" s="14"/>
      <c r="E722" s="14"/>
    </row>
    <row r="723" spans="4:5" ht="15.75" customHeight="1" x14ac:dyDescent="0.2">
      <c r="D723" s="14"/>
      <c r="E723" s="14"/>
    </row>
    <row r="724" spans="4:5" ht="15.75" customHeight="1" x14ac:dyDescent="0.2">
      <c r="D724" s="14"/>
      <c r="E724" s="14"/>
    </row>
    <row r="725" spans="4:5" ht="15.75" customHeight="1" x14ac:dyDescent="0.2">
      <c r="D725" s="14"/>
      <c r="E725" s="14"/>
    </row>
    <row r="726" spans="4:5" ht="15.75" customHeight="1" x14ac:dyDescent="0.2">
      <c r="D726" s="14"/>
      <c r="E726" s="14"/>
    </row>
    <row r="727" spans="4:5" ht="15.75" customHeight="1" x14ac:dyDescent="0.2">
      <c r="D727" s="14"/>
      <c r="E727" s="14"/>
    </row>
    <row r="728" spans="4:5" ht="15.75" customHeight="1" x14ac:dyDescent="0.2">
      <c r="D728" s="14"/>
      <c r="E728" s="14"/>
    </row>
    <row r="729" spans="4:5" ht="15.75" customHeight="1" x14ac:dyDescent="0.2">
      <c r="D729" s="14"/>
      <c r="E729" s="14"/>
    </row>
    <row r="730" spans="4:5" ht="15.75" customHeight="1" x14ac:dyDescent="0.2">
      <c r="D730" s="14"/>
      <c r="E730" s="14"/>
    </row>
    <row r="731" spans="4:5" ht="15.75" customHeight="1" x14ac:dyDescent="0.2">
      <c r="D731" s="14"/>
      <c r="E731" s="14"/>
    </row>
    <row r="732" spans="4:5" ht="15.75" customHeight="1" x14ac:dyDescent="0.2">
      <c r="D732" s="14"/>
      <c r="E732" s="14"/>
    </row>
    <row r="733" spans="4:5" ht="15.75" customHeight="1" x14ac:dyDescent="0.2">
      <c r="D733" s="14"/>
      <c r="E733" s="14"/>
    </row>
    <row r="734" spans="4:5" ht="15.75" customHeight="1" x14ac:dyDescent="0.2">
      <c r="D734" s="14"/>
      <c r="E734" s="14"/>
    </row>
    <row r="735" spans="4:5" ht="15.75" customHeight="1" x14ac:dyDescent="0.2">
      <c r="D735" s="14"/>
      <c r="E735" s="14"/>
    </row>
    <row r="736" spans="4:5" ht="15.75" customHeight="1" x14ac:dyDescent="0.2">
      <c r="D736" s="14"/>
      <c r="E736" s="14"/>
    </row>
    <row r="737" spans="4:5" ht="15.75" customHeight="1" x14ac:dyDescent="0.2">
      <c r="D737" s="14"/>
      <c r="E737" s="14"/>
    </row>
    <row r="738" spans="4:5" ht="15.75" customHeight="1" x14ac:dyDescent="0.2">
      <c r="D738" s="14"/>
      <c r="E738" s="14"/>
    </row>
    <row r="739" spans="4:5" ht="15.75" customHeight="1" x14ac:dyDescent="0.2">
      <c r="D739" s="14"/>
      <c r="E739" s="14"/>
    </row>
    <row r="740" spans="4:5" ht="15.75" customHeight="1" x14ac:dyDescent="0.2">
      <c r="D740" s="14"/>
      <c r="E740" s="14"/>
    </row>
    <row r="741" spans="4:5" ht="15.75" customHeight="1" x14ac:dyDescent="0.2">
      <c r="D741" s="14"/>
      <c r="E741" s="14"/>
    </row>
    <row r="742" spans="4:5" ht="15.75" customHeight="1" x14ac:dyDescent="0.2">
      <c r="D742" s="14"/>
      <c r="E742" s="14"/>
    </row>
    <row r="743" spans="4:5" ht="15.75" customHeight="1" x14ac:dyDescent="0.2">
      <c r="D743" s="14"/>
      <c r="E743" s="14"/>
    </row>
    <row r="744" spans="4:5" ht="15.75" customHeight="1" x14ac:dyDescent="0.2">
      <c r="D744" s="14"/>
      <c r="E744" s="14"/>
    </row>
    <row r="745" spans="4:5" ht="15.75" customHeight="1" x14ac:dyDescent="0.2">
      <c r="D745" s="14"/>
      <c r="E745" s="14"/>
    </row>
    <row r="746" spans="4:5" ht="15.75" customHeight="1" x14ac:dyDescent="0.2">
      <c r="D746" s="14"/>
      <c r="E746" s="14"/>
    </row>
    <row r="747" spans="4:5" ht="15.75" customHeight="1" x14ac:dyDescent="0.2">
      <c r="D747" s="14"/>
      <c r="E747" s="14"/>
    </row>
    <row r="748" spans="4:5" ht="15.75" customHeight="1" x14ac:dyDescent="0.2">
      <c r="D748" s="14"/>
      <c r="E748" s="14"/>
    </row>
    <row r="749" spans="4:5" ht="15.75" customHeight="1" x14ac:dyDescent="0.2">
      <c r="D749" s="14"/>
      <c r="E749" s="14"/>
    </row>
    <row r="750" spans="4:5" ht="15.75" customHeight="1" x14ac:dyDescent="0.2">
      <c r="D750" s="14"/>
      <c r="E750" s="14"/>
    </row>
    <row r="751" spans="4:5" ht="15.75" customHeight="1" x14ac:dyDescent="0.2">
      <c r="D751" s="14"/>
      <c r="E751" s="14"/>
    </row>
    <row r="752" spans="4:5" ht="15.75" customHeight="1" x14ac:dyDescent="0.2">
      <c r="D752" s="14"/>
      <c r="E752" s="14"/>
    </row>
    <row r="753" spans="4:5" ht="15.75" customHeight="1" x14ac:dyDescent="0.2">
      <c r="D753" s="14"/>
      <c r="E753" s="14"/>
    </row>
    <row r="754" spans="4:5" ht="15.75" customHeight="1" x14ac:dyDescent="0.2">
      <c r="D754" s="14"/>
      <c r="E754" s="14"/>
    </row>
    <row r="755" spans="4:5" ht="15.75" customHeight="1" x14ac:dyDescent="0.2">
      <c r="D755" s="14"/>
      <c r="E755" s="14"/>
    </row>
    <row r="756" spans="4:5" ht="15.75" customHeight="1" x14ac:dyDescent="0.2">
      <c r="D756" s="14"/>
      <c r="E756" s="14"/>
    </row>
    <row r="757" spans="4:5" ht="15.75" customHeight="1" x14ac:dyDescent="0.2">
      <c r="D757" s="14"/>
      <c r="E757" s="14"/>
    </row>
    <row r="758" spans="4:5" ht="15.75" customHeight="1" x14ac:dyDescent="0.2">
      <c r="D758" s="14"/>
      <c r="E758" s="14"/>
    </row>
    <row r="759" spans="4:5" ht="15.75" customHeight="1" x14ac:dyDescent="0.2">
      <c r="D759" s="14"/>
      <c r="E759" s="14"/>
    </row>
    <row r="760" spans="4:5" ht="15.75" customHeight="1" x14ac:dyDescent="0.2">
      <c r="D760" s="14"/>
      <c r="E760" s="14"/>
    </row>
    <row r="761" spans="4:5" ht="15.75" customHeight="1" x14ac:dyDescent="0.2">
      <c r="D761" s="14"/>
      <c r="E761" s="14"/>
    </row>
    <row r="762" spans="4:5" ht="15.75" customHeight="1" x14ac:dyDescent="0.2">
      <c r="D762" s="14"/>
      <c r="E762" s="14"/>
    </row>
    <row r="763" spans="4:5" ht="15.75" customHeight="1" x14ac:dyDescent="0.2">
      <c r="D763" s="14"/>
      <c r="E763" s="14"/>
    </row>
    <row r="764" spans="4:5" ht="15.75" customHeight="1" x14ac:dyDescent="0.2">
      <c r="D764" s="14"/>
      <c r="E764" s="14"/>
    </row>
    <row r="765" spans="4:5" ht="15.75" customHeight="1" x14ac:dyDescent="0.2">
      <c r="D765" s="14"/>
      <c r="E765" s="14"/>
    </row>
    <row r="766" spans="4:5" ht="15.75" customHeight="1" x14ac:dyDescent="0.2">
      <c r="D766" s="14"/>
      <c r="E766" s="14"/>
    </row>
    <row r="767" spans="4:5" ht="15.75" customHeight="1" x14ac:dyDescent="0.2">
      <c r="D767" s="14"/>
      <c r="E767" s="14"/>
    </row>
    <row r="768" spans="4:5" ht="15.75" customHeight="1" x14ac:dyDescent="0.2">
      <c r="D768" s="14"/>
      <c r="E768" s="14"/>
    </row>
    <row r="769" spans="4:5" ht="15.75" customHeight="1" x14ac:dyDescent="0.2">
      <c r="D769" s="14"/>
      <c r="E769" s="14"/>
    </row>
    <row r="770" spans="4:5" ht="15.75" customHeight="1" x14ac:dyDescent="0.2">
      <c r="D770" s="14"/>
      <c r="E770" s="14"/>
    </row>
    <row r="771" spans="4:5" ht="15.75" customHeight="1" x14ac:dyDescent="0.2">
      <c r="D771" s="14"/>
      <c r="E771" s="14"/>
    </row>
    <row r="772" spans="4:5" ht="15.75" customHeight="1" x14ac:dyDescent="0.2">
      <c r="D772" s="14"/>
      <c r="E772" s="14"/>
    </row>
    <row r="773" spans="4:5" ht="15.75" customHeight="1" x14ac:dyDescent="0.2">
      <c r="D773" s="14"/>
      <c r="E773" s="14"/>
    </row>
    <row r="774" spans="4:5" ht="15.75" customHeight="1" x14ac:dyDescent="0.2">
      <c r="D774" s="14"/>
      <c r="E774" s="14"/>
    </row>
    <row r="775" spans="4:5" ht="15.75" customHeight="1" x14ac:dyDescent="0.2">
      <c r="D775" s="14"/>
      <c r="E775" s="14"/>
    </row>
    <row r="776" spans="4:5" ht="15.75" customHeight="1" x14ac:dyDescent="0.2">
      <c r="D776" s="14"/>
      <c r="E776" s="14"/>
    </row>
    <row r="777" spans="4:5" ht="15.75" customHeight="1" x14ac:dyDescent="0.2">
      <c r="D777" s="14"/>
      <c r="E777" s="14"/>
    </row>
    <row r="778" spans="4:5" ht="15.75" customHeight="1" x14ac:dyDescent="0.2">
      <c r="D778" s="14"/>
      <c r="E778" s="14"/>
    </row>
    <row r="779" spans="4:5" ht="15.75" customHeight="1" x14ac:dyDescent="0.2">
      <c r="D779" s="14"/>
      <c r="E779" s="14"/>
    </row>
    <row r="780" spans="4:5" ht="15.75" customHeight="1" x14ac:dyDescent="0.2">
      <c r="D780" s="14"/>
      <c r="E780" s="14"/>
    </row>
    <row r="781" spans="4:5" ht="15.75" customHeight="1" x14ac:dyDescent="0.2">
      <c r="D781" s="14"/>
      <c r="E781" s="14"/>
    </row>
    <row r="782" spans="4:5" ht="15.75" customHeight="1" x14ac:dyDescent="0.2">
      <c r="D782" s="14"/>
      <c r="E782" s="14"/>
    </row>
    <row r="783" spans="4:5" ht="15.75" customHeight="1" x14ac:dyDescent="0.2">
      <c r="D783" s="14"/>
      <c r="E783" s="14"/>
    </row>
    <row r="784" spans="4:5" ht="15.75" customHeight="1" x14ac:dyDescent="0.2">
      <c r="D784" s="14"/>
      <c r="E784" s="14"/>
    </row>
    <row r="785" spans="4:5" ht="15.75" customHeight="1" x14ac:dyDescent="0.2">
      <c r="D785" s="14"/>
      <c r="E785" s="14"/>
    </row>
    <row r="786" spans="4:5" ht="15.75" customHeight="1" x14ac:dyDescent="0.2">
      <c r="D786" s="14"/>
      <c r="E786" s="14"/>
    </row>
    <row r="787" spans="4:5" ht="15.75" customHeight="1" x14ac:dyDescent="0.2">
      <c r="D787" s="14"/>
      <c r="E787" s="14"/>
    </row>
    <row r="788" spans="4:5" ht="15.75" customHeight="1" x14ac:dyDescent="0.2">
      <c r="D788" s="14"/>
      <c r="E788" s="14"/>
    </row>
    <row r="789" spans="4:5" ht="15.75" customHeight="1" x14ac:dyDescent="0.2">
      <c r="D789" s="14"/>
      <c r="E789" s="14"/>
    </row>
    <row r="790" spans="4:5" ht="15.75" customHeight="1" x14ac:dyDescent="0.2">
      <c r="D790" s="14"/>
      <c r="E790" s="14"/>
    </row>
    <row r="791" spans="4:5" ht="15.75" customHeight="1" x14ac:dyDescent="0.2">
      <c r="D791" s="14"/>
      <c r="E791" s="14"/>
    </row>
    <row r="792" spans="4:5" ht="15.75" customHeight="1" x14ac:dyDescent="0.2">
      <c r="D792" s="14"/>
      <c r="E792" s="14"/>
    </row>
    <row r="793" spans="4:5" ht="15.75" customHeight="1" x14ac:dyDescent="0.2">
      <c r="D793" s="14"/>
      <c r="E793" s="14"/>
    </row>
    <row r="794" spans="4:5" ht="15.75" customHeight="1" x14ac:dyDescent="0.2">
      <c r="D794" s="14"/>
      <c r="E794" s="14"/>
    </row>
    <row r="795" spans="4:5" ht="15.75" customHeight="1" x14ac:dyDescent="0.2">
      <c r="D795" s="14"/>
      <c r="E795" s="14"/>
    </row>
    <row r="796" spans="4:5" ht="15.75" customHeight="1" x14ac:dyDescent="0.2">
      <c r="D796" s="14"/>
      <c r="E796" s="14"/>
    </row>
    <row r="797" spans="4:5" ht="15.75" customHeight="1" x14ac:dyDescent="0.2">
      <c r="D797" s="14"/>
      <c r="E797" s="14"/>
    </row>
    <row r="798" spans="4:5" ht="15.75" customHeight="1" x14ac:dyDescent="0.2">
      <c r="D798" s="14"/>
      <c r="E798" s="14"/>
    </row>
    <row r="799" spans="4:5" ht="15.75" customHeight="1" x14ac:dyDescent="0.2">
      <c r="D799" s="14"/>
      <c r="E799" s="14"/>
    </row>
    <row r="800" spans="4:5" ht="15.75" customHeight="1" x14ac:dyDescent="0.2">
      <c r="D800" s="14"/>
      <c r="E800" s="14"/>
    </row>
    <row r="801" spans="4:5" ht="15.75" customHeight="1" x14ac:dyDescent="0.2">
      <c r="D801" s="14"/>
      <c r="E801" s="14"/>
    </row>
    <row r="802" spans="4:5" ht="15.75" customHeight="1" x14ac:dyDescent="0.2">
      <c r="D802" s="14"/>
      <c r="E802" s="14"/>
    </row>
    <row r="803" spans="4:5" ht="15.75" customHeight="1" x14ac:dyDescent="0.2">
      <c r="D803" s="14"/>
      <c r="E803" s="14"/>
    </row>
    <row r="804" spans="4:5" ht="15.75" customHeight="1" x14ac:dyDescent="0.2">
      <c r="D804" s="14"/>
      <c r="E804" s="14"/>
    </row>
    <row r="805" spans="4:5" ht="15.75" customHeight="1" x14ac:dyDescent="0.2">
      <c r="D805" s="14"/>
      <c r="E805" s="14"/>
    </row>
    <row r="806" spans="4:5" ht="15.75" customHeight="1" x14ac:dyDescent="0.2">
      <c r="D806" s="14"/>
      <c r="E806" s="14"/>
    </row>
    <row r="807" spans="4:5" ht="15.75" customHeight="1" x14ac:dyDescent="0.2">
      <c r="D807" s="14"/>
      <c r="E807" s="14"/>
    </row>
    <row r="808" spans="4:5" ht="15.75" customHeight="1" x14ac:dyDescent="0.2">
      <c r="D808" s="14"/>
      <c r="E808" s="14"/>
    </row>
    <row r="809" spans="4:5" ht="15.75" customHeight="1" x14ac:dyDescent="0.2">
      <c r="D809" s="14"/>
      <c r="E809" s="14"/>
    </row>
    <row r="810" spans="4:5" ht="15.75" customHeight="1" x14ac:dyDescent="0.2">
      <c r="D810" s="14"/>
      <c r="E810" s="14"/>
    </row>
    <row r="811" spans="4:5" ht="15.75" customHeight="1" x14ac:dyDescent="0.2">
      <c r="D811" s="14"/>
      <c r="E811" s="14"/>
    </row>
    <row r="812" spans="4:5" ht="15.75" customHeight="1" x14ac:dyDescent="0.2">
      <c r="D812" s="14"/>
      <c r="E812" s="14"/>
    </row>
    <row r="813" spans="4:5" ht="15.75" customHeight="1" x14ac:dyDescent="0.2">
      <c r="D813" s="14"/>
      <c r="E813" s="14"/>
    </row>
    <row r="814" spans="4:5" ht="15.75" customHeight="1" x14ac:dyDescent="0.2">
      <c r="D814" s="14"/>
      <c r="E814" s="14"/>
    </row>
    <row r="815" spans="4:5" ht="15.75" customHeight="1" x14ac:dyDescent="0.2">
      <c r="D815" s="14"/>
      <c r="E815" s="14"/>
    </row>
    <row r="816" spans="4:5" ht="15.75" customHeight="1" x14ac:dyDescent="0.2">
      <c r="D816" s="14"/>
      <c r="E816" s="14"/>
    </row>
    <row r="817" spans="4:5" ht="15.75" customHeight="1" x14ac:dyDescent="0.2">
      <c r="D817" s="14"/>
      <c r="E817" s="14"/>
    </row>
    <row r="818" spans="4:5" ht="15.75" customHeight="1" x14ac:dyDescent="0.2">
      <c r="D818" s="14"/>
      <c r="E818" s="14"/>
    </row>
    <row r="819" spans="4:5" ht="15.75" customHeight="1" x14ac:dyDescent="0.2">
      <c r="D819" s="14"/>
      <c r="E819" s="14"/>
    </row>
    <row r="820" spans="4:5" ht="15.75" customHeight="1" x14ac:dyDescent="0.2">
      <c r="D820" s="14"/>
      <c r="E820" s="14"/>
    </row>
    <row r="821" spans="4:5" ht="15.75" customHeight="1" x14ac:dyDescent="0.2">
      <c r="D821" s="14"/>
      <c r="E821" s="14"/>
    </row>
    <row r="822" spans="4:5" ht="15.75" customHeight="1" x14ac:dyDescent="0.2">
      <c r="D822" s="14"/>
      <c r="E822" s="14"/>
    </row>
    <row r="823" spans="4:5" ht="15.75" customHeight="1" x14ac:dyDescent="0.2">
      <c r="D823" s="14"/>
      <c r="E823" s="14"/>
    </row>
    <row r="824" spans="4:5" ht="15.75" customHeight="1" x14ac:dyDescent="0.2">
      <c r="D824" s="14"/>
      <c r="E824" s="14"/>
    </row>
    <row r="825" spans="4:5" ht="15.75" customHeight="1" x14ac:dyDescent="0.2">
      <c r="D825" s="14"/>
      <c r="E825" s="14"/>
    </row>
    <row r="826" spans="4:5" ht="15.75" customHeight="1" x14ac:dyDescent="0.2">
      <c r="D826" s="14"/>
      <c r="E826" s="14"/>
    </row>
    <row r="827" spans="4:5" ht="15.75" customHeight="1" x14ac:dyDescent="0.2">
      <c r="D827" s="14"/>
      <c r="E827" s="14"/>
    </row>
    <row r="828" spans="4:5" ht="15.75" customHeight="1" x14ac:dyDescent="0.2">
      <c r="D828" s="14"/>
      <c r="E828" s="14"/>
    </row>
    <row r="829" spans="4:5" ht="15.75" customHeight="1" x14ac:dyDescent="0.2">
      <c r="D829" s="14"/>
      <c r="E829" s="14"/>
    </row>
    <row r="830" spans="4:5" ht="15.75" customHeight="1" x14ac:dyDescent="0.2">
      <c r="D830" s="14"/>
      <c r="E830" s="14"/>
    </row>
    <row r="831" spans="4:5" ht="15.75" customHeight="1" x14ac:dyDescent="0.2">
      <c r="D831" s="14"/>
      <c r="E831" s="14"/>
    </row>
    <row r="832" spans="4:5" ht="15.75" customHeight="1" x14ac:dyDescent="0.2">
      <c r="D832" s="14"/>
      <c r="E832" s="14"/>
    </row>
    <row r="833" spans="4:5" ht="15.75" customHeight="1" x14ac:dyDescent="0.2">
      <c r="D833" s="14"/>
      <c r="E833" s="14"/>
    </row>
    <row r="834" spans="4:5" ht="15.75" customHeight="1" x14ac:dyDescent="0.2">
      <c r="D834" s="14"/>
      <c r="E834" s="14"/>
    </row>
    <row r="835" spans="4:5" ht="15.75" customHeight="1" x14ac:dyDescent="0.2">
      <c r="D835" s="14"/>
      <c r="E835" s="14"/>
    </row>
    <row r="836" spans="4:5" ht="15.75" customHeight="1" x14ac:dyDescent="0.2">
      <c r="D836" s="14"/>
      <c r="E836" s="14"/>
    </row>
    <row r="837" spans="4:5" ht="15.75" customHeight="1" x14ac:dyDescent="0.2">
      <c r="D837" s="14"/>
      <c r="E837" s="14"/>
    </row>
    <row r="838" spans="4:5" ht="15.75" customHeight="1" x14ac:dyDescent="0.2">
      <c r="D838" s="14"/>
      <c r="E838" s="14"/>
    </row>
    <row r="839" spans="4:5" ht="15.75" customHeight="1" x14ac:dyDescent="0.2">
      <c r="D839" s="14"/>
      <c r="E839" s="14"/>
    </row>
    <row r="840" spans="4:5" ht="15.75" customHeight="1" x14ac:dyDescent="0.2">
      <c r="D840" s="14"/>
      <c r="E840" s="14"/>
    </row>
    <row r="841" spans="4:5" ht="15.75" customHeight="1" x14ac:dyDescent="0.2">
      <c r="D841" s="14"/>
      <c r="E841" s="14"/>
    </row>
    <row r="842" spans="4:5" ht="15.75" customHeight="1" x14ac:dyDescent="0.2">
      <c r="D842" s="14"/>
      <c r="E842" s="14"/>
    </row>
    <row r="843" spans="4:5" ht="15.75" customHeight="1" x14ac:dyDescent="0.2">
      <c r="D843" s="14"/>
      <c r="E843" s="14"/>
    </row>
    <row r="844" spans="4:5" ht="15.75" customHeight="1" x14ac:dyDescent="0.2">
      <c r="D844" s="14"/>
      <c r="E844" s="14"/>
    </row>
    <row r="845" spans="4:5" ht="15.75" customHeight="1" x14ac:dyDescent="0.2">
      <c r="D845" s="14"/>
      <c r="E845" s="14"/>
    </row>
    <row r="846" spans="4:5" ht="15.75" customHeight="1" x14ac:dyDescent="0.2">
      <c r="D846" s="14"/>
      <c r="E846" s="14"/>
    </row>
    <row r="847" spans="4:5" ht="15.75" customHeight="1" x14ac:dyDescent="0.2">
      <c r="D847" s="14"/>
      <c r="E847" s="14"/>
    </row>
    <row r="848" spans="4:5" ht="15.75" customHeight="1" x14ac:dyDescent="0.2">
      <c r="D848" s="14"/>
      <c r="E848" s="14"/>
    </row>
    <row r="849" spans="4:5" ht="15.75" customHeight="1" x14ac:dyDescent="0.2">
      <c r="D849" s="14"/>
      <c r="E849" s="14"/>
    </row>
    <row r="850" spans="4:5" ht="15.75" customHeight="1" x14ac:dyDescent="0.2">
      <c r="D850" s="14"/>
      <c r="E850" s="14"/>
    </row>
    <row r="851" spans="4:5" ht="15.75" customHeight="1" x14ac:dyDescent="0.2">
      <c r="D851" s="14"/>
      <c r="E851" s="14"/>
    </row>
    <row r="852" spans="4:5" ht="15.75" customHeight="1" x14ac:dyDescent="0.2">
      <c r="D852" s="14"/>
      <c r="E852" s="14"/>
    </row>
    <row r="853" spans="4:5" ht="15.75" customHeight="1" x14ac:dyDescent="0.2">
      <c r="D853" s="14"/>
      <c r="E853" s="14"/>
    </row>
    <row r="854" spans="4:5" ht="15.75" customHeight="1" x14ac:dyDescent="0.2">
      <c r="D854" s="14"/>
      <c r="E854" s="14"/>
    </row>
    <row r="855" spans="4:5" ht="15.75" customHeight="1" x14ac:dyDescent="0.2">
      <c r="D855" s="14"/>
      <c r="E855" s="14"/>
    </row>
    <row r="856" spans="4:5" ht="15.75" customHeight="1" x14ac:dyDescent="0.2">
      <c r="D856" s="14"/>
      <c r="E856" s="14"/>
    </row>
    <row r="857" spans="4:5" ht="15.75" customHeight="1" x14ac:dyDescent="0.2">
      <c r="D857" s="14"/>
      <c r="E857" s="14"/>
    </row>
    <row r="858" spans="4:5" ht="15.75" customHeight="1" x14ac:dyDescent="0.2">
      <c r="D858" s="14"/>
      <c r="E858" s="14"/>
    </row>
    <row r="859" spans="4:5" ht="15.75" customHeight="1" x14ac:dyDescent="0.2">
      <c r="D859" s="14"/>
      <c r="E859" s="14"/>
    </row>
    <row r="860" spans="4:5" ht="15.75" customHeight="1" x14ac:dyDescent="0.2">
      <c r="D860" s="14"/>
      <c r="E860" s="14"/>
    </row>
    <row r="861" spans="4:5" ht="15.75" customHeight="1" x14ac:dyDescent="0.2">
      <c r="D861" s="14"/>
      <c r="E861" s="14"/>
    </row>
    <row r="862" spans="4:5" ht="15.75" customHeight="1" x14ac:dyDescent="0.2">
      <c r="D862" s="14"/>
      <c r="E862" s="14"/>
    </row>
    <row r="863" spans="4:5" ht="15.75" customHeight="1" x14ac:dyDescent="0.2">
      <c r="D863" s="14"/>
      <c r="E863" s="14"/>
    </row>
    <row r="864" spans="4:5" ht="15.75" customHeight="1" x14ac:dyDescent="0.2">
      <c r="D864" s="14"/>
      <c r="E864" s="14"/>
    </row>
    <row r="865" spans="4:5" ht="15.75" customHeight="1" x14ac:dyDescent="0.2">
      <c r="D865" s="14"/>
      <c r="E865" s="14"/>
    </row>
    <row r="866" spans="4:5" ht="15.75" customHeight="1" x14ac:dyDescent="0.2">
      <c r="D866" s="14"/>
      <c r="E866" s="14"/>
    </row>
    <row r="867" spans="4:5" ht="15.75" customHeight="1" x14ac:dyDescent="0.2">
      <c r="D867" s="14"/>
      <c r="E867" s="14"/>
    </row>
    <row r="868" spans="4:5" ht="15.75" customHeight="1" x14ac:dyDescent="0.2">
      <c r="D868" s="14"/>
      <c r="E868" s="14"/>
    </row>
    <row r="869" spans="4:5" ht="15.75" customHeight="1" x14ac:dyDescent="0.2">
      <c r="D869" s="14"/>
      <c r="E869" s="14"/>
    </row>
    <row r="870" spans="4:5" ht="15.75" customHeight="1" x14ac:dyDescent="0.2">
      <c r="D870" s="14"/>
      <c r="E870" s="14"/>
    </row>
    <row r="871" spans="4:5" ht="15.75" customHeight="1" x14ac:dyDescent="0.2">
      <c r="D871" s="14"/>
      <c r="E871" s="14"/>
    </row>
    <row r="872" spans="4:5" ht="15.75" customHeight="1" x14ac:dyDescent="0.2">
      <c r="D872" s="14"/>
      <c r="E872" s="14"/>
    </row>
    <row r="873" spans="4:5" ht="15.75" customHeight="1" x14ac:dyDescent="0.2">
      <c r="D873" s="14"/>
      <c r="E873" s="14"/>
    </row>
    <row r="874" spans="4:5" ht="15.75" customHeight="1" x14ac:dyDescent="0.2">
      <c r="D874" s="14"/>
      <c r="E874" s="14"/>
    </row>
    <row r="875" spans="4:5" ht="15.75" customHeight="1" x14ac:dyDescent="0.2">
      <c r="D875" s="14"/>
      <c r="E875" s="14"/>
    </row>
    <row r="876" spans="4:5" ht="15.75" customHeight="1" x14ac:dyDescent="0.2">
      <c r="D876" s="14"/>
      <c r="E876" s="14"/>
    </row>
    <row r="877" spans="4:5" ht="15.75" customHeight="1" x14ac:dyDescent="0.2">
      <c r="D877" s="14"/>
      <c r="E877" s="14"/>
    </row>
    <row r="878" spans="4:5" ht="15.75" customHeight="1" x14ac:dyDescent="0.2">
      <c r="D878" s="14"/>
      <c r="E878" s="14"/>
    </row>
    <row r="879" spans="4:5" ht="15.75" customHeight="1" x14ac:dyDescent="0.2">
      <c r="D879" s="14"/>
      <c r="E879" s="14"/>
    </row>
    <row r="880" spans="4:5" ht="15.75" customHeight="1" x14ac:dyDescent="0.2">
      <c r="D880" s="14"/>
      <c r="E880" s="14"/>
    </row>
    <row r="881" spans="4:5" ht="15.75" customHeight="1" x14ac:dyDescent="0.2">
      <c r="D881" s="14"/>
      <c r="E881" s="14"/>
    </row>
    <row r="882" spans="4:5" ht="15.75" customHeight="1" x14ac:dyDescent="0.2">
      <c r="D882" s="14"/>
      <c r="E882" s="14"/>
    </row>
    <row r="883" spans="4:5" ht="15.75" customHeight="1" x14ac:dyDescent="0.2">
      <c r="D883" s="14"/>
      <c r="E883" s="14"/>
    </row>
    <row r="884" spans="4:5" ht="15.75" customHeight="1" x14ac:dyDescent="0.2">
      <c r="D884" s="14"/>
      <c r="E884" s="14"/>
    </row>
    <row r="885" spans="4:5" ht="15.75" customHeight="1" x14ac:dyDescent="0.2">
      <c r="D885" s="14"/>
      <c r="E885" s="14"/>
    </row>
    <row r="886" spans="4:5" ht="15.75" customHeight="1" x14ac:dyDescent="0.2">
      <c r="D886" s="14"/>
      <c r="E886" s="14"/>
    </row>
    <row r="887" spans="4:5" ht="15.75" customHeight="1" x14ac:dyDescent="0.2">
      <c r="D887" s="14"/>
      <c r="E887" s="14"/>
    </row>
    <row r="888" spans="4:5" ht="15.75" customHeight="1" x14ac:dyDescent="0.2">
      <c r="D888" s="14"/>
      <c r="E888" s="14"/>
    </row>
    <row r="889" spans="4:5" ht="15.75" customHeight="1" x14ac:dyDescent="0.2">
      <c r="D889" s="14"/>
      <c r="E889" s="14"/>
    </row>
    <row r="890" spans="4:5" ht="15.75" customHeight="1" x14ac:dyDescent="0.2">
      <c r="D890" s="14"/>
      <c r="E890" s="14"/>
    </row>
    <row r="891" spans="4:5" ht="15.75" customHeight="1" x14ac:dyDescent="0.2">
      <c r="D891" s="14"/>
      <c r="E891" s="14"/>
    </row>
    <row r="892" spans="4:5" ht="15.75" customHeight="1" x14ac:dyDescent="0.2">
      <c r="D892" s="14"/>
      <c r="E892" s="14"/>
    </row>
    <row r="893" spans="4:5" ht="15.75" customHeight="1" x14ac:dyDescent="0.2">
      <c r="D893" s="14"/>
      <c r="E893" s="14"/>
    </row>
    <row r="894" spans="4:5" ht="15.75" customHeight="1" x14ac:dyDescent="0.2">
      <c r="D894" s="14"/>
      <c r="E894" s="14"/>
    </row>
    <row r="895" spans="4:5" ht="15.75" customHeight="1" x14ac:dyDescent="0.2">
      <c r="D895" s="14"/>
      <c r="E895" s="14"/>
    </row>
    <row r="896" spans="4:5" ht="15.75" customHeight="1" x14ac:dyDescent="0.2">
      <c r="D896" s="14"/>
      <c r="E896" s="14"/>
    </row>
    <row r="897" spans="4:5" ht="15.75" customHeight="1" x14ac:dyDescent="0.2">
      <c r="D897" s="14"/>
      <c r="E897" s="14"/>
    </row>
    <row r="898" spans="4:5" ht="15.75" customHeight="1" x14ac:dyDescent="0.2">
      <c r="D898" s="14"/>
      <c r="E898" s="14"/>
    </row>
    <row r="899" spans="4:5" ht="15.75" customHeight="1" x14ac:dyDescent="0.2">
      <c r="D899" s="14"/>
      <c r="E899" s="14"/>
    </row>
    <row r="900" spans="4:5" ht="15.75" customHeight="1" x14ac:dyDescent="0.2">
      <c r="D900" s="14"/>
      <c r="E900" s="14"/>
    </row>
    <row r="901" spans="4:5" ht="15.75" customHeight="1" x14ac:dyDescent="0.2">
      <c r="D901" s="14"/>
      <c r="E901" s="14"/>
    </row>
    <row r="902" spans="4:5" ht="15.75" customHeight="1" x14ac:dyDescent="0.2">
      <c r="D902" s="14"/>
      <c r="E902" s="14"/>
    </row>
    <row r="903" spans="4:5" ht="15.75" customHeight="1" x14ac:dyDescent="0.2">
      <c r="D903" s="14"/>
      <c r="E903" s="14"/>
    </row>
    <row r="904" spans="4:5" ht="15.75" customHeight="1" x14ac:dyDescent="0.2">
      <c r="D904" s="14"/>
      <c r="E904" s="14"/>
    </row>
    <row r="905" spans="4:5" ht="15.75" customHeight="1" x14ac:dyDescent="0.2">
      <c r="D905" s="14"/>
      <c r="E905" s="14"/>
    </row>
    <row r="906" spans="4:5" ht="15.75" customHeight="1" x14ac:dyDescent="0.2">
      <c r="D906" s="14"/>
      <c r="E906" s="14"/>
    </row>
    <row r="907" spans="4:5" ht="15.75" customHeight="1" x14ac:dyDescent="0.2">
      <c r="D907" s="14"/>
      <c r="E907" s="14"/>
    </row>
    <row r="908" spans="4:5" ht="15.75" customHeight="1" x14ac:dyDescent="0.2">
      <c r="D908" s="14"/>
      <c r="E908" s="14"/>
    </row>
    <row r="909" spans="4:5" ht="15.75" customHeight="1" x14ac:dyDescent="0.2">
      <c r="D909" s="14"/>
      <c r="E909" s="14"/>
    </row>
    <row r="910" spans="4:5" ht="15.75" customHeight="1" x14ac:dyDescent="0.2">
      <c r="D910" s="14"/>
      <c r="E910" s="14"/>
    </row>
    <row r="911" spans="4:5" ht="15.75" customHeight="1" x14ac:dyDescent="0.2">
      <c r="D911" s="14"/>
      <c r="E911" s="14"/>
    </row>
    <row r="912" spans="4:5" ht="15.75" customHeight="1" x14ac:dyDescent="0.2">
      <c r="D912" s="14"/>
      <c r="E912" s="14"/>
    </row>
    <row r="913" spans="4:5" ht="15.75" customHeight="1" x14ac:dyDescent="0.2">
      <c r="D913" s="14"/>
      <c r="E913" s="14"/>
    </row>
    <row r="914" spans="4:5" ht="15.75" customHeight="1" x14ac:dyDescent="0.2">
      <c r="D914" s="14"/>
      <c r="E914" s="14"/>
    </row>
    <row r="915" spans="4:5" ht="15.75" customHeight="1" x14ac:dyDescent="0.2">
      <c r="D915" s="14"/>
      <c r="E915" s="14"/>
    </row>
    <row r="916" spans="4:5" ht="15.75" customHeight="1" x14ac:dyDescent="0.2">
      <c r="D916" s="14"/>
      <c r="E916" s="14"/>
    </row>
    <row r="917" spans="4:5" ht="15.75" customHeight="1" x14ac:dyDescent="0.2">
      <c r="D917" s="14"/>
      <c r="E917" s="14"/>
    </row>
    <row r="918" spans="4:5" ht="15.75" customHeight="1" x14ac:dyDescent="0.2">
      <c r="D918" s="14"/>
      <c r="E918" s="14"/>
    </row>
    <row r="919" spans="4:5" ht="15.75" customHeight="1" x14ac:dyDescent="0.2">
      <c r="D919" s="14"/>
      <c r="E919" s="14"/>
    </row>
    <row r="920" spans="4:5" ht="15.75" customHeight="1" x14ac:dyDescent="0.2">
      <c r="D920" s="14"/>
      <c r="E920" s="14"/>
    </row>
    <row r="921" spans="4:5" ht="15.75" customHeight="1" x14ac:dyDescent="0.2">
      <c r="D921" s="14"/>
      <c r="E921" s="14"/>
    </row>
    <row r="922" spans="4:5" ht="15.75" customHeight="1" x14ac:dyDescent="0.2">
      <c r="D922" s="14"/>
      <c r="E922" s="14"/>
    </row>
    <row r="923" spans="4:5" ht="15.75" customHeight="1" x14ac:dyDescent="0.2">
      <c r="D923" s="14"/>
      <c r="E923" s="14"/>
    </row>
    <row r="924" spans="4:5" ht="15.75" customHeight="1" x14ac:dyDescent="0.2">
      <c r="D924" s="14"/>
      <c r="E924" s="14"/>
    </row>
    <row r="925" spans="4:5" ht="15.75" customHeight="1" x14ac:dyDescent="0.2">
      <c r="D925" s="14"/>
      <c r="E925" s="14"/>
    </row>
    <row r="926" spans="4:5" ht="15.75" customHeight="1" x14ac:dyDescent="0.2">
      <c r="D926" s="14"/>
      <c r="E926" s="14"/>
    </row>
    <row r="927" spans="4:5" ht="15.75" customHeight="1" x14ac:dyDescent="0.2">
      <c r="D927" s="14"/>
      <c r="E927" s="14"/>
    </row>
    <row r="928" spans="4:5" ht="15.75" customHeight="1" x14ac:dyDescent="0.2">
      <c r="D928" s="14"/>
      <c r="E928" s="14"/>
    </row>
    <row r="929" spans="4:5" ht="15.75" customHeight="1" x14ac:dyDescent="0.2">
      <c r="D929" s="14"/>
      <c r="E929" s="14"/>
    </row>
    <row r="930" spans="4:5" ht="15.75" customHeight="1" x14ac:dyDescent="0.2">
      <c r="D930" s="14"/>
      <c r="E930" s="14"/>
    </row>
    <row r="931" spans="4:5" ht="15.75" customHeight="1" x14ac:dyDescent="0.2">
      <c r="D931" s="14"/>
      <c r="E931" s="14"/>
    </row>
    <row r="932" spans="4:5" ht="15.75" customHeight="1" x14ac:dyDescent="0.2">
      <c r="D932" s="14"/>
      <c r="E932" s="14"/>
    </row>
    <row r="933" spans="4:5" ht="15.75" customHeight="1" x14ac:dyDescent="0.2">
      <c r="D933" s="14"/>
      <c r="E933" s="14"/>
    </row>
    <row r="934" spans="4:5" ht="15.75" customHeight="1" x14ac:dyDescent="0.2">
      <c r="D934" s="14"/>
      <c r="E934" s="14"/>
    </row>
    <row r="935" spans="4:5" ht="15.75" customHeight="1" x14ac:dyDescent="0.2">
      <c r="D935" s="14"/>
      <c r="E935" s="14"/>
    </row>
    <row r="936" spans="4:5" ht="15.75" customHeight="1" x14ac:dyDescent="0.2">
      <c r="D936" s="14"/>
      <c r="E936" s="14"/>
    </row>
    <row r="937" spans="4:5" ht="15.75" customHeight="1" x14ac:dyDescent="0.2">
      <c r="D937" s="14"/>
      <c r="E937" s="14"/>
    </row>
    <row r="938" spans="4:5" ht="15.75" customHeight="1" x14ac:dyDescent="0.2">
      <c r="D938" s="14"/>
      <c r="E938" s="14"/>
    </row>
    <row r="939" spans="4:5" ht="15.75" customHeight="1" x14ac:dyDescent="0.2">
      <c r="D939" s="14"/>
      <c r="E939" s="14"/>
    </row>
    <row r="940" spans="4:5" ht="15.75" customHeight="1" x14ac:dyDescent="0.2">
      <c r="D940" s="14"/>
      <c r="E940" s="14"/>
    </row>
    <row r="941" spans="4:5" ht="15.75" customHeight="1" x14ac:dyDescent="0.2">
      <c r="D941" s="14"/>
      <c r="E941" s="14"/>
    </row>
    <row r="942" spans="4:5" ht="15.75" customHeight="1" x14ac:dyDescent="0.2">
      <c r="D942" s="14"/>
      <c r="E942" s="14"/>
    </row>
    <row r="943" spans="4:5" ht="15.75" customHeight="1" x14ac:dyDescent="0.2">
      <c r="D943" s="14"/>
      <c r="E943" s="14"/>
    </row>
    <row r="944" spans="4:5" ht="15.75" customHeight="1" x14ac:dyDescent="0.2">
      <c r="D944" s="14"/>
      <c r="E944" s="14"/>
    </row>
    <row r="945" spans="4:5" ht="15.75" customHeight="1" x14ac:dyDescent="0.2">
      <c r="D945" s="14"/>
      <c r="E945" s="14"/>
    </row>
    <row r="946" spans="4:5" ht="15.75" customHeight="1" x14ac:dyDescent="0.2">
      <c r="D946" s="14"/>
      <c r="E946" s="14"/>
    </row>
    <row r="947" spans="4:5" ht="15.75" customHeight="1" x14ac:dyDescent="0.2">
      <c r="D947" s="14"/>
      <c r="E947" s="14"/>
    </row>
    <row r="948" spans="4:5" ht="15.75" customHeight="1" x14ac:dyDescent="0.2">
      <c r="D948" s="14"/>
      <c r="E948" s="14"/>
    </row>
    <row r="949" spans="4:5" ht="15.75" customHeight="1" x14ac:dyDescent="0.2">
      <c r="D949" s="14"/>
      <c r="E949" s="14"/>
    </row>
    <row r="950" spans="4:5" ht="15.75" customHeight="1" x14ac:dyDescent="0.2">
      <c r="D950" s="14"/>
      <c r="E950" s="14"/>
    </row>
    <row r="951" spans="4:5" ht="15.75" customHeight="1" x14ac:dyDescent="0.2">
      <c r="D951" s="14"/>
      <c r="E951" s="14"/>
    </row>
    <row r="952" spans="4:5" ht="15.75" customHeight="1" x14ac:dyDescent="0.2">
      <c r="D952" s="14"/>
      <c r="E952" s="14"/>
    </row>
    <row r="953" spans="4:5" ht="15.75" customHeight="1" x14ac:dyDescent="0.2">
      <c r="D953" s="14"/>
      <c r="E953" s="14"/>
    </row>
    <row r="954" spans="4:5" ht="15.75" customHeight="1" x14ac:dyDescent="0.2">
      <c r="D954" s="14"/>
      <c r="E954" s="14"/>
    </row>
    <row r="955" spans="4:5" ht="15.75" customHeight="1" x14ac:dyDescent="0.2">
      <c r="D955" s="14"/>
      <c r="E955" s="14"/>
    </row>
    <row r="956" spans="4:5" ht="15.75" customHeight="1" x14ac:dyDescent="0.2">
      <c r="D956" s="14"/>
      <c r="E956" s="14"/>
    </row>
    <row r="957" spans="4:5" ht="15.75" customHeight="1" x14ac:dyDescent="0.2">
      <c r="D957" s="14"/>
      <c r="E957" s="14"/>
    </row>
    <row r="958" spans="4:5" ht="15.75" customHeight="1" x14ac:dyDescent="0.2">
      <c r="D958" s="14"/>
      <c r="E958" s="14"/>
    </row>
    <row r="959" spans="4:5" ht="15.75" customHeight="1" x14ac:dyDescent="0.2">
      <c r="D959" s="14"/>
      <c r="E959" s="14"/>
    </row>
    <row r="960" spans="4:5" ht="15.75" customHeight="1" x14ac:dyDescent="0.2">
      <c r="D960" s="14"/>
      <c r="E960" s="14"/>
    </row>
    <row r="961" spans="4:5" ht="15.75" customHeight="1" x14ac:dyDescent="0.2">
      <c r="D961" s="14"/>
      <c r="E961" s="14"/>
    </row>
    <row r="962" spans="4:5" ht="15.75" customHeight="1" x14ac:dyDescent="0.2">
      <c r="D962" s="14"/>
      <c r="E962" s="14"/>
    </row>
    <row r="963" spans="4:5" ht="15.75" customHeight="1" x14ac:dyDescent="0.2">
      <c r="D963" s="14"/>
      <c r="E963" s="14"/>
    </row>
    <row r="964" spans="4:5" ht="15.75" customHeight="1" x14ac:dyDescent="0.2">
      <c r="D964" s="14"/>
      <c r="E964" s="14"/>
    </row>
    <row r="965" spans="4:5" ht="15.75" customHeight="1" x14ac:dyDescent="0.2">
      <c r="D965" s="14"/>
      <c r="E965" s="14"/>
    </row>
    <row r="966" spans="4:5" ht="15.75" customHeight="1" x14ac:dyDescent="0.2">
      <c r="D966" s="14"/>
      <c r="E966" s="14"/>
    </row>
    <row r="967" spans="4:5" ht="15.75" customHeight="1" x14ac:dyDescent="0.2">
      <c r="D967" s="14"/>
      <c r="E967" s="14"/>
    </row>
    <row r="968" spans="4:5" ht="15.75" customHeight="1" x14ac:dyDescent="0.2">
      <c r="D968" s="14"/>
      <c r="E968" s="14"/>
    </row>
    <row r="969" spans="4:5" ht="15.75" customHeight="1" x14ac:dyDescent="0.2">
      <c r="D969" s="14"/>
      <c r="E969" s="14"/>
    </row>
    <row r="970" spans="4:5" ht="15.75" customHeight="1" x14ac:dyDescent="0.2">
      <c r="D970" s="14"/>
      <c r="E970" s="14"/>
    </row>
    <row r="971" spans="4:5" ht="15.75" customHeight="1" x14ac:dyDescent="0.2">
      <c r="D971" s="14"/>
      <c r="E971" s="14"/>
    </row>
    <row r="972" spans="4:5" ht="15.75" customHeight="1" x14ac:dyDescent="0.2">
      <c r="D972" s="14"/>
      <c r="E972" s="14"/>
    </row>
    <row r="973" spans="4:5" ht="15.75" customHeight="1" x14ac:dyDescent="0.2">
      <c r="D973" s="14"/>
      <c r="E973" s="14"/>
    </row>
    <row r="974" spans="4:5" ht="15.75" customHeight="1" x14ac:dyDescent="0.2">
      <c r="D974" s="14"/>
      <c r="E974" s="14"/>
    </row>
    <row r="975" spans="4:5" ht="15.75" customHeight="1" x14ac:dyDescent="0.2">
      <c r="D975" s="14"/>
      <c r="E975" s="14"/>
    </row>
    <row r="976" spans="4:5" ht="15.75" customHeight="1" x14ac:dyDescent="0.2">
      <c r="D976" s="14"/>
      <c r="E976" s="14"/>
    </row>
    <row r="977" spans="4:5" ht="15.75" customHeight="1" x14ac:dyDescent="0.2">
      <c r="D977" s="14"/>
      <c r="E977" s="14"/>
    </row>
    <row r="978" spans="4:5" ht="15.75" customHeight="1" x14ac:dyDescent="0.2">
      <c r="D978" s="14"/>
      <c r="E978" s="14"/>
    </row>
    <row r="979" spans="4:5" ht="15.75" customHeight="1" x14ac:dyDescent="0.2">
      <c r="D979" s="14"/>
      <c r="E979" s="14"/>
    </row>
    <row r="980" spans="4:5" ht="15.75" customHeight="1" x14ac:dyDescent="0.2">
      <c r="D980" s="14"/>
      <c r="E980" s="14"/>
    </row>
    <row r="981" spans="4:5" ht="15.75" customHeight="1" x14ac:dyDescent="0.2">
      <c r="D981" s="14"/>
      <c r="E981" s="14"/>
    </row>
    <row r="982" spans="4:5" ht="15.75" customHeight="1" x14ac:dyDescent="0.2">
      <c r="D982" s="14"/>
      <c r="E982" s="14"/>
    </row>
    <row r="983" spans="4:5" ht="15.75" customHeight="1" x14ac:dyDescent="0.2">
      <c r="D983" s="14"/>
      <c r="E983" s="14"/>
    </row>
    <row r="984" spans="4:5" ht="15.75" customHeight="1" x14ac:dyDescent="0.2">
      <c r="D984" s="14"/>
      <c r="E984" s="14"/>
    </row>
    <row r="985" spans="4:5" ht="15.75" customHeight="1" x14ac:dyDescent="0.2">
      <c r="D985" s="14"/>
      <c r="E985" s="14"/>
    </row>
    <row r="986" spans="4:5" ht="15.75" customHeight="1" x14ac:dyDescent="0.2">
      <c r="D986" s="14"/>
      <c r="E986" s="14"/>
    </row>
    <row r="987" spans="4:5" ht="15.75" customHeight="1" x14ac:dyDescent="0.2">
      <c r="D987" s="14"/>
      <c r="E987" s="14"/>
    </row>
    <row r="988" spans="4:5" ht="15.75" customHeight="1" x14ac:dyDescent="0.2">
      <c r="D988" s="14"/>
      <c r="E988" s="14"/>
    </row>
    <row r="989" spans="4:5" ht="15.75" customHeight="1" x14ac:dyDescent="0.2">
      <c r="D989" s="14"/>
      <c r="E989" s="14"/>
    </row>
    <row r="990" spans="4:5" ht="15.75" customHeight="1" x14ac:dyDescent="0.2">
      <c r="D990" s="14"/>
      <c r="E990" s="14"/>
    </row>
    <row r="991" spans="4:5" ht="15.75" customHeight="1" x14ac:dyDescent="0.2">
      <c r="D991" s="14"/>
      <c r="E991" s="14"/>
    </row>
    <row r="992" spans="4:5" ht="15.75" customHeight="1" x14ac:dyDescent="0.2">
      <c r="D992" s="14"/>
      <c r="E992" s="14"/>
    </row>
    <row r="993" spans="4:5" ht="15.75" customHeight="1" x14ac:dyDescent="0.2">
      <c r="D993" s="14"/>
      <c r="E993" s="14"/>
    </row>
    <row r="994" spans="4:5" ht="15.75" customHeight="1" x14ac:dyDescent="0.2">
      <c r="D994" s="14"/>
      <c r="E994" s="14"/>
    </row>
    <row r="995" spans="4:5" ht="15.75" customHeight="1" x14ac:dyDescent="0.2">
      <c r="D995" s="14"/>
      <c r="E995" s="14"/>
    </row>
    <row r="996" spans="4:5" ht="15.75" customHeight="1" x14ac:dyDescent="0.2">
      <c r="D996" s="14"/>
      <c r="E996" s="14"/>
    </row>
    <row r="997" spans="4:5" ht="15.75" customHeight="1" x14ac:dyDescent="0.2">
      <c r="D997" s="14"/>
      <c r="E997" s="14"/>
    </row>
    <row r="998" spans="4:5" ht="15.75" customHeight="1" x14ac:dyDescent="0.2">
      <c r="D998" s="14"/>
      <c r="E998" s="14"/>
    </row>
    <row r="999" spans="4:5" ht="15.75" customHeight="1" x14ac:dyDescent="0.2">
      <c r="D999" s="14"/>
      <c r="E999" s="14"/>
    </row>
    <row r="1000" spans="4:5" ht="15.75" customHeight="1" x14ac:dyDescent="0.2">
      <c r="D1000" s="14"/>
      <c r="E1000" s="14"/>
    </row>
    <row r="1001" spans="4:5" ht="15.75" customHeight="1" x14ac:dyDescent="0.2">
      <c r="D1001" s="14"/>
      <c r="E1001" s="14"/>
    </row>
    <row r="1002" spans="4:5" ht="15.75" customHeight="1" x14ac:dyDescent="0.2">
      <c r="D1002" s="14"/>
      <c r="E1002" s="14"/>
    </row>
    <row r="1003" spans="4:5" ht="15.75" customHeight="1" x14ac:dyDescent="0.2">
      <c r="D1003" s="14"/>
      <c r="E1003" s="14"/>
    </row>
    <row r="1004" spans="4:5" ht="15.75" customHeight="1" x14ac:dyDescent="0.2">
      <c r="D1004" s="14"/>
      <c r="E1004" s="14"/>
    </row>
    <row r="1005" spans="4:5" ht="15.75" customHeight="1" x14ac:dyDescent="0.2">
      <c r="D1005" s="14"/>
      <c r="E1005" s="14"/>
    </row>
    <row r="1006" spans="4:5" ht="15.75" customHeight="1" x14ac:dyDescent="0.2">
      <c r="D1006" s="14"/>
      <c r="E1006" s="14"/>
    </row>
    <row r="1007" spans="4:5" ht="15.75" customHeight="1" x14ac:dyDescent="0.2">
      <c r="D1007" s="14"/>
      <c r="E1007" s="14"/>
    </row>
    <row r="1008" spans="4:5" ht="15.75" customHeight="1" x14ac:dyDescent="0.2">
      <c r="D1008" s="14"/>
      <c r="E1008" s="14"/>
    </row>
    <row r="1009" spans="4:5" ht="15.75" customHeight="1" x14ac:dyDescent="0.2">
      <c r="D1009" s="14"/>
      <c r="E1009" s="14"/>
    </row>
    <row r="1010" spans="4:5" ht="15.75" customHeight="1" x14ac:dyDescent="0.2">
      <c r="D1010" s="14"/>
      <c r="E1010" s="14"/>
    </row>
    <row r="1011" spans="4:5" ht="15.75" customHeight="1" x14ac:dyDescent="0.2">
      <c r="D1011" s="14"/>
      <c r="E1011" s="14"/>
    </row>
    <row r="1012" spans="4:5" ht="15.75" customHeight="1" x14ac:dyDescent="0.2">
      <c r="D1012" s="14"/>
      <c r="E1012" s="14"/>
    </row>
    <row r="1013" spans="4:5" ht="15.75" customHeight="1" x14ac:dyDescent="0.2">
      <c r="D1013" s="14"/>
      <c r="E1013" s="14"/>
    </row>
    <row r="1014" spans="4:5" ht="15.75" customHeight="1" x14ac:dyDescent="0.2">
      <c r="D1014" s="14"/>
      <c r="E1014" s="14"/>
    </row>
    <row r="1015" spans="4:5" ht="15.75" customHeight="1" x14ac:dyDescent="0.2">
      <c r="D1015" s="14"/>
      <c r="E1015" s="14"/>
    </row>
    <row r="1016" spans="4:5" ht="15.75" customHeight="1" x14ac:dyDescent="0.2">
      <c r="D1016" s="14"/>
      <c r="E1016" s="14"/>
    </row>
    <row r="1017" spans="4:5" ht="15.75" customHeight="1" x14ac:dyDescent="0.2">
      <c r="D1017" s="14"/>
      <c r="E1017" s="14"/>
    </row>
    <row r="1018" spans="4:5" ht="15.75" customHeight="1" x14ac:dyDescent="0.2">
      <c r="D1018" s="14"/>
      <c r="E1018" s="14"/>
    </row>
    <row r="1019" spans="4:5" ht="15.75" customHeight="1" x14ac:dyDescent="0.2">
      <c r="D1019" s="14"/>
      <c r="E1019" s="14"/>
    </row>
    <row r="1020" spans="4:5" ht="15.75" customHeight="1" x14ac:dyDescent="0.2">
      <c r="D1020" s="14"/>
      <c r="E1020" s="14"/>
    </row>
    <row r="1021" spans="4:5" ht="15.75" customHeight="1" x14ac:dyDescent="0.2">
      <c r="D1021" s="14"/>
      <c r="E1021" s="14"/>
    </row>
    <row r="1022" spans="4:5" ht="15.75" customHeight="1" x14ac:dyDescent="0.2">
      <c r="D1022" s="14"/>
      <c r="E1022" s="14"/>
    </row>
    <row r="1023" spans="4:5" ht="15.75" customHeight="1" x14ac:dyDescent="0.2">
      <c r="D1023" s="14"/>
      <c r="E1023" s="14"/>
    </row>
    <row r="1024" spans="4:5" ht="15.75" customHeight="1" x14ac:dyDescent="0.2">
      <c r="D1024" s="14"/>
      <c r="E1024" s="14"/>
    </row>
    <row r="1025" spans="4:5" ht="15.75" customHeight="1" x14ac:dyDescent="0.2">
      <c r="D1025" s="14"/>
      <c r="E1025" s="14"/>
    </row>
    <row r="1026" spans="4:5" ht="15.75" customHeight="1" x14ac:dyDescent="0.2">
      <c r="D1026" s="14"/>
      <c r="E1026" s="14"/>
    </row>
    <row r="1027" spans="4:5" ht="15.75" customHeight="1" x14ac:dyDescent="0.2">
      <c r="D1027" s="14"/>
      <c r="E1027" s="14"/>
    </row>
    <row r="1028" spans="4:5" ht="15.75" customHeight="1" x14ac:dyDescent="0.2">
      <c r="D1028" s="14"/>
      <c r="E1028" s="14"/>
    </row>
    <row r="1029" spans="4:5" ht="15.75" customHeight="1" x14ac:dyDescent="0.2">
      <c r="D1029" s="14"/>
      <c r="E1029" s="14"/>
    </row>
    <row r="1030" spans="4:5" ht="15.75" customHeight="1" x14ac:dyDescent="0.2">
      <c r="D1030" s="14"/>
      <c r="E1030" s="14"/>
    </row>
    <row r="1031" spans="4:5" ht="15.75" customHeight="1" x14ac:dyDescent="0.2">
      <c r="D1031" s="14"/>
      <c r="E1031" s="14"/>
    </row>
    <row r="1032" spans="4:5" ht="15.75" customHeight="1" x14ac:dyDescent="0.2">
      <c r="D1032" s="14"/>
      <c r="E1032" s="14"/>
    </row>
    <row r="1033" spans="4:5" ht="15.75" customHeight="1" x14ac:dyDescent="0.2">
      <c r="D1033" s="14"/>
      <c r="E1033" s="14"/>
    </row>
    <row r="1034" spans="4:5" ht="15.75" customHeight="1" x14ac:dyDescent="0.2">
      <c r="D1034" s="14"/>
      <c r="E1034" s="14"/>
    </row>
    <row r="1035" spans="4:5" ht="15.75" customHeight="1" x14ac:dyDescent="0.2">
      <c r="D1035" s="14"/>
      <c r="E1035" s="14"/>
    </row>
    <row r="1036" spans="4:5" ht="15.75" customHeight="1" x14ac:dyDescent="0.2">
      <c r="D1036" s="14"/>
      <c r="E1036" s="14"/>
    </row>
    <row r="1037" spans="4:5" ht="15.75" customHeight="1" x14ac:dyDescent="0.2">
      <c r="D1037" s="14"/>
      <c r="E1037" s="14"/>
    </row>
    <row r="1038" spans="4:5" ht="15.75" customHeight="1" x14ac:dyDescent="0.2">
      <c r="D1038" s="14"/>
      <c r="E1038" s="14"/>
    </row>
    <row r="1039" spans="4:5" ht="15.75" customHeight="1" x14ac:dyDescent="0.2">
      <c r="D1039" s="14"/>
      <c r="E1039" s="14"/>
    </row>
    <row r="1040" spans="4:5" ht="15.75" customHeight="1" x14ac:dyDescent="0.2">
      <c r="D1040" s="14"/>
      <c r="E1040" s="14"/>
    </row>
    <row r="1041" spans="4:5" ht="15.75" customHeight="1" x14ac:dyDescent="0.2">
      <c r="D1041" s="14"/>
      <c r="E1041" s="14"/>
    </row>
    <row r="1042" spans="4:5" ht="15.75" customHeight="1" x14ac:dyDescent="0.2">
      <c r="D1042" s="14"/>
      <c r="E1042" s="14"/>
    </row>
    <row r="1043" spans="4:5" ht="15.75" customHeight="1" x14ac:dyDescent="0.2"/>
    <row r="1044" spans="4:5" ht="15.75" customHeight="1" x14ac:dyDescent="0.2"/>
  </sheetData>
  <phoneticPr fontId="28" type="noConversion"/>
  <pageMargins left="0.7" right="0.7" top="0.75" bottom="0.75" header="0" footer="0"/>
  <pageSetup paperSize="9" orientation="portrait"/>
  <headerFooter>
    <oddFooter>&amp;C_x000D_&amp;1#&amp;"Arial"&amp;8&amp;K000000 Information Security Classification -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FCE9-2672-824C-BB7B-3B4AC9C8D4AE}">
  <dimension ref="A2:I2"/>
  <sheetViews>
    <sheetView workbookViewId="0">
      <selection activeCell="E12" sqref="E12"/>
    </sheetView>
  </sheetViews>
  <sheetFormatPr baseColWidth="10" defaultRowHeight="16" x14ac:dyDescent="0.2"/>
  <sheetData>
    <row r="2" spans="1:9" x14ac:dyDescent="0.2">
      <c r="A2" s="29" t="s">
        <v>458</v>
      </c>
      <c r="B2" s="249"/>
      <c r="C2" s="250" t="s">
        <v>459</v>
      </c>
      <c r="D2" s="251" t="s">
        <v>460</v>
      </c>
      <c r="E2" s="198">
        <v>3100</v>
      </c>
      <c r="F2" s="252"/>
      <c r="G2" s="252"/>
      <c r="H2" s="252"/>
      <c r="I2" s="25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0"/>
  <sheetViews>
    <sheetView workbookViewId="0">
      <selection activeCell="AA36" sqref="AA36"/>
    </sheetView>
  </sheetViews>
  <sheetFormatPr baseColWidth="10" defaultColWidth="10.140625" defaultRowHeight="15" customHeight="1" x14ac:dyDescent="0.2"/>
  <cols>
    <col min="1" max="1" width="36.140625" customWidth="1"/>
    <col min="2" max="2" width="14" customWidth="1"/>
    <col min="3" max="3" width="12.28515625" customWidth="1"/>
    <col min="4" max="4" width="11.140625" customWidth="1"/>
    <col min="5" max="5" width="11" customWidth="1"/>
    <col min="6" max="6" width="26.7109375" customWidth="1"/>
    <col min="7" max="11" width="11" customWidth="1"/>
    <col min="12" max="12" width="32.42578125" customWidth="1"/>
    <col min="13" max="17" width="11" customWidth="1"/>
    <col min="18" max="18" width="26.7109375" customWidth="1"/>
    <col min="19" max="23" width="11" customWidth="1"/>
    <col min="24" max="24" width="32.42578125" customWidth="1"/>
    <col min="25" max="28" width="11" customWidth="1"/>
  </cols>
  <sheetData>
    <row r="1" spans="1:28" ht="13.5" customHeight="1" x14ac:dyDescent="0.2">
      <c r="A1" s="34"/>
      <c r="B1" s="35"/>
      <c r="C1" s="35"/>
      <c r="D1" s="35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3.5" customHeight="1" x14ac:dyDescent="0.2">
      <c r="A2" s="36" t="s">
        <v>492</v>
      </c>
      <c r="B2" s="35"/>
      <c r="C2" s="35"/>
      <c r="D2" s="35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28" ht="13.5" customHeight="1" x14ac:dyDescent="0.2">
      <c r="A3" s="37" t="s">
        <v>493</v>
      </c>
      <c r="B3" s="38"/>
      <c r="C3" s="38"/>
      <c r="D3" s="38"/>
      <c r="E3" s="34"/>
      <c r="F3" s="34" t="s">
        <v>494</v>
      </c>
      <c r="G3" s="35"/>
      <c r="H3" s="35" t="s">
        <v>56</v>
      </c>
      <c r="I3" s="35"/>
      <c r="J3" s="34"/>
      <c r="K3" s="34"/>
      <c r="L3" s="34" t="s">
        <v>494</v>
      </c>
      <c r="M3" s="35"/>
      <c r="N3" s="35" t="s">
        <v>56</v>
      </c>
      <c r="O3" s="35"/>
      <c r="P3" s="34"/>
      <c r="Q3" s="34"/>
      <c r="R3" s="34" t="s">
        <v>494</v>
      </c>
      <c r="S3" s="35"/>
      <c r="T3" s="35" t="s">
        <v>56</v>
      </c>
      <c r="U3" s="35"/>
      <c r="V3" s="34"/>
      <c r="W3" s="34"/>
      <c r="X3" s="34" t="s">
        <v>494</v>
      </c>
      <c r="Y3" s="35"/>
      <c r="Z3" s="35" t="s">
        <v>56</v>
      </c>
      <c r="AA3" s="35"/>
      <c r="AB3" s="34"/>
    </row>
    <row r="4" spans="1:28" ht="13.5" customHeight="1" x14ac:dyDescent="0.2">
      <c r="A4" s="39" t="s">
        <v>495</v>
      </c>
      <c r="B4" s="40">
        <f>310000+335000</f>
        <v>645000</v>
      </c>
      <c r="C4" s="40">
        <f>B4/2</f>
        <v>322500</v>
      </c>
      <c r="D4" s="40"/>
      <c r="E4" s="34"/>
      <c r="F4" s="37" t="s">
        <v>493</v>
      </c>
      <c r="G4" s="38"/>
      <c r="H4" s="38"/>
      <c r="I4" s="38"/>
      <c r="J4" s="38"/>
      <c r="K4" s="34"/>
      <c r="L4" s="37" t="s">
        <v>493</v>
      </c>
      <c r="M4" s="38"/>
      <c r="N4" s="38"/>
      <c r="O4" s="38"/>
      <c r="P4" s="38"/>
      <c r="Q4" s="34"/>
      <c r="R4" s="37" t="s">
        <v>493</v>
      </c>
      <c r="S4" s="38"/>
      <c r="T4" s="38"/>
      <c r="U4" s="38"/>
      <c r="V4" s="38"/>
      <c r="W4" s="34"/>
      <c r="X4" s="37" t="s">
        <v>493</v>
      </c>
      <c r="Y4" s="38"/>
      <c r="Z4" s="38"/>
      <c r="AA4" s="38"/>
      <c r="AB4" s="38"/>
    </row>
    <row r="5" spans="1:28" ht="13.5" customHeight="1" x14ac:dyDescent="0.2">
      <c r="A5" s="41"/>
      <c r="B5" s="42"/>
      <c r="C5" s="42"/>
      <c r="D5" s="42"/>
      <c r="E5" s="34"/>
      <c r="F5" s="43" t="s">
        <v>495</v>
      </c>
      <c r="G5" s="44">
        <v>730417</v>
      </c>
      <c r="H5" s="45">
        <f>G5</f>
        <v>730417</v>
      </c>
      <c r="I5" s="45">
        <f t="shared" ref="I5:J5" si="0">G5</f>
        <v>730417</v>
      </c>
      <c r="J5" s="45">
        <f t="shared" si="0"/>
        <v>730417</v>
      </c>
      <c r="K5" s="34"/>
      <c r="L5" s="43" t="s">
        <v>495</v>
      </c>
      <c r="M5" s="44">
        <v>730417</v>
      </c>
      <c r="N5" s="45">
        <f>M5</f>
        <v>730417</v>
      </c>
      <c r="O5" s="45">
        <f t="shared" ref="O5:P5" si="1">M5</f>
        <v>730417</v>
      </c>
      <c r="P5" s="45">
        <f t="shared" si="1"/>
        <v>730417</v>
      </c>
      <c r="Q5" s="34"/>
      <c r="R5" s="43" t="s">
        <v>495</v>
      </c>
      <c r="S5" s="44">
        <v>730417</v>
      </c>
      <c r="T5" s="45">
        <f>S5</f>
        <v>730417</v>
      </c>
      <c r="U5" s="45">
        <f t="shared" ref="U5:V5" si="2">S5</f>
        <v>730417</v>
      </c>
      <c r="V5" s="45">
        <f t="shared" si="2"/>
        <v>730417</v>
      </c>
      <c r="W5" s="34"/>
      <c r="X5" s="43" t="s">
        <v>495</v>
      </c>
      <c r="Y5" s="44">
        <v>730417</v>
      </c>
      <c r="Z5" s="45">
        <f>Y5</f>
        <v>730417</v>
      </c>
      <c r="AA5" s="45">
        <f t="shared" ref="AA5:AB5" si="3">Y5</f>
        <v>730417</v>
      </c>
      <c r="AB5" s="45">
        <f t="shared" si="3"/>
        <v>730417</v>
      </c>
    </row>
    <row r="6" spans="1:28" ht="13.5" customHeight="1" x14ac:dyDescent="0.2">
      <c r="A6" s="41"/>
      <c r="B6" s="42"/>
      <c r="C6" s="42"/>
      <c r="D6" s="42"/>
      <c r="E6" s="34"/>
      <c r="F6" s="46"/>
      <c r="G6" s="47"/>
      <c r="H6" s="47"/>
      <c r="I6" s="47"/>
      <c r="J6" s="34"/>
      <c r="K6" s="34"/>
      <c r="L6" s="46"/>
      <c r="M6" s="47"/>
      <c r="N6" s="47"/>
      <c r="O6" s="47"/>
      <c r="P6" s="34"/>
      <c r="Q6" s="34"/>
      <c r="R6" s="46"/>
      <c r="S6" s="47"/>
      <c r="T6" s="47"/>
      <c r="U6" s="47"/>
      <c r="V6" s="34"/>
      <c r="W6" s="34"/>
      <c r="X6" s="46"/>
      <c r="Y6" s="47"/>
      <c r="Z6" s="47"/>
      <c r="AA6" s="47"/>
      <c r="AB6" s="34"/>
    </row>
    <row r="7" spans="1:28" ht="13.5" customHeight="1" x14ac:dyDescent="0.2">
      <c r="A7" s="48" t="s">
        <v>496</v>
      </c>
      <c r="B7" s="49" t="s">
        <v>497</v>
      </c>
      <c r="C7" s="49" t="s">
        <v>498</v>
      </c>
      <c r="D7" s="49" t="s">
        <v>499</v>
      </c>
      <c r="E7" s="50"/>
      <c r="F7" s="46"/>
      <c r="G7" s="47"/>
      <c r="H7" s="47"/>
      <c r="I7" s="47"/>
      <c r="J7" s="34"/>
      <c r="K7" s="34"/>
      <c r="L7" s="46"/>
      <c r="M7" s="47"/>
      <c r="N7" s="47"/>
      <c r="O7" s="47"/>
      <c r="P7" s="34"/>
      <c r="Q7" s="34"/>
      <c r="R7" s="46"/>
      <c r="S7" s="47"/>
      <c r="T7" s="47"/>
      <c r="U7" s="47"/>
      <c r="V7" s="34"/>
      <c r="W7" s="34"/>
      <c r="X7" s="46"/>
      <c r="Y7" s="47"/>
      <c r="Z7" s="47"/>
      <c r="AA7" s="47"/>
      <c r="AB7" s="34"/>
    </row>
    <row r="8" spans="1:28" ht="13.5" customHeight="1" x14ac:dyDescent="0.2">
      <c r="A8" s="41" t="s">
        <v>500</v>
      </c>
      <c r="B8" s="51">
        <f>B4</f>
        <v>645000</v>
      </c>
      <c r="C8" s="51">
        <f>B4</f>
        <v>645000</v>
      </c>
      <c r="D8" s="51">
        <f>B4</f>
        <v>645000</v>
      </c>
      <c r="E8" s="34"/>
      <c r="F8" s="52" t="s">
        <v>496</v>
      </c>
      <c r="G8" s="53" t="s">
        <v>497</v>
      </c>
      <c r="H8" s="53" t="s">
        <v>498</v>
      </c>
      <c r="I8" s="53" t="s">
        <v>499</v>
      </c>
      <c r="J8" s="54" t="s">
        <v>501</v>
      </c>
      <c r="K8" s="34"/>
      <c r="L8" s="52" t="s">
        <v>496</v>
      </c>
      <c r="M8" s="53" t="s">
        <v>497</v>
      </c>
      <c r="N8" s="53" t="s">
        <v>498</v>
      </c>
      <c r="O8" s="53" t="s">
        <v>499</v>
      </c>
      <c r="P8" s="54" t="s">
        <v>501</v>
      </c>
      <c r="Q8" s="34"/>
      <c r="R8" s="52" t="s">
        <v>496</v>
      </c>
      <c r="S8" s="53" t="s">
        <v>497</v>
      </c>
      <c r="T8" s="53" t="s">
        <v>498</v>
      </c>
      <c r="U8" s="53" t="s">
        <v>499</v>
      </c>
      <c r="V8" s="54" t="s">
        <v>501</v>
      </c>
      <c r="W8" s="34"/>
      <c r="X8" s="52" t="s">
        <v>496</v>
      </c>
      <c r="Y8" s="53" t="s">
        <v>497</v>
      </c>
      <c r="Z8" s="53" t="s">
        <v>498</v>
      </c>
      <c r="AA8" s="53" t="s">
        <v>499</v>
      </c>
      <c r="AB8" s="54" t="s">
        <v>501</v>
      </c>
    </row>
    <row r="9" spans="1:28" ht="13.5" customHeight="1" x14ac:dyDescent="0.2">
      <c r="A9" s="41" t="s">
        <v>502</v>
      </c>
      <c r="B9" s="42">
        <v>50000</v>
      </c>
      <c r="C9" s="42">
        <v>60000</v>
      </c>
      <c r="D9" s="42">
        <v>45000</v>
      </c>
      <c r="E9" s="34"/>
      <c r="F9" s="46" t="s">
        <v>500</v>
      </c>
      <c r="G9" s="55">
        <v>645000</v>
      </c>
      <c r="H9" s="55">
        <v>645000</v>
      </c>
      <c r="I9" s="55">
        <v>645000</v>
      </c>
      <c r="J9" s="55">
        <v>645000</v>
      </c>
      <c r="K9" s="34"/>
      <c r="L9" s="46" t="s">
        <v>500</v>
      </c>
      <c r="M9" s="55">
        <f t="shared" ref="M9:P9" si="4">M5</f>
        <v>730417</v>
      </c>
      <c r="N9" s="55">
        <f t="shared" si="4"/>
        <v>730417</v>
      </c>
      <c r="O9" s="55">
        <f t="shared" si="4"/>
        <v>730417</v>
      </c>
      <c r="P9" s="55">
        <f t="shared" si="4"/>
        <v>730417</v>
      </c>
      <c r="Q9" s="34"/>
      <c r="R9" s="46" t="s">
        <v>500</v>
      </c>
      <c r="S9" s="55">
        <v>645000</v>
      </c>
      <c r="T9" s="55">
        <f t="shared" ref="T9:V9" si="5">T5</f>
        <v>730417</v>
      </c>
      <c r="U9" s="55">
        <f t="shared" si="5"/>
        <v>730417</v>
      </c>
      <c r="V9" s="55">
        <f t="shared" si="5"/>
        <v>730417</v>
      </c>
      <c r="W9" s="34"/>
      <c r="X9" s="46" t="s">
        <v>500</v>
      </c>
      <c r="Y9" s="55">
        <v>645000</v>
      </c>
      <c r="Z9" s="55">
        <v>645000</v>
      </c>
      <c r="AA9" s="55">
        <v>645000</v>
      </c>
      <c r="AB9" s="55">
        <f>AB5</f>
        <v>730417</v>
      </c>
    </row>
    <row r="10" spans="1:28" ht="13.5" customHeight="1" x14ac:dyDescent="0.2">
      <c r="A10" s="41" t="s">
        <v>503</v>
      </c>
      <c r="B10" s="42">
        <f>210000*6</f>
        <v>1260000</v>
      </c>
      <c r="C10" s="42">
        <f>230000*6</f>
        <v>1380000</v>
      </c>
      <c r="D10" s="42">
        <f>210000*6</f>
        <v>1260000</v>
      </c>
      <c r="E10" s="34"/>
      <c r="F10" s="46" t="s">
        <v>502</v>
      </c>
      <c r="G10" s="47">
        <v>64000</v>
      </c>
      <c r="H10" s="47">
        <v>64000</v>
      </c>
      <c r="I10" s="47">
        <v>64000</v>
      </c>
      <c r="J10" s="47">
        <v>64000</v>
      </c>
      <c r="K10" s="34"/>
      <c r="L10" s="46" t="s">
        <v>502</v>
      </c>
      <c r="M10" s="47">
        <v>64000</v>
      </c>
      <c r="N10" s="47">
        <v>64000</v>
      </c>
      <c r="O10" s="47">
        <v>64000</v>
      </c>
      <c r="P10" s="47">
        <v>64000</v>
      </c>
      <c r="Q10" s="34"/>
      <c r="R10" s="46" t="s">
        <v>502</v>
      </c>
      <c r="S10" s="47">
        <v>64000</v>
      </c>
      <c r="T10" s="47">
        <v>64000</v>
      </c>
      <c r="U10" s="47">
        <v>64000</v>
      </c>
      <c r="V10" s="47">
        <v>64000</v>
      </c>
      <c r="W10" s="34"/>
      <c r="X10" s="46" t="s">
        <v>502</v>
      </c>
      <c r="Y10" s="47"/>
      <c r="Z10" s="47"/>
      <c r="AA10" s="47"/>
      <c r="AB10" s="47">
        <v>64000</v>
      </c>
    </row>
    <row r="11" spans="1:28" ht="13.5" customHeight="1" x14ac:dyDescent="0.2">
      <c r="A11" s="41" t="s">
        <v>504</v>
      </c>
      <c r="B11" s="35">
        <v>50000</v>
      </c>
      <c r="C11" s="35">
        <v>50000</v>
      </c>
      <c r="D11" s="35">
        <v>50000</v>
      </c>
      <c r="E11" s="35"/>
      <c r="F11" s="46" t="s">
        <v>503</v>
      </c>
      <c r="G11" s="47">
        <v>1500000</v>
      </c>
      <c r="H11" s="47">
        <v>1500000</v>
      </c>
      <c r="I11" s="47">
        <v>1500000</v>
      </c>
      <c r="J11" s="47">
        <v>1500000</v>
      </c>
      <c r="K11" s="34"/>
      <c r="L11" s="46" t="s">
        <v>503</v>
      </c>
      <c r="M11" s="47"/>
      <c r="N11" s="47"/>
      <c r="O11" s="47"/>
      <c r="P11" s="47">
        <v>1500000</v>
      </c>
      <c r="Q11" s="34"/>
      <c r="R11" s="46" t="s">
        <v>503</v>
      </c>
      <c r="S11" s="47">
        <v>1700000</v>
      </c>
      <c r="T11" s="47">
        <v>1500000</v>
      </c>
      <c r="U11" s="47">
        <v>1500000</v>
      </c>
      <c r="V11" s="47">
        <v>1500000</v>
      </c>
      <c r="W11" s="34"/>
      <c r="X11" s="46" t="s">
        <v>503</v>
      </c>
      <c r="Y11" s="47">
        <v>1100000</v>
      </c>
      <c r="Z11" s="47">
        <v>1100000</v>
      </c>
      <c r="AA11" s="47">
        <v>1100000</v>
      </c>
      <c r="AB11" s="47">
        <v>1500000</v>
      </c>
    </row>
    <row r="12" spans="1:28" ht="13.5" customHeight="1" x14ac:dyDescent="0.2">
      <c r="A12" s="41" t="s">
        <v>505</v>
      </c>
      <c r="B12" s="42">
        <f t="shared" ref="B12:D12" si="6">B10*0.05</f>
        <v>63000</v>
      </c>
      <c r="C12" s="42">
        <f t="shared" si="6"/>
        <v>69000</v>
      </c>
      <c r="D12" s="42">
        <f t="shared" si="6"/>
        <v>63000</v>
      </c>
      <c r="E12" s="34"/>
      <c r="F12" s="46" t="s">
        <v>504</v>
      </c>
      <c r="G12" s="35">
        <v>0</v>
      </c>
      <c r="H12" s="35">
        <v>0</v>
      </c>
      <c r="I12" s="35">
        <v>0</v>
      </c>
      <c r="J12" s="35">
        <v>0</v>
      </c>
      <c r="K12" s="34"/>
      <c r="L12" s="46" t="s">
        <v>504</v>
      </c>
      <c r="M12" s="35"/>
      <c r="N12" s="35"/>
      <c r="O12" s="35"/>
      <c r="P12" s="35">
        <v>0</v>
      </c>
      <c r="Q12" s="34"/>
      <c r="R12" s="46" t="s">
        <v>504</v>
      </c>
      <c r="S12" s="35">
        <v>0</v>
      </c>
      <c r="T12" s="35">
        <v>0</v>
      </c>
      <c r="U12" s="35">
        <v>0</v>
      </c>
      <c r="V12" s="35">
        <v>0</v>
      </c>
      <c r="W12" s="34"/>
      <c r="X12" s="46" t="s">
        <v>504</v>
      </c>
      <c r="Y12" s="35">
        <v>0</v>
      </c>
      <c r="Z12" s="35">
        <v>0</v>
      </c>
      <c r="AA12" s="35">
        <v>0</v>
      </c>
      <c r="AB12" s="35">
        <v>0</v>
      </c>
    </row>
    <row r="13" spans="1:28" ht="13.5" customHeight="1" x14ac:dyDescent="0.2">
      <c r="A13" s="41" t="s">
        <v>506</v>
      </c>
      <c r="B13" s="42">
        <f>(B10+B4)*0.09</f>
        <v>171450</v>
      </c>
      <c r="C13" s="42">
        <f>(C10+C4)*0.1</f>
        <v>170250</v>
      </c>
      <c r="D13" s="42">
        <f>(D10+D4)*0.09</f>
        <v>113400</v>
      </c>
      <c r="E13" s="34"/>
      <c r="F13" s="46" t="s">
        <v>507</v>
      </c>
      <c r="G13" s="35">
        <v>30000</v>
      </c>
      <c r="H13" s="35">
        <v>40000</v>
      </c>
      <c r="I13" s="35">
        <v>20000</v>
      </c>
      <c r="J13" s="35">
        <v>30000</v>
      </c>
      <c r="K13" s="34"/>
      <c r="L13" s="46" t="s">
        <v>507</v>
      </c>
      <c r="M13" s="35">
        <v>30000</v>
      </c>
      <c r="N13" s="35">
        <v>30000</v>
      </c>
      <c r="O13" s="35">
        <v>30000</v>
      </c>
      <c r="P13" s="35">
        <v>30000</v>
      </c>
      <c r="Q13" s="34"/>
      <c r="R13" s="46" t="s">
        <v>507</v>
      </c>
      <c r="S13" s="35">
        <v>30000</v>
      </c>
      <c r="T13" s="35">
        <v>40000</v>
      </c>
      <c r="U13" s="35">
        <v>20000</v>
      </c>
      <c r="V13" s="35">
        <v>30000</v>
      </c>
      <c r="W13" s="34"/>
      <c r="X13" s="46" t="s">
        <v>507</v>
      </c>
      <c r="Y13" s="35"/>
      <c r="Z13" s="35"/>
      <c r="AA13" s="35"/>
      <c r="AB13" s="35">
        <v>30000</v>
      </c>
    </row>
    <row r="14" spans="1:28" ht="13.5" customHeight="1" x14ac:dyDescent="0.2">
      <c r="A14" s="56" t="s">
        <v>508</v>
      </c>
      <c r="B14" s="57">
        <f t="shared" ref="B14:D14" si="7">SUM(B8:B13)</f>
        <v>2239450</v>
      </c>
      <c r="C14" s="57">
        <f t="shared" si="7"/>
        <v>2374250</v>
      </c>
      <c r="D14" s="57">
        <f t="shared" si="7"/>
        <v>2176400</v>
      </c>
      <c r="E14" s="34"/>
      <c r="F14" s="46" t="s">
        <v>509</v>
      </c>
      <c r="G14" s="47">
        <v>60000</v>
      </c>
      <c r="H14" s="47">
        <v>60000</v>
      </c>
      <c r="I14" s="47">
        <v>60000</v>
      </c>
      <c r="J14" s="47">
        <v>60000</v>
      </c>
      <c r="K14" s="34"/>
      <c r="L14" s="46" t="s">
        <v>509</v>
      </c>
      <c r="M14" s="47">
        <f t="shared" ref="M14:O14" si="8">M11*0.05</f>
        <v>0</v>
      </c>
      <c r="N14" s="47">
        <f t="shared" si="8"/>
        <v>0</v>
      </c>
      <c r="O14" s="47">
        <f t="shared" si="8"/>
        <v>0</v>
      </c>
      <c r="P14" s="47"/>
      <c r="Q14" s="34"/>
      <c r="R14" s="46" t="s">
        <v>509</v>
      </c>
      <c r="S14" s="47">
        <v>60000</v>
      </c>
      <c r="T14" s="47">
        <v>60000</v>
      </c>
      <c r="U14" s="47">
        <v>60000</v>
      </c>
      <c r="V14" s="47">
        <v>60000</v>
      </c>
      <c r="W14" s="34"/>
      <c r="X14" s="46" t="s">
        <v>509</v>
      </c>
      <c r="Y14" s="47">
        <v>60000</v>
      </c>
      <c r="Z14" s="47">
        <v>60000</v>
      </c>
      <c r="AA14" s="47">
        <v>60000</v>
      </c>
      <c r="AB14" s="47">
        <v>60000</v>
      </c>
    </row>
    <row r="15" spans="1:28" ht="13.5" customHeight="1" x14ac:dyDescent="0.2">
      <c r="A15" s="56"/>
      <c r="B15" s="57"/>
      <c r="C15" s="57"/>
      <c r="D15" s="57"/>
      <c r="E15" s="34"/>
      <c r="F15" s="46" t="s">
        <v>510</v>
      </c>
      <c r="G15" s="47">
        <v>170000</v>
      </c>
      <c r="H15" s="47">
        <v>180000</v>
      </c>
      <c r="I15" s="47">
        <v>160000</v>
      </c>
      <c r="J15" s="47">
        <v>180000</v>
      </c>
      <c r="K15" s="34"/>
      <c r="L15" s="46" t="s">
        <v>510</v>
      </c>
      <c r="M15" s="47"/>
      <c r="N15" s="47"/>
      <c r="O15" s="47"/>
      <c r="P15" s="47"/>
      <c r="Q15" s="34"/>
      <c r="R15" s="46" t="s">
        <v>510</v>
      </c>
      <c r="S15" s="47">
        <v>150000</v>
      </c>
      <c r="T15" s="47">
        <v>180000</v>
      </c>
      <c r="U15" s="47">
        <v>140000</v>
      </c>
      <c r="V15" s="47">
        <v>150000</v>
      </c>
      <c r="W15" s="34"/>
      <c r="X15" s="46" t="s">
        <v>510</v>
      </c>
      <c r="Y15" s="47">
        <v>150000</v>
      </c>
      <c r="Z15" s="47">
        <v>180000</v>
      </c>
      <c r="AA15" s="47">
        <v>140000</v>
      </c>
      <c r="AB15" s="47">
        <v>150000</v>
      </c>
    </row>
    <row r="16" spans="1:28" ht="13.5" customHeight="1" x14ac:dyDescent="0.2">
      <c r="A16" s="48" t="s">
        <v>511</v>
      </c>
      <c r="B16" s="49" t="s">
        <v>497</v>
      </c>
      <c r="C16" s="49" t="s">
        <v>498</v>
      </c>
      <c r="D16" s="49" t="s">
        <v>499</v>
      </c>
      <c r="E16" s="34"/>
      <c r="F16" s="58" t="s">
        <v>508</v>
      </c>
      <c r="G16" s="59">
        <f t="shared" ref="G16:J16" si="9">SUM(G9:G15)</f>
        <v>2469000</v>
      </c>
      <c r="H16" s="59">
        <f t="shared" si="9"/>
        <v>2489000</v>
      </c>
      <c r="I16" s="59">
        <f t="shared" si="9"/>
        <v>2449000</v>
      </c>
      <c r="J16" s="59">
        <f t="shared" si="9"/>
        <v>2479000</v>
      </c>
      <c r="K16" s="34"/>
      <c r="L16" s="58" t="s">
        <v>508</v>
      </c>
      <c r="M16" s="59">
        <f t="shared" ref="M16:P16" si="10">SUM(M9:M15)</f>
        <v>824417</v>
      </c>
      <c r="N16" s="59">
        <f t="shared" si="10"/>
        <v>824417</v>
      </c>
      <c r="O16" s="59">
        <f t="shared" si="10"/>
        <v>824417</v>
      </c>
      <c r="P16" s="59">
        <f t="shared" si="10"/>
        <v>2324417</v>
      </c>
      <c r="Q16" s="34"/>
      <c r="R16" s="58" t="s">
        <v>508</v>
      </c>
      <c r="S16" s="59">
        <f t="shared" ref="S16:V16" si="11">SUM(S9:S15)</f>
        <v>2649000</v>
      </c>
      <c r="T16" s="59">
        <f t="shared" si="11"/>
        <v>2574417</v>
      </c>
      <c r="U16" s="59">
        <f t="shared" si="11"/>
        <v>2514417</v>
      </c>
      <c r="V16" s="59">
        <f t="shared" si="11"/>
        <v>2534417</v>
      </c>
      <c r="W16" s="34"/>
      <c r="X16" s="58" t="s">
        <v>508</v>
      </c>
      <c r="Y16" s="59">
        <f t="shared" ref="Y16:AB16" si="12">SUM(Y9:Y15)</f>
        <v>1955000</v>
      </c>
      <c r="Z16" s="59">
        <f t="shared" si="12"/>
        <v>1985000</v>
      </c>
      <c r="AA16" s="59">
        <f t="shared" si="12"/>
        <v>1945000</v>
      </c>
      <c r="AB16" s="59">
        <f t="shared" si="12"/>
        <v>2534417</v>
      </c>
    </row>
    <row r="17" spans="1:28" ht="13.5" customHeight="1" x14ac:dyDescent="0.2">
      <c r="A17" s="41" t="s">
        <v>512</v>
      </c>
      <c r="B17" s="42">
        <v>580000</v>
      </c>
      <c r="C17" s="42">
        <v>570000</v>
      </c>
      <c r="D17" s="42">
        <v>610000</v>
      </c>
      <c r="E17" s="34"/>
      <c r="F17" s="58"/>
      <c r="G17" s="59"/>
      <c r="H17" s="59"/>
      <c r="I17" s="59"/>
      <c r="J17" s="59"/>
      <c r="K17" s="34"/>
      <c r="L17" s="58"/>
      <c r="M17" s="59"/>
      <c r="N17" s="59"/>
      <c r="O17" s="59"/>
      <c r="P17" s="59"/>
      <c r="Q17" s="34"/>
      <c r="R17" s="58"/>
      <c r="S17" s="59"/>
      <c r="T17" s="59"/>
      <c r="U17" s="59"/>
      <c r="V17" s="59"/>
      <c r="W17" s="34"/>
      <c r="X17" s="58"/>
      <c r="Y17" s="59"/>
      <c r="Z17" s="59"/>
      <c r="AA17" s="59"/>
      <c r="AB17" s="59"/>
    </row>
    <row r="18" spans="1:28" ht="13.5" customHeight="1" x14ac:dyDescent="0.2">
      <c r="A18" s="41" t="s">
        <v>513</v>
      </c>
      <c r="B18" s="42">
        <v>580000</v>
      </c>
      <c r="C18" s="42">
        <v>570000</v>
      </c>
      <c r="D18" s="42">
        <v>610000</v>
      </c>
      <c r="E18" s="34"/>
      <c r="F18" s="52" t="s">
        <v>511</v>
      </c>
      <c r="G18" s="53" t="s">
        <v>497</v>
      </c>
      <c r="H18" s="53" t="s">
        <v>498</v>
      </c>
      <c r="I18" s="53" t="s">
        <v>499</v>
      </c>
      <c r="J18" s="53" t="s">
        <v>514</v>
      </c>
      <c r="K18" s="34"/>
      <c r="L18" s="52" t="s">
        <v>511</v>
      </c>
      <c r="M18" s="53" t="s">
        <v>497</v>
      </c>
      <c r="N18" s="53" t="s">
        <v>498</v>
      </c>
      <c r="O18" s="53" t="s">
        <v>499</v>
      </c>
      <c r="P18" s="53" t="s">
        <v>514</v>
      </c>
      <c r="Q18" s="34"/>
      <c r="R18" s="52" t="s">
        <v>511</v>
      </c>
      <c r="S18" s="53" t="s">
        <v>497</v>
      </c>
      <c r="T18" s="53" t="s">
        <v>498</v>
      </c>
      <c r="U18" s="53" t="s">
        <v>499</v>
      </c>
      <c r="V18" s="53" t="s">
        <v>514</v>
      </c>
      <c r="W18" s="34"/>
      <c r="X18" s="52" t="s">
        <v>511</v>
      </c>
      <c r="Y18" s="53" t="s">
        <v>497</v>
      </c>
      <c r="Z18" s="53" t="s">
        <v>498</v>
      </c>
      <c r="AA18" s="53" t="s">
        <v>499</v>
      </c>
      <c r="AB18" s="53" t="s">
        <v>514</v>
      </c>
    </row>
    <row r="19" spans="1:28" ht="13.5" customHeight="1" x14ac:dyDescent="0.2">
      <c r="A19" s="41" t="s">
        <v>515</v>
      </c>
      <c r="B19" s="42">
        <v>580000</v>
      </c>
      <c r="C19" s="42">
        <v>570000</v>
      </c>
      <c r="D19" s="42">
        <v>610000</v>
      </c>
      <c r="E19" s="34"/>
      <c r="F19" s="46" t="s">
        <v>512</v>
      </c>
      <c r="G19" s="47">
        <v>575000</v>
      </c>
      <c r="H19" s="47">
        <v>550000</v>
      </c>
      <c r="I19" s="47">
        <v>590000</v>
      </c>
      <c r="J19" s="47">
        <v>620000</v>
      </c>
      <c r="K19" s="34"/>
      <c r="L19" s="46" t="s">
        <v>512</v>
      </c>
      <c r="M19" s="47">
        <v>1200000</v>
      </c>
      <c r="N19" s="47">
        <v>1100000</v>
      </c>
      <c r="O19" s="47">
        <v>1300000</v>
      </c>
      <c r="P19" s="47"/>
      <c r="Q19" s="34"/>
      <c r="R19" s="46" t="s">
        <v>512</v>
      </c>
      <c r="S19" s="47">
        <v>570000</v>
      </c>
      <c r="T19" s="47">
        <v>550000</v>
      </c>
      <c r="U19" s="47">
        <v>580000</v>
      </c>
      <c r="V19" s="47">
        <v>620000</v>
      </c>
      <c r="W19" s="34"/>
      <c r="X19" s="46" t="s">
        <v>512</v>
      </c>
      <c r="Y19" s="47">
        <v>570000</v>
      </c>
      <c r="Z19" s="47">
        <v>550000</v>
      </c>
      <c r="AA19" s="47">
        <v>580000</v>
      </c>
      <c r="AB19" s="47">
        <v>620000</v>
      </c>
    </row>
    <row r="20" spans="1:28" ht="13.5" customHeight="1" x14ac:dyDescent="0.2">
      <c r="A20" s="41" t="s">
        <v>516</v>
      </c>
      <c r="B20" s="42">
        <v>580000</v>
      </c>
      <c r="C20" s="42">
        <v>570000</v>
      </c>
      <c r="D20" s="42">
        <v>610000</v>
      </c>
      <c r="E20" s="34"/>
      <c r="F20" s="46" t="s">
        <v>513</v>
      </c>
      <c r="G20" s="47">
        <v>575000</v>
      </c>
      <c r="H20" s="47">
        <v>550000</v>
      </c>
      <c r="I20" s="47">
        <v>590000</v>
      </c>
      <c r="J20" s="47">
        <v>600000</v>
      </c>
      <c r="K20" s="34"/>
      <c r="L20" s="46" t="s">
        <v>513</v>
      </c>
      <c r="M20" s="47"/>
      <c r="N20" s="47"/>
      <c r="O20" s="47"/>
      <c r="P20" s="47"/>
      <c r="Q20" s="34"/>
      <c r="R20" s="46" t="s">
        <v>513</v>
      </c>
      <c r="S20" s="47">
        <v>570000</v>
      </c>
      <c r="T20" s="47">
        <v>550000</v>
      </c>
      <c r="U20" s="47">
        <v>580000</v>
      </c>
      <c r="V20" s="47">
        <v>600000</v>
      </c>
      <c r="W20" s="34"/>
      <c r="X20" s="46" t="s">
        <v>513</v>
      </c>
      <c r="Y20" s="47">
        <v>570000</v>
      </c>
      <c r="Z20" s="47">
        <v>550000</v>
      </c>
      <c r="AA20" s="47">
        <v>580000</v>
      </c>
      <c r="AB20" s="47">
        <v>600000</v>
      </c>
    </row>
    <row r="21" spans="1:28" ht="13.5" customHeight="1" x14ac:dyDescent="0.2">
      <c r="A21" s="41" t="s">
        <v>517</v>
      </c>
      <c r="B21" s="42">
        <v>580000</v>
      </c>
      <c r="C21" s="42">
        <v>570000</v>
      </c>
      <c r="D21" s="42">
        <v>610000</v>
      </c>
      <c r="E21" s="34"/>
      <c r="F21" s="46" t="s">
        <v>515</v>
      </c>
      <c r="G21" s="47">
        <v>575000</v>
      </c>
      <c r="H21" s="47">
        <v>550000</v>
      </c>
      <c r="I21" s="47">
        <v>590000</v>
      </c>
      <c r="J21" s="47">
        <v>600000</v>
      </c>
      <c r="K21" s="34"/>
      <c r="L21" s="46" t="s">
        <v>515</v>
      </c>
      <c r="M21" s="47"/>
      <c r="N21" s="47"/>
      <c r="O21" s="47"/>
      <c r="P21" s="47"/>
      <c r="Q21" s="34"/>
      <c r="R21" s="46" t="s">
        <v>515</v>
      </c>
      <c r="S21" s="47">
        <v>570000</v>
      </c>
      <c r="T21" s="47">
        <v>550000</v>
      </c>
      <c r="U21" s="47">
        <v>580000</v>
      </c>
      <c r="V21" s="47">
        <v>600000</v>
      </c>
      <c r="W21" s="34"/>
      <c r="X21" s="46" t="s">
        <v>515</v>
      </c>
      <c r="Y21" s="47">
        <v>570000</v>
      </c>
      <c r="Z21" s="47">
        <v>550000</v>
      </c>
      <c r="AA21" s="47">
        <v>580000</v>
      </c>
      <c r="AB21" s="47">
        <v>600000</v>
      </c>
    </row>
    <row r="22" spans="1:28" ht="13.5" customHeight="1" x14ac:dyDescent="0.2">
      <c r="A22" s="41" t="s">
        <v>518</v>
      </c>
      <c r="B22" s="42">
        <v>580000</v>
      </c>
      <c r="C22" s="42">
        <v>570000</v>
      </c>
      <c r="D22" s="42">
        <v>610000</v>
      </c>
      <c r="E22" s="34"/>
      <c r="F22" s="46" t="s">
        <v>516</v>
      </c>
      <c r="G22" s="47">
        <v>575000</v>
      </c>
      <c r="H22" s="47">
        <v>550000</v>
      </c>
      <c r="I22" s="47">
        <v>590000</v>
      </c>
      <c r="J22" s="47">
        <v>600000</v>
      </c>
      <c r="K22" s="34"/>
      <c r="L22" s="46" t="s">
        <v>516</v>
      </c>
      <c r="M22" s="47"/>
      <c r="N22" s="47"/>
      <c r="O22" s="47"/>
      <c r="P22" s="47"/>
      <c r="Q22" s="34"/>
      <c r="R22" s="46" t="s">
        <v>516</v>
      </c>
      <c r="S22" s="47">
        <v>570000</v>
      </c>
      <c r="T22" s="47">
        <v>550000</v>
      </c>
      <c r="U22" s="47">
        <v>580000</v>
      </c>
      <c r="V22" s="47">
        <v>600000</v>
      </c>
      <c r="W22" s="34"/>
      <c r="X22" s="46" t="s">
        <v>516</v>
      </c>
      <c r="Y22" s="47">
        <v>570000</v>
      </c>
      <c r="Z22" s="47">
        <v>550000</v>
      </c>
      <c r="AA22" s="47">
        <v>580000</v>
      </c>
      <c r="AB22" s="47">
        <v>600000</v>
      </c>
    </row>
    <row r="23" spans="1:28" ht="13.5" customHeight="1" x14ac:dyDescent="0.2">
      <c r="A23" s="60" t="s">
        <v>519</v>
      </c>
      <c r="B23" s="61">
        <f t="shared" ref="B23:D23" si="13">SUM(B17:B22)</f>
        <v>3480000</v>
      </c>
      <c r="C23" s="61">
        <f t="shared" si="13"/>
        <v>3420000</v>
      </c>
      <c r="D23" s="61">
        <f t="shared" si="13"/>
        <v>3660000</v>
      </c>
      <c r="E23" s="34"/>
      <c r="F23" s="46" t="s">
        <v>517</v>
      </c>
      <c r="G23" s="47">
        <v>575000</v>
      </c>
      <c r="H23" s="47">
        <v>550000</v>
      </c>
      <c r="I23" s="47">
        <v>590000</v>
      </c>
      <c r="J23" s="47">
        <v>600000</v>
      </c>
      <c r="K23" s="34"/>
      <c r="L23" s="46" t="s">
        <v>517</v>
      </c>
      <c r="M23" s="47"/>
      <c r="N23" s="47"/>
      <c r="O23" s="47"/>
      <c r="P23" s="47"/>
      <c r="Q23" s="34"/>
      <c r="R23" s="46" t="s">
        <v>517</v>
      </c>
      <c r="S23" s="47">
        <v>600000</v>
      </c>
      <c r="T23" s="47">
        <v>600000</v>
      </c>
      <c r="U23" s="47">
        <v>600000</v>
      </c>
      <c r="V23" s="47">
        <v>600000</v>
      </c>
      <c r="W23" s="34"/>
      <c r="X23" s="46" t="s">
        <v>517</v>
      </c>
      <c r="Y23" s="47">
        <v>600000</v>
      </c>
      <c r="Z23" s="47">
        <v>600000</v>
      </c>
      <c r="AA23" s="47">
        <v>600000</v>
      </c>
      <c r="AB23" s="47">
        <v>600000</v>
      </c>
    </row>
    <row r="24" spans="1:28" ht="13.5" customHeight="1" x14ac:dyDescent="0.2">
      <c r="A24" s="41"/>
      <c r="B24" s="42"/>
      <c r="C24" s="42"/>
      <c r="D24" s="42"/>
      <c r="E24" s="34"/>
      <c r="F24" s="46" t="s">
        <v>518</v>
      </c>
      <c r="G24" s="47">
        <v>575000</v>
      </c>
      <c r="H24" s="47">
        <v>550000</v>
      </c>
      <c r="I24" s="47">
        <v>590000</v>
      </c>
      <c r="J24" s="47">
        <v>600000</v>
      </c>
      <c r="K24" s="34"/>
      <c r="L24" s="46" t="s">
        <v>518</v>
      </c>
      <c r="M24" s="47"/>
      <c r="N24" s="47"/>
      <c r="O24" s="47"/>
      <c r="P24" s="47"/>
      <c r="Q24" s="34"/>
      <c r="R24" s="46" t="s">
        <v>518</v>
      </c>
      <c r="S24" s="47">
        <v>600000</v>
      </c>
      <c r="T24" s="47">
        <v>600000</v>
      </c>
      <c r="U24" s="47">
        <v>600000</v>
      </c>
      <c r="V24" s="47">
        <v>600000</v>
      </c>
      <c r="W24" s="34"/>
      <c r="X24" s="46" t="s">
        <v>518</v>
      </c>
      <c r="Y24" s="47">
        <v>600000</v>
      </c>
      <c r="Z24" s="47">
        <v>600000</v>
      </c>
      <c r="AA24" s="47">
        <v>600000</v>
      </c>
      <c r="AB24" s="47">
        <v>600000</v>
      </c>
    </row>
    <row r="25" spans="1:28" ht="13.5" customHeight="1" x14ac:dyDescent="0.2">
      <c r="A25" s="62" t="s">
        <v>520</v>
      </c>
      <c r="B25" s="63">
        <f t="shared" ref="B25:D25" si="14">B23-B14</f>
        <v>1240550</v>
      </c>
      <c r="C25" s="63">
        <f t="shared" si="14"/>
        <v>1045750</v>
      </c>
      <c r="D25" s="63">
        <f t="shared" si="14"/>
        <v>1483600</v>
      </c>
      <c r="E25" s="34"/>
      <c r="F25" s="64" t="s">
        <v>519</v>
      </c>
      <c r="G25" s="65">
        <f t="shared" ref="G25:J25" si="15">SUM(G19:G24)</f>
        <v>3450000</v>
      </c>
      <c r="H25" s="65">
        <f t="shared" si="15"/>
        <v>3300000</v>
      </c>
      <c r="I25" s="65">
        <f t="shared" si="15"/>
        <v>3540000</v>
      </c>
      <c r="J25" s="65">
        <f t="shared" si="15"/>
        <v>3620000</v>
      </c>
      <c r="K25" s="34"/>
      <c r="L25" s="64" t="s">
        <v>519</v>
      </c>
      <c r="M25" s="65">
        <f t="shared" ref="M25:P25" si="16">SUM(M19:M24)</f>
        <v>1200000</v>
      </c>
      <c r="N25" s="65">
        <f t="shared" si="16"/>
        <v>1100000</v>
      </c>
      <c r="O25" s="65">
        <f t="shared" si="16"/>
        <v>1300000</v>
      </c>
      <c r="P25" s="65">
        <f t="shared" si="16"/>
        <v>0</v>
      </c>
      <c r="Q25" s="34"/>
      <c r="R25" s="64" t="s">
        <v>519</v>
      </c>
      <c r="S25" s="65">
        <f t="shared" ref="S25:V25" si="17">SUM(S19:S24)</f>
        <v>3480000</v>
      </c>
      <c r="T25" s="65">
        <f t="shared" si="17"/>
        <v>3400000</v>
      </c>
      <c r="U25" s="65">
        <f t="shared" si="17"/>
        <v>3520000</v>
      </c>
      <c r="V25" s="65">
        <f t="shared" si="17"/>
        <v>3620000</v>
      </c>
      <c r="W25" s="34"/>
      <c r="X25" s="64" t="s">
        <v>519</v>
      </c>
      <c r="Y25" s="65">
        <f t="shared" ref="Y25:AB25" si="18">SUM(Y19:Y24)</f>
        <v>3480000</v>
      </c>
      <c r="Z25" s="65">
        <f t="shared" si="18"/>
        <v>3400000</v>
      </c>
      <c r="AA25" s="65">
        <f t="shared" si="18"/>
        <v>3520000</v>
      </c>
      <c r="AB25" s="65">
        <f t="shared" si="18"/>
        <v>3620000</v>
      </c>
    </row>
    <row r="26" spans="1:28" ht="13.5" customHeight="1" x14ac:dyDescent="0.2">
      <c r="A26" s="62" t="s">
        <v>521</v>
      </c>
      <c r="B26" s="63">
        <f t="shared" ref="B26:D26" si="19">B25/2</f>
        <v>620275</v>
      </c>
      <c r="C26" s="63">
        <f t="shared" si="19"/>
        <v>522875</v>
      </c>
      <c r="D26" s="63">
        <f t="shared" si="19"/>
        <v>741800</v>
      </c>
      <c r="E26" s="34"/>
      <c r="F26" s="46"/>
      <c r="G26" s="47"/>
      <c r="H26" s="47"/>
      <c r="I26" s="47"/>
      <c r="J26" s="47"/>
      <c r="K26" s="34"/>
      <c r="L26" s="46"/>
      <c r="M26" s="47"/>
      <c r="N26" s="47"/>
      <c r="O26" s="47"/>
      <c r="P26" s="47"/>
      <c r="Q26" s="34"/>
      <c r="R26" s="46"/>
      <c r="S26" s="47"/>
      <c r="T26" s="47"/>
      <c r="U26" s="47"/>
      <c r="V26" s="47"/>
      <c r="W26" s="34"/>
      <c r="X26" s="46"/>
      <c r="Y26" s="47"/>
      <c r="Z26" s="47"/>
      <c r="AA26" s="47"/>
      <c r="AB26" s="47"/>
    </row>
    <row r="27" spans="1:28" ht="13.5" customHeight="1" x14ac:dyDescent="0.2">
      <c r="A27" s="34"/>
      <c r="B27" s="35"/>
      <c r="C27" s="35"/>
      <c r="D27" s="35"/>
      <c r="E27" s="34"/>
      <c r="F27" s="66" t="s">
        <v>520</v>
      </c>
      <c r="G27" s="67">
        <f t="shared" ref="G27:J27" si="20">G25-G16</f>
        <v>981000</v>
      </c>
      <c r="H27" s="67">
        <f t="shared" si="20"/>
        <v>811000</v>
      </c>
      <c r="I27" s="67">
        <f t="shared" si="20"/>
        <v>1091000</v>
      </c>
      <c r="J27" s="67">
        <f t="shared" si="20"/>
        <v>1141000</v>
      </c>
      <c r="K27" s="34"/>
      <c r="L27" s="66" t="s">
        <v>520</v>
      </c>
      <c r="M27" s="67">
        <f t="shared" ref="M27:P27" si="21">M25-M16</f>
        <v>375583</v>
      </c>
      <c r="N27" s="67">
        <f t="shared" si="21"/>
        <v>275583</v>
      </c>
      <c r="O27" s="67">
        <f t="shared" si="21"/>
        <v>475583</v>
      </c>
      <c r="P27" s="67">
        <f t="shared" si="21"/>
        <v>-2324417</v>
      </c>
      <c r="Q27" s="34"/>
      <c r="R27" s="66" t="s">
        <v>520</v>
      </c>
      <c r="S27" s="67">
        <f t="shared" ref="S27:V27" si="22">S25-S16</f>
        <v>831000</v>
      </c>
      <c r="T27" s="67">
        <f t="shared" si="22"/>
        <v>825583</v>
      </c>
      <c r="U27" s="67">
        <f t="shared" si="22"/>
        <v>1005583</v>
      </c>
      <c r="V27" s="67">
        <f t="shared" si="22"/>
        <v>1085583</v>
      </c>
      <c r="W27" s="34"/>
      <c r="X27" s="66" t="s">
        <v>520</v>
      </c>
      <c r="Y27" s="67">
        <f t="shared" ref="Y27:AB27" si="23">Y25-Y16</f>
        <v>1525000</v>
      </c>
      <c r="Z27" s="67">
        <f t="shared" si="23"/>
        <v>1415000</v>
      </c>
      <c r="AA27" s="67">
        <f t="shared" si="23"/>
        <v>1575000</v>
      </c>
      <c r="AB27" s="67">
        <f t="shared" si="23"/>
        <v>1085583</v>
      </c>
    </row>
    <row r="28" spans="1:28" ht="13.5" customHeight="1" x14ac:dyDescent="0.2">
      <c r="A28" s="34"/>
      <c r="B28" s="35"/>
      <c r="C28" s="35"/>
      <c r="D28" s="35"/>
      <c r="E28" s="34"/>
      <c r="F28" s="66" t="s">
        <v>521</v>
      </c>
      <c r="G28" s="67">
        <f t="shared" ref="G28:J28" si="24">G27/2</f>
        <v>490500</v>
      </c>
      <c r="H28" s="67">
        <f t="shared" si="24"/>
        <v>405500</v>
      </c>
      <c r="I28" s="67">
        <f t="shared" si="24"/>
        <v>545500</v>
      </c>
      <c r="J28" s="67">
        <f t="shared" si="24"/>
        <v>570500</v>
      </c>
      <c r="K28" s="34"/>
      <c r="L28" s="66" t="s">
        <v>521</v>
      </c>
      <c r="M28" s="67">
        <f t="shared" ref="M28:P28" si="25">M27/2</f>
        <v>187791.5</v>
      </c>
      <c r="N28" s="67">
        <f t="shared" si="25"/>
        <v>137791.5</v>
      </c>
      <c r="O28" s="67">
        <f t="shared" si="25"/>
        <v>237791.5</v>
      </c>
      <c r="P28" s="67">
        <f t="shared" si="25"/>
        <v>-1162208.5</v>
      </c>
      <c r="Q28" s="34"/>
      <c r="R28" s="66" t="s">
        <v>521</v>
      </c>
      <c r="S28" s="67">
        <f t="shared" ref="S28:V28" si="26">S27/2</f>
        <v>415500</v>
      </c>
      <c r="T28" s="67">
        <f t="shared" si="26"/>
        <v>412791.5</v>
      </c>
      <c r="U28" s="67">
        <f t="shared" si="26"/>
        <v>502791.5</v>
      </c>
      <c r="V28" s="67">
        <f t="shared" si="26"/>
        <v>542791.5</v>
      </c>
      <c r="W28" s="34"/>
      <c r="X28" s="66" t="s">
        <v>521</v>
      </c>
      <c r="Y28" s="67">
        <f t="shared" ref="Y28:AA28" si="27">Y27/3</f>
        <v>508333.33333333331</v>
      </c>
      <c r="Z28" s="67">
        <f t="shared" si="27"/>
        <v>471666.66666666669</v>
      </c>
      <c r="AA28" s="67">
        <f t="shared" si="27"/>
        <v>525000</v>
      </c>
      <c r="AB28" s="67">
        <f>AB27/2</f>
        <v>542791.5</v>
      </c>
    </row>
    <row r="29" spans="1:28" ht="13.5" customHeight="1" x14ac:dyDescent="0.2">
      <c r="A29" s="36" t="s">
        <v>522</v>
      </c>
      <c r="B29" s="38">
        <f t="shared" ref="B29:D29" si="28">B14/2</f>
        <v>1119725</v>
      </c>
      <c r="C29" s="38">
        <f t="shared" si="28"/>
        <v>1187125</v>
      </c>
      <c r="D29" s="38">
        <f t="shared" si="28"/>
        <v>1088200</v>
      </c>
      <c r="E29" s="34"/>
      <c r="F29" s="34"/>
      <c r="G29" s="35"/>
      <c r="H29" s="35"/>
      <c r="I29" s="35"/>
      <c r="J29" s="35"/>
      <c r="K29" s="34"/>
      <c r="L29" s="34"/>
      <c r="M29" s="35"/>
      <c r="N29" s="35"/>
      <c r="O29" s="35"/>
      <c r="P29" s="35"/>
      <c r="Q29" s="34"/>
      <c r="R29" s="34"/>
      <c r="S29" s="35"/>
      <c r="T29" s="35"/>
      <c r="U29" s="35"/>
      <c r="V29" s="35"/>
      <c r="W29" s="34"/>
      <c r="X29" s="34"/>
      <c r="Y29" s="34"/>
      <c r="Z29" s="34"/>
      <c r="AA29" s="34"/>
      <c r="AB29" s="34"/>
    </row>
    <row r="30" spans="1:28" ht="13.5" customHeight="1" x14ac:dyDescent="0.2">
      <c r="A30" s="36" t="s">
        <v>523</v>
      </c>
      <c r="B30" s="38">
        <f t="shared" ref="B30:D30" si="29">B23/2</f>
        <v>1740000</v>
      </c>
      <c r="C30" s="38">
        <f t="shared" si="29"/>
        <v>1710000</v>
      </c>
      <c r="D30" s="38">
        <f t="shared" si="29"/>
        <v>1830000</v>
      </c>
      <c r="E30" s="34"/>
      <c r="F30" s="34" t="s">
        <v>524</v>
      </c>
      <c r="G30" s="35"/>
      <c r="H30" s="35"/>
      <c r="I30" s="35"/>
      <c r="J30" s="35"/>
      <c r="K30" s="34"/>
      <c r="L30" s="34"/>
      <c r="M30" s="34"/>
      <c r="N30" s="34"/>
      <c r="O30" s="34"/>
      <c r="P30" s="34"/>
      <c r="Q30" s="34"/>
      <c r="R30" s="34" t="s">
        <v>524</v>
      </c>
      <c r="S30" s="35"/>
      <c r="T30" s="35"/>
      <c r="U30" s="35"/>
      <c r="V30" s="35"/>
      <c r="W30" s="34"/>
      <c r="X30" s="34"/>
      <c r="Y30" s="34"/>
      <c r="Z30" s="34"/>
      <c r="AA30" s="34"/>
      <c r="AB30" s="34"/>
    </row>
    <row r="31" spans="1:28" ht="13.5" customHeight="1" x14ac:dyDescent="0.2">
      <c r="A31" s="36" t="s">
        <v>525</v>
      </c>
      <c r="B31" s="38">
        <f t="shared" ref="B31:D31" si="30">(B30*0.8)-B29</f>
        <v>272275</v>
      </c>
      <c r="C31" s="38">
        <f t="shared" si="30"/>
        <v>180875</v>
      </c>
      <c r="D31" s="38">
        <f t="shared" si="30"/>
        <v>375800</v>
      </c>
      <c r="E31" s="34"/>
      <c r="F31" s="36" t="s">
        <v>522</v>
      </c>
      <c r="G31" s="38">
        <f t="shared" ref="G31:J31" si="31">G16/2</f>
        <v>1234500</v>
      </c>
      <c r="H31" s="38">
        <f t="shared" si="31"/>
        <v>1244500</v>
      </c>
      <c r="I31" s="38">
        <f t="shared" si="31"/>
        <v>1224500</v>
      </c>
      <c r="J31" s="38">
        <f t="shared" si="31"/>
        <v>1239500</v>
      </c>
      <c r="K31" s="34"/>
      <c r="L31" s="34"/>
      <c r="M31" s="34"/>
      <c r="N31" s="34"/>
      <c r="O31" s="34"/>
      <c r="P31" s="34"/>
      <c r="Q31" s="34"/>
      <c r="R31" s="36" t="s">
        <v>522</v>
      </c>
      <c r="S31" s="38">
        <f t="shared" ref="S31:V31" si="32">S16/2</f>
        <v>1324500</v>
      </c>
      <c r="T31" s="38">
        <f t="shared" si="32"/>
        <v>1287208.5</v>
      </c>
      <c r="U31" s="38">
        <f t="shared" si="32"/>
        <v>1257208.5</v>
      </c>
      <c r="V31" s="38">
        <f t="shared" si="32"/>
        <v>1267208.5</v>
      </c>
      <c r="W31" s="34"/>
      <c r="X31" s="34"/>
      <c r="Y31" s="34"/>
      <c r="Z31" s="34"/>
      <c r="AA31" s="34"/>
      <c r="AB31" s="34"/>
    </row>
    <row r="32" spans="1:28" ht="13.5" customHeight="1" x14ac:dyDescent="0.2">
      <c r="A32" s="34"/>
      <c r="B32" s="35"/>
      <c r="C32" s="35"/>
      <c r="D32" s="35"/>
      <c r="E32" s="34"/>
      <c r="F32" s="36" t="s">
        <v>523</v>
      </c>
      <c r="G32" s="38">
        <f t="shared" ref="G32:J32" si="33">G25/2</f>
        <v>1725000</v>
      </c>
      <c r="H32" s="38">
        <f t="shared" si="33"/>
        <v>1650000</v>
      </c>
      <c r="I32" s="38">
        <f t="shared" si="33"/>
        <v>1770000</v>
      </c>
      <c r="J32" s="38">
        <f t="shared" si="33"/>
        <v>1810000</v>
      </c>
      <c r="K32" s="34"/>
      <c r="L32" s="34"/>
      <c r="M32" s="34"/>
      <c r="N32" s="34"/>
      <c r="O32" s="34"/>
      <c r="P32" s="34"/>
      <c r="Q32" s="34"/>
      <c r="R32" s="36" t="s">
        <v>523</v>
      </c>
      <c r="S32" s="38">
        <f t="shared" ref="S32:V32" si="34">S25/2</f>
        <v>1740000</v>
      </c>
      <c r="T32" s="38">
        <f t="shared" si="34"/>
        <v>1700000</v>
      </c>
      <c r="U32" s="38">
        <f t="shared" si="34"/>
        <v>1760000</v>
      </c>
      <c r="V32" s="38">
        <f t="shared" si="34"/>
        <v>1810000</v>
      </c>
      <c r="W32" s="34"/>
      <c r="X32" s="34"/>
      <c r="Y32" s="34"/>
      <c r="Z32" s="34"/>
      <c r="AA32" s="34"/>
      <c r="AB32" s="34"/>
    </row>
    <row r="33" spans="1:28" ht="13.5" customHeight="1" x14ac:dyDescent="0.2">
      <c r="A33" s="34"/>
      <c r="B33" s="35"/>
      <c r="C33" s="35"/>
      <c r="D33" s="35"/>
      <c r="E33" s="34"/>
      <c r="F33" s="36" t="s">
        <v>525</v>
      </c>
      <c r="G33" s="38">
        <f t="shared" ref="G33:J33" si="35">(G32*0.8)</f>
        <v>1380000</v>
      </c>
      <c r="H33" s="38">
        <f t="shared" si="35"/>
        <v>1320000</v>
      </c>
      <c r="I33" s="38">
        <f t="shared" si="35"/>
        <v>1416000</v>
      </c>
      <c r="J33" s="38">
        <f t="shared" si="35"/>
        <v>1448000</v>
      </c>
      <c r="K33" s="34"/>
      <c r="L33" s="34"/>
      <c r="M33" s="34"/>
      <c r="N33" s="34"/>
      <c r="O33" s="34"/>
      <c r="P33" s="34"/>
      <c r="Q33" s="34"/>
      <c r="R33" s="36" t="s">
        <v>525</v>
      </c>
      <c r="S33" s="38">
        <f t="shared" ref="S33:V33" si="36">(S32*0.8)</f>
        <v>1392000</v>
      </c>
      <c r="T33" s="38">
        <f t="shared" si="36"/>
        <v>1360000</v>
      </c>
      <c r="U33" s="38">
        <f t="shared" si="36"/>
        <v>1408000</v>
      </c>
      <c r="V33" s="38">
        <f t="shared" si="36"/>
        <v>1448000</v>
      </c>
      <c r="W33" s="34"/>
      <c r="X33" s="34"/>
      <c r="Y33" s="34"/>
      <c r="Z33" s="34"/>
      <c r="AA33" s="34"/>
      <c r="AB33" s="34"/>
    </row>
    <row r="34" spans="1:28" ht="13.5" customHeight="1" x14ac:dyDescent="0.2">
      <c r="A34" s="37" t="s">
        <v>37</v>
      </c>
      <c r="B34" s="38">
        <f>(435*52)*6</f>
        <v>135720</v>
      </c>
      <c r="C34" s="38">
        <f>(410*52)*6</f>
        <v>127920</v>
      </c>
      <c r="D34" s="38">
        <f>(450*52)*6</f>
        <v>140400</v>
      </c>
      <c r="E34" s="34"/>
      <c r="F34" s="66" t="s">
        <v>526</v>
      </c>
      <c r="G34" s="68">
        <f t="shared" ref="G34:J34" si="37">G33-G31</f>
        <v>145500</v>
      </c>
      <c r="H34" s="68">
        <f t="shared" si="37"/>
        <v>75500</v>
      </c>
      <c r="I34" s="68">
        <f t="shared" si="37"/>
        <v>191500</v>
      </c>
      <c r="J34" s="68">
        <f t="shared" si="37"/>
        <v>208500</v>
      </c>
      <c r="K34" s="34"/>
      <c r="L34" s="34"/>
      <c r="M34" s="34"/>
      <c r="N34" s="34"/>
      <c r="O34" s="34"/>
      <c r="P34" s="34"/>
      <c r="Q34" s="34"/>
      <c r="R34" s="66" t="s">
        <v>526</v>
      </c>
      <c r="S34" s="68">
        <f t="shared" ref="S34:V34" si="38">S33-S31</f>
        <v>67500</v>
      </c>
      <c r="T34" s="68">
        <f t="shared" si="38"/>
        <v>72791.5</v>
      </c>
      <c r="U34" s="68">
        <f t="shared" si="38"/>
        <v>150791.5</v>
      </c>
      <c r="V34" s="68">
        <f t="shared" si="38"/>
        <v>180791.5</v>
      </c>
      <c r="W34" s="34"/>
      <c r="X34" s="34"/>
      <c r="Y34" s="34"/>
      <c r="Z34" s="34"/>
      <c r="AA34" s="34"/>
      <c r="AB34" s="34"/>
    </row>
    <row r="35" spans="1:28" ht="13.5" customHeight="1" x14ac:dyDescent="0.2">
      <c r="A35" s="37" t="s">
        <v>6</v>
      </c>
      <c r="B35" s="38">
        <f t="shared" ref="B35:D35" si="39">B14*0.06</f>
        <v>134367</v>
      </c>
      <c r="C35" s="38">
        <f t="shared" si="39"/>
        <v>142455</v>
      </c>
      <c r="D35" s="38">
        <f t="shared" si="39"/>
        <v>130584</v>
      </c>
      <c r="E35" s="34"/>
      <c r="F35" s="34"/>
      <c r="G35" s="35"/>
      <c r="H35" s="35"/>
      <c r="I35" s="35"/>
      <c r="J35" s="35"/>
      <c r="K35" s="34"/>
      <c r="L35" s="34"/>
      <c r="M35" s="34"/>
      <c r="N35" s="34"/>
      <c r="O35" s="34"/>
      <c r="P35" s="34"/>
      <c r="Q35" s="34"/>
      <c r="R35" s="34"/>
      <c r="S35" s="35"/>
      <c r="T35" s="35"/>
      <c r="U35" s="35"/>
      <c r="V35" s="35"/>
      <c r="W35" s="34"/>
      <c r="X35" s="34"/>
      <c r="Y35" s="34"/>
      <c r="Z35" s="34"/>
      <c r="AA35" s="34"/>
      <c r="AB35" s="34"/>
    </row>
    <row r="36" spans="1:28" ht="13.5" customHeight="1" x14ac:dyDescent="0.2">
      <c r="A36" s="62" t="s">
        <v>527</v>
      </c>
      <c r="B36" s="69">
        <f t="shared" ref="B36:D36" si="40">B34-B35</f>
        <v>1353</v>
      </c>
      <c r="C36" s="69">
        <f t="shared" si="40"/>
        <v>-14535</v>
      </c>
      <c r="D36" s="69">
        <f t="shared" si="40"/>
        <v>9816</v>
      </c>
      <c r="E36" s="34"/>
      <c r="F36" s="37" t="s">
        <v>528</v>
      </c>
      <c r="G36" s="38">
        <f>((450*52)*6)/2</f>
        <v>70200</v>
      </c>
      <c r="H36" s="38">
        <f>(420*52)*3</f>
        <v>65520</v>
      </c>
      <c r="I36" s="38">
        <f>((470*52)*6)/2</f>
        <v>73320</v>
      </c>
      <c r="J36" s="38">
        <f>(450*52)*3</f>
        <v>70200</v>
      </c>
      <c r="K36" s="34"/>
      <c r="L36" s="34"/>
      <c r="M36" s="34"/>
      <c r="N36" s="34"/>
      <c r="O36" s="34"/>
      <c r="P36" s="34"/>
      <c r="Q36" s="34"/>
      <c r="R36" s="37" t="s">
        <v>528</v>
      </c>
      <c r="S36" s="38">
        <f>((450*52)*6)/2</f>
        <v>70200</v>
      </c>
      <c r="T36" s="38">
        <f>(420*52)*3</f>
        <v>65520</v>
      </c>
      <c r="U36" s="38">
        <f>((470*52)*6)/2</f>
        <v>73320</v>
      </c>
      <c r="V36" s="38">
        <f>(450*52)*3</f>
        <v>70200</v>
      </c>
      <c r="W36" s="34"/>
      <c r="X36" s="34"/>
      <c r="Y36" s="34"/>
      <c r="Z36" s="34"/>
      <c r="AA36" s="34"/>
      <c r="AB36" s="34"/>
    </row>
    <row r="37" spans="1:28" ht="13.5" customHeight="1" x14ac:dyDescent="0.2">
      <c r="A37" s="62" t="s">
        <v>529</v>
      </c>
      <c r="B37" s="62">
        <f t="shared" ref="B37:D37" si="41">B36/2</f>
        <v>676.5</v>
      </c>
      <c r="C37" s="62">
        <f t="shared" si="41"/>
        <v>-7267.5</v>
      </c>
      <c r="D37" s="62">
        <f t="shared" si="41"/>
        <v>4908</v>
      </c>
      <c r="E37" s="34"/>
      <c r="F37" s="37" t="s">
        <v>530</v>
      </c>
      <c r="G37" s="38">
        <f>(G31*0.05)</f>
        <v>61725</v>
      </c>
      <c r="H37" s="38">
        <f>(H31*0.06)</f>
        <v>74670</v>
      </c>
      <c r="I37" s="38">
        <f>(I31*0.04)</f>
        <v>48980</v>
      </c>
      <c r="J37" s="38">
        <f>(J31*0.05)</f>
        <v>61975</v>
      </c>
      <c r="K37" s="34"/>
      <c r="L37" s="34"/>
      <c r="M37" s="34"/>
      <c r="N37" s="34"/>
      <c r="O37" s="34"/>
      <c r="P37" s="34"/>
      <c r="Q37" s="34"/>
      <c r="R37" s="37" t="s">
        <v>530</v>
      </c>
      <c r="S37" s="38">
        <f>(S31*0.05)</f>
        <v>66225</v>
      </c>
      <c r="T37" s="38">
        <f>(T31*0.06)</f>
        <v>77232.509999999995</v>
      </c>
      <c r="U37" s="38">
        <f>(U31*0.04)</f>
        <v>50288.340000000004</v>
      </c>
      <c r="V37" s="38">
        <f>(V31*0.05)</f>
        <v>63360.425000000003</v>
      </c>
      <c r="W37" s="34"/>
      <c r="X37" s="34"/>
      <c r="Y37" s="34"/>
      <c r="Z37" s="34"/>
      <c r="AA37" s="34"/>
      <c r="AB37" s="34"/>
    </row>
    <row r="38" spans="1:28" ht="13.5" customHeight="1" x14ac:dyDescent="0.2">
      <c r="A38" s="34"/>
      <c r="B38" s="35"/>
      <c r="C38" s="35"/>
      <c r="D38" s="35"/>
      <c r="E38" s="34"/>
      <c r="F38" s="66" t="s">
        <v>527</v>
      </c>
      <c r="G38" s="68">
        <f t="shared" ref="G38:J38" si="42">G36-G37</f>
        <v>8475</v>
      </c>
      <c r="H38" s="68">
        <f t="shared" si="42"/>
        <v>-9150</v>
      </c>
      <c r="I38" s="68">
        <f t="shared" si="42"/>
        <v>24340</v>
      </c>
      <c r="J38" s="68">
        <f t="shared" si="42"/>
        <v>8225</v>
      </c>
      <c r="K38" s="34"/>
      <c r="L38" s="34"/>
      <c r="M38" s="34"/>
      <c r="N38" s="34"/>
      <c r="O38" s="34"/>
      <c r="P38" s="34"/>
      <c r="Q38" s="34"/>
      <c r="R38" s="66" t="s">
        <v>527</v>
      </c>
      <c r="S38" s="68">
        <f t="shared" ref="S38:V38" si="43">S36-S37</f>
        <v>3975</v>
      </c>
      <c r="T38" s="68">
        <f t="shared" si="43"/>
        <v>-11712.509999999995</v>
      </c>
      <c r="U38" s="68">
        <f t="shared" si="43"/>
        <v>23031.659999999996</v>
      </c>
      <c r="V38" s="68">
        <f t="shared" si="43"/>
        <v>6839.5749999999971</v>
      </c>
      <c r="W38" s="34"/>
      <c r="X38" s="34"/>
      <c r="Y38" s="34"/>
      <c r="Z38" s="34"/>
      <c r="AA38" s="34"/>
      <c r="AB38" s="34"/>
    </row>
    <row r="39" spans="1:28" ht="13.5" customHeight="1" x14ac:dyDescent="0.2">
      <c r="A39" s="34"/>
      <c r="B39" s="35"/>
      <c r="C39" s="35"/>
      <c r="D39" s="35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spans="1:28" ht="13.5" customHeight="1" x14ac:dyDescent="0.2">
      <c r="A40" s="34"/>
      <c r="B40" s="35"/>
      <c r="C40" s="35"/>
      <c r="D40" s="35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spans="1:28" ht="13.5" customHeight="1" x14ac:dyDescent="0.2">
      <c r="A41" s="34"/>
      <c r="B41" s="35"/>
      <c r="C41" s="35"/>
      <c r="D41" s="35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8" ht="13.5" customHeight="1" x14ac:dyDescent="0.2">
      <c r="A42" s="34"/>
      <c r="B42" s="35"/>
      <c r="C42" s="35"/>
      <c r="D42" s="35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spans="1:28" ht="13.5" customHeight="1" x14ac:dyDescent="0.2">
      <c r="A43" s="34"/>
      <c r="B43" s="35"/>
      <c r="C43" s="35"/>
      <c r="D43" s="35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spans="1:28" ht="13.5" customHeight="1" x14ac:dyDescent="0.2">
      <c r="A44" s="34"/>
      <c r="B44" s="35"/>
      <c r="C44" s="35"/>
      <c r="D44" s="35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spans="1:28" ht="13.5" customHeight="1" x14ac:dyDescent="0.2">
      <c r="A45" s="34"/>
      <c r="B45" s="35"/>
      <c r="C45" s="35"/>
      <c r="D45" s="35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 spans="1:28" ht="13.5" customHeight="1" x14ac:dyDescent="0.2">
      <c r="A46" s="34"/>
      <c r="B46" s="35"/>
      <c r="C46" s="35"/>
      <c r="D46" s="35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spans="1:28" ht="13.5" customHeight="1" x14ac:dyDescent="0.2">
      <c r="A47" s="34"/>
      <c r="B47" s="35"/>
      <c r="C47" s="35"/>
      <c r="D47" s="35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spans="1:28" ht="13.5" customHeight="1" x14ac:dyDescent="0.2">
      <c r="A48" s="34"/>
      <c r="B48" s="35"/>
      <c r="C48" s="35"/>
      <c r="D48" s="35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spans="1:28" ht="13.5" customHeight="1" x14ac:dyDescent="0.2">
      <c r="A49" s="34"/>
      <c r="B49" s="35"/>
      <c r="C49" s="35"/>
      <c r="D49" s="35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spans="1:28" ht="13.5" customHeight="1" x14ac:dyDescent="0.2">
      <c r="A50" s="34"/>
      <c r="B50" s="35"/>
      <c r="C50" s="35"/>
      <c r="D50" s="35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spans="1:28" ht="13.5" customHeight="1" x14ac:dyDescent="0.2">
      <c r="A51" s="34"/>
      <c r="B51" s="35"/>
      <c r="C51" s="35"/>
      <c r="D51" s="35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spans="1:28" ht="13.5" customHeight="1" x14ac:dyDescent="0.2">
      <c r="A52" s="34"/>
      <c r="B52" s="35"/>
      <c r="C52" s="35"/>
      <c r="D52" s="35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spans="1:28" ht="13.5" customHeight="1" x14ac:dyDescent="0.2">
      <c r="A53" s="34"/>
      <c r="B53" s="35"/>
      <c r="C53" s="35"/>
      <c r="D53" s="35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spans="1:28" ht="13.5" customHeight="1" x14ac:dyDescent="0.2">
      <c r="A54" s="34"/>
      <c r="B54" s="35"/>
      <c r="C54" s="35"/>
      <c r="D54" s="35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spans="1:28" ht="13.5" customHeight="1" x14ac:dyDescent="0.2">
      <c r="A55" s="34"/>
      <c r="B55" s="35"/>
      <c r="C55" s="35"/>
      <c r="D55" s="35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spans="1:28" ht="13.5" customHeight="1" x14ac:dyDescent="0.2">
      <c r="A56" s="34"/>
      <c r="B56" s="35"/>
      <c r="C56" s="35"/>
      <c r="D56" s="35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spans="1:28" ht="13.5" customHeight="1" x14ac:dyDescent="0.2">
      <c r="A57" s="34"/>
      <c r="B57" s="35"/>
      <c r="C57" s="35"/>
      <c r="D57" s="35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 spans="1:28" ht="13.5" customHeight="1" x14ac:dyDescent="0.2">
      <c r="A58" s="34"/>
      <c r="B58" s="35"/>
      <c r="C58" s="35"/>
      <c r="D58" s="35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spans="1:28" ht="13.5" customHeight="1" x14ac:dyDescent="0.2">
      <c r="A59" s="34"/>
      <c r="B59" s="35"/>
      <c r="C59" s="35"/>
      <c r="D59" s="35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spans="1:28" ht="13.5" customHeight="1" x14ac:dyDescent="0.2">
      <c r="A60" s="34"/>
      <c r="B60" s="35"/>
      <c r="C60" s="35"/>
      <c r="D60" s="35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spans="1:28" ht="13.5" customHeight="1" x14ac:dyDescent="0.2">
      <c r="A61" s="34"/>
      <c r="B61" s="35"/>
      <c r="C61" s="35"/>
      <c r="D61" s="35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spans="1:28" ht="13.5" customHeight="1" x14ac:dyDescent="0.2">
      <c r="A62" s="34"/>
      <c r="B62" s="35"/>
      <c r="C62" s="35"/>
      <c r="D62" s="35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 spans="1:28" ht="13.5" customHeight="1" x14ac:dyDescent="0.2">
      <c r="A63" s="34"/>
      <c r="B63" s="35"/>
      <c r="C63" s="35"/>
      <c r="D63" s="35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 spans="1:28" ht="13.5" customHeight="1" x14ac:dyDescent="0.2">
      <c r="A64" s="34"/>
      <c r="B64" s="35"/>
      <c r="C64" s="35"/>
      <c r="D64" s="35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spans="1:28" ht="13.5" customHeight="1" x14ac:dyDescent="0.2">
      <c r="A65" s="34"/>
      <c r="B65" s="35"/>
      <c r="C65" s="35"/>
      <c r="D65" s="35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 spans="1:28" ht="13.5" customHeight="1" x14ac:dyDescent="0.2">
      <c r="A66" s="34"/>
      <c r="B66" s="35"/>
      <c r="C66" s="35"/>
      <c r="D66" s="35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 spans="1:28" ht="13.5" customHeight="1" x14ac:dyDescent="0.2">
      <c r="A67" s="34"/>
      <c r="B67" s="35"/>
      <c r="C67" s="35"/>
      <c r="D67" s="35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spans="1:28" ht="13.5" customHeight="1" x14ac:dyDescent="0.2">
      <c r="A68" s="34"/>
      <c r="B68" s="35"/>
      <c r="C68" s="35"/>
      <c r="D68" s="35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 spans="1:28" ht="13.5" customHeight="1" x14ac:dyDescent="0.2">
      <c r="A69" s="34"/>
      <c r="B69" s="35"/>
      <c r="C69" s="35"/>
      <c r="D69" s="35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 spans="1:28" ht="13.5" customHeight="1" x14ac:dyDescent="0.2">
      <c r="A70" s="34"/>
      <c r="B70" s="35"/>
      <c r="C70" s="35"/>
      <c r="D70" s="35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spans="1:28" ht="13.5" customHeight="1" x14ac:dyDescent="0.2">
      <c r="A71" s="34"/>
      <c r="B71" s="35"/>
      <c r="C71" s="35"/>
      <c r="D71" s="35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 spans="1:28" ht="13.5" customHeight="1" x14ac:dyDescent="0.2">
      <c r="A72" s="34"/>
      <c r="B72" s="35"/>
      <c r="C72" s="35"/>
      <c r="D72" s="35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spans="1:28" ht="13.5" customHeight="1" x14ac:dyDescent="0.2">
      <c r="A73" s="34"/>
      <c r="B73" s="35"/>
      <c r="C73" s="35"/>
      <c r="D73" s="35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 spans="1:28" ht="13.5" customHeight="1" x14ac:dyDescent="0.2">
      <c r="A74" s="34"/>
      <c r="B74" s="35"/>
      <c r="C74" s="35"/>
      <c r="D74" s="35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 spans="1:28" ht="13.5" customHeight="1" x14ac:dyDescent="0.2">
      <c r="A75" s="34"/>
      <c r="B75" s="35"/>
      <c r="C75" s="35"/>
      <c r="D75" s="35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 spans="1:28" ht="13.5" customHeight="1" x14ac:dyDescent="0.2">
      <c r="A76" s="34"/>
      <c r="B76" s="35"/>
      <c r="C76" s="35"/>
      <c r="D76" s="35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 spans="1:28" ht="13.5" customHeight="1" x14ac:dyDescent="0.2">
      <c r="A77" s="34"/>
      <c r="B77" s="35"/>
      <c r="C77" s="35"/>
      <c r="D77" s="35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 spans="1:28" ht="13.5" customHeight="1" x14ac:dyDescent="0.2">
      <c r="A78" s="34"/>
      <c r="B78" s="35"/>
      <c r="C78" s="35"/>
      <c r="D78" s="35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 spans="1:28" ht="13.5" customHeight="1" x14ac:dyDescent="0.2">
      <c r="A79" s="34"/>
      <c r="B79" s="35"/>
      <c r="C79" s="35"/>
      <c r="D79" s="35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</row>
    <row r="80" spans="1:28" ht="13.5" customHeight="1" x14ac:dyDescent="0.2">
      <c r="A80" s="34"/>
      <c r="B80" s="35"/>
      <c r="C80" s="35"/>
      <c r="D80" s="35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</row>
    <row r="81" spans="1:28" ht="13.5" customHeight="1" x14ac:dyDescent="0.2">
      <c r="A81" s="34"/>
      <c r="B81" s="35"/>
      <c r="C81" s="35"/>
      <c r="D81" s="35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</row>
    <row r="82" spans="1:28" ht="13.5" customHeight="1" x14ac:dyDescent="0.2">
      <c r="A82" s="34"/>
      <c r="B82" s="35"/>
      <c r="C82" s="35"/>
      <c r="D82" s="35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</row>
    <row r="83" spans="1:28" ht="13.5" customHeight="1" x14ac:dyDescent="0.2">
      <c r="A83" s="34"/>
      <c r="B83" s="35"/>
      <c r="C83" s="35"/>
      <c r="D83" s="35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 spans="1:28" ht="13.5" customHeight="1" x14ac:dyDescent="0.2">
      <c r="A84" s="34"/>
      <c r="B84" s="35"/>
      <c r="C84" s="35"/>
      <c r="D84" s="35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</row>
    <row r="85" spans="1:28" ht="13.5" customHeight="1" x14ac:dyDescent="0.2">
      <c r="A85" s="34"/>
      <c r="B85" s="35"/>
      <c r="C85" s="35"/>
      <c r="D85" s="35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  <row r="86" spans="1:28" ht="13.5" customHeight="1" x14ac:dyDescent="0.2">
      <c r="A86" s="34"/>
      <c r="B86" s="35"/>
      <c r="C86" s="35"/>
      <c r="D86" s="35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</row>
    <row r="87" spans="1:28" ht="13.5" customHeight="1" x14ac:dyDescent="0.2">
      <c r="A87" s="34"/>
      <c r="B87" s="35"/>
      <c r="C87" s="35"/>
      <c r="D87" s="35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</row>
    <row r="88" spans="1:28" ht="13.5" customHeight="1" x14ac:dyDescent="0.2">
      <c r="A88" s="34"/>
      <c r="B88" s="35"/>
      <c r="C88" s="35"/>
      <c r="D88" s="35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</row>
    <row r="89" spans="1:28" ht="13.5" customHeight="1" x14ac:dyDescent="0.2">
      <c r="A89" s="34"/>
      <c r="B89" s="35"/>
      <c r="C89" s="35"/>
      <c r="D89" s="35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</row>
    <row r="90" spans="1:28" ht="13.5" customHeight="1" x14ac:dyDescent="0.2">
      <c r="A90" s="34"/>
      <c r="B90" s="35"/>
      <c r="C90" s="35"/>
      <c r="D90" s="35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</row>
    <row r="91" spans="1:28" ht="13.5" customHeight="1" x14ac:dyDescent="0.2">
      <c r="A91" s="34"/>
      <c r="B91" s="35"/>
      <c r="C91" s="35"/>
      <c r="D91" s="35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</row>
    <row r="92" spans="1:28" ht="13.5" customHeight="1" x14ac:dyDescent="0.2">
      <c r="A92" s="34"/>
      <c r="B92" s="35"/>
      <c r="C92" s="35"/>
      <c r="D92" s="35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</row>
    <row r="93" spans="1:28" ht="13.5" customHeight="1" x14ac:dyDescent="0.2">
      <c r="A93" s="34"/>
      <c r="B93" s="35"/>
      <c r="C93" s="35"/>
      <c r="D93" s="35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</row>
    <row r="94" spans="1:28" ht="13.5" customHeight="1" x14ac:dyDescent="0.2">
      <c r="A94" s="34"/>
      <c r="B94" s="35"/>
      <c r="C94" s="35"/>
      <c r="D94" s="35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</row>
    <row r="95" spans="1:28" ht="13.5" customHeight="1" x14ac:dyDescent="0.2">
      <c r="A95" s="34"/>
      <c r="B95" s="35"/>
      <c r="C95" s="35"/>
      <c r="D95" s="35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</row>
    <row r="96" spans="1:28" ht="13.5" customHeight="1" x14ac:dyDescent="0.2">
      <c r="A96" s="34"/>
      <c r="B96" s="35"/>
      <c r="C96" s="35"/>
      <c r="D96" s="35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</row>
    <row r="97" spans="1:28" ht="13.5" customHeight="1" x14ac:dyDescent="0.2">
      <c r="A97" s="34"/>
      <c r="B97" s="35"/>
      <c r="C97" s="35"/>
      <c r="D97" s="35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</row>
    <row r="98" spans="1:28" ht="13.5" customHeight="1" x14ac:dyDescent="0.2">
      <c r="A98" s="34"/>
      <c r="B98" s="35"/>
      <c r="C98" s="35"/>
      <c r="D98" s="35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</row>
    <row r="99" spans="1:28" ht="13.5" customHeight="1" x14ac:dyDescent="0.2">
      <c r="A99" s="34"/>
      <c r="B99" s="35"/>
      <c r="C99" s="35"/>
      <c r="D99" s="35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 spans="1:28" ht="13.5" customHeight="1" x14ac:dyDescent="0.2">
      <c r="A100" s="34"/>
      <c r="B100" s="35"/>
      <c r="C100" s="35"/>
      <c r="D100" s="35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</row>
    <row r="101" spans="1:28" ht="13.5" customHeight="1" x14ac:dyDescent="0.2">
      <c r="A101" s="34"/>
      <c r="B101" s="35"/>
      <c r="C101" s="35"/>
      <c r="D101" s="35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</row>
    <row r="102" spans="1:28" ht="13.5" customHeight="1" x14ac:dyDescent="0.2">
      <c r="A102" s="34"/>
      <c r="B102" s="35"/>
      <c r="C102" s="35"/>
      <c r="D102" s="35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</row>
    <row r="103" spans="1:28" ht="13.5" customHeight="1" x14ac:dyDescent="0.2">
      <c r="A103" s="34"/>
      <c r="B103" s="35"/>
      <c r="C103" s="35"/>
      <c r="D103" s="35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</row>
    <row r="104" spans="1:28" ht="13.5" customHeight="1" x14ac:dyDescent="0.2">
      <c r="A104" s="34"/>
      <c r="B104" s="35"/>
      <c r="C104" s="35"/>
      <c r="D104" s="35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</row>
    <row r="105" spans="1:28" ht="13.5" customHeight="1" x14ac:dyDescent="0.2">
      <c r="A105" s="34"/>
      <c r="B105" s="35"/>
      <c r="C105" s="35"/>
      <c r="D105" s="35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</row>
    <row r="106" spans="1:28" ht="13.5" customHeight="1" x14ac:dyDescent="0.2">
      <c r="A106" s="34"/>
      <c r="B106" s="35"/>
      <c r="C106" s="35"/>
      <c r="D106" s="35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</row>
    <row r="107" spans="1:28" ht="13.5" customHeight="1" x14ac:dyDescent="0.2">
      <c r="A107" s="34"/>
      <c r="B107" s="35"/>
      <c r="C107" s="35"/>
      <c r="D107" s="35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</row>
    <row r="108" spans="1:28" ht="13.5" customHeight="1" x14ac:dyDescent="0.2">
      <c r="A108" s="34"/>
      <c r="B108" s="35"/>
      <c r="C108" s="35"/>
      <c r="D108" s="35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</row>
    <row r="109" spans="1:28" ht="13.5" customHeight="1" x14ac:dyDescent="0.2">
      <c r="A109" s="34"/>
      <c r="B109" s="35"/>
      <c r="C109" s="35"/>
      <c r="D109" s="35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</row>
    <row r="110" spans="1:28" ht="13.5" customHeight="1" x14ac:dyDescent="0.2">
      <c r="A110" s="34"/>
      <c r="B110" s="35"/>
      <c r="C110" s="35"/>
      <c r="D110" s="35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</row>
    <row r="111" spans="1:28" ht="13.5" customHeight="1" x14ac:dyDescent="0.2">
      <c r="A111" s="34"/>
      <c r="B111" s="35"/>
      <c r="C111" s="35"/>
      <c r="D111" s="35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</row>
    <row r="112" spans="1:28" ht="13.5" customHeight="1" x14ac:dyDescent="0.2">
      <c r="A112" s="34"/>
      <c r="B112" s="35"/>
      <c r="C112" s="35"/>
      <c r="D112" s="35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</row>
    <row r="113" spans="1:28" ht="13.5" customHeight="1" x14ac:dyDescent="0.2">
      <c r="A113" s="34"/>
      <c r="B113" s="35"/>
      <c r="C113" s="35"/>
      <c r="D113" s="35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</row>
    <row r="114" spans="1:28" ht="13.5" customHeight="1" x14ac:dyDescent="0.2">
      <c r="A114" s="34"/>
      <c r="B114" s="35"/>
      <c r="C114" s="35"/>
      <c r="D114" s="35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</row>
    <row r="115" spans="1:28" ht="13.5" customHeight="1" x14ac:dyDescent="0.2">
      <c r="A115" s="34"/>
      <c r="B115" s="35"/>
      <c r="C115" s="35"/>
      <c r="D115" s="35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</row>
    <row r="116" spans="1:28" ht="13.5" customHeight="1" x14ac:dyDescent="0.2">
      <c r="A116" s="34"/>
      <c r="B116" s="35"/>
      <c r="C116" s="35"/>
      <c r="D116" s="35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</row>
    <row r="117" spans="1:28" ht="13.5" customHeight="1" x14ac:dyDescent="0.2">
      <c r="A117" s="34"/>
      <c r="B117" s="35"/>
      <c r="C117" s="35"/>
      <c r="D117" s="35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</row>
    <row r="118" spans="1:28" ht="13.5" customHeight="1" x14ac:dyDescent="0.2">
      <c r="A118" s="34"/>
      <c r="B118" s="35"/>
      <c r="C118" s="35"/>
      <c r="D118" s="35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</row>
    <row r="119" spans="1:28" ht="13.5" customHeight="1" x14ac:dyDescent="0.2">
      <c r="A119" s="34"/>
      <c r="B119" s="35"/>
      <c r="C119" s="35"/>
      <c r="D119" s="35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</row>
    <row r="120" spans="1:28" ht="13.5" customHeight="1" x14ac:dyDescent="0.2">
      <c r="A120" s="34"/>
      <c r="B120" s="35"/>
      <c r="C120" s="35"/>
      <c r="D120" s="35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</row>
    <row r="121" spans="1:28" ht="13.5" customHeight="1" x14ac:dyDescent="0.2">
      <c r="A121" s="34"/>
      <c r="B121" s="35"/>
      <c r="C121" s="35"/>
      <c r="D121" s="35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</row>
    <row r="122" spans="1:28" ht="13.5" customHeight="1" x14ac:dyDescent="0.2">
      <c r="A122" s="34"/>
      <c r="B122" s="35"/>
      <c r="C122" s="35"/>
      <c r="D122" s="35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</row>
    <row r="123" spans="1:28" ht="13.5" customHeight="1" x14ac:dyDescent="0.2">
      <c r="A123" s="34"/>
      <c r="B123" s="35"/>
      <c r="C123" s="35"/>
      <c r="D123" s="35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</row>
    <row r="124" spans="1:28" ht="13.5" customHeight="1" x14ac:dyDescent="0.2">
      <c r="A124" s="34"/>
      <c r="B124" s="35"/>
      <c r="C124" s="35"/>
      <c r="D124" s="35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</row>
    <row r="125" spans="1:28" ht="13.5" customHeight="1" x14ac:dyDescent="0.2">
      <c r="A125" s="34"/>
      <c r="B125" s="35"/>
      <c r="C125" s="35"/>
      <c r="D125" s="35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</row>
    <row r="126" spans="1:28" ht="13.5" customHeight="1" x14ac:dyDescent="0.2">
      <c r="A126" s="34"/>
      <c r="B126" s="35"/>
      <c r="C126" s="35"/>
      <c r="D126" s="35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</row>
    <row r="127" spans="1:28" ht="13.5" customHeight="1" x14ac:dyDescent="0.2">
      <c r="A127" s="34"/>
      <c r="B127" s="35"/>
      <c r="C127" s="35"/>
      <c r="D127" s="35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spans="1:28" ht="13.5" customHeight="1" x14ac:dyDescent="0.2">
      <c r="A128" s="34"/>
      <c r="B128" s="35"/>
      <c r="C128" s="35"/>
      <c r="D128" s="35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</row>
    <row r="129" spans="1:28" ht="13.5" customHeight="1" x14ac:dyDescent="0.2">
      <c r="A129" s="34"/>
      <c r="B129" s="35"/>
      <c r="C129" s="35"/>
      <c r="D129" s="35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</row>
    <row r="130" spans="1:28" ht="13.5" customHeight="1" x14ac:dyDescent="0.2">
      <c r="A130" s="34"/>
      <c r="B130" s="35"/>
      <c r="C130" s="35"/>
      <c r="D130" s="35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</row>
    <row r="131" spans="1:28" ht="13.5" customHeight="1" x14ac:dyDescent="0.2">
      <c r="A131" s="34"/>
      <c r="B131" s="35"/>
      <c r="C131" s="35"/>
      <c r="D131" s="35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spans="1:28" ht="13.5" customHeight="1" x14ac:dyDescent="0.2">
      <c r="A132" s="34"/>
      <c r="B132" s="35"/>
      <c r="C132" s="35"/>
      <c r="D132" s="35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</row>
    <row r="133" spans="1:28" ht="13.5" customHeight="1" x14ac:dyDescent="0.2">
      <c r="A133" s="34"/>
      <c r="B133" s="35"/>
      <c r="C133" s="35"/>
      <c r="D133" s="35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</row>
    <row r="134" spans="1:28" ht="13.5" customHeight="1" x14ac:dyDescent="0.2">
      <c r="A134" s="34"/>
      <c r="B134" s="35"/>
      <c r="C134" s="35"/>
      <c r="D134" s="35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</row>
    <row r="135" spans="1:28" ht="13.5" customHeight="1" x14ac:dyDescent="0.2">
      <c r="A135" s="34"/>
      <c r="B135" s="35"/>
      <c r="C135" s="35"/>
      <c r="D135" s="35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</row>
    <row r="136" spans="1:28" ht="13.5" customHeight="1" x14ac:dyDescent="0.2">
      <c r="A136" s="34"/>
      <c r="B136" s="35"/>
      <c r="C136" s="35"/>
      <c r="D136" s="35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</row>
    <row r="137" spans="1:28" ht="13.5" customHeight="1" x14ac:dyDescent="0.2">
      <c r="A137" s="34"/>
      <c r="B137" s="35"/>
      <c r="C137" s="35"/>
      <c r="D137" s="35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</row>
    <row r="138" spans="1:28" ht="13.5" customHeight="1" x14ac:dyDescent="0.2">
      <c r="A138" s="34"/>
      <c r="B138" s="35"/>
      <c r="C138" s="35"/>
      <c r="D138" s="35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</row>
    <row r="139" spans="1:28" ht="13.5" customHeight="1" x14ac:dyDescent="0.2">
      <c r="A139" s="34"/>
      <c r="B139" s="35"/>
      <c r="C139" s="35"/>
      <c r="D139" s="35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</row>
    <row r="140" spans="1:28" ht="13.5" customHeight="1" x14ac:dyDescent="0.2">
      <c r="A140" s="34"/>
      <c r="B140" s="35"/>
      <c r="C140" s="35"/>
      <c r="D140" s="35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</row>
    <row r="141" spans="1:28" ht="13.5" customHeight="1" x14ac:dyDescent="0.2">
      <c r="A141" s="34"/>
      <c r="B141" s="35"/>
      <c r="C141" s="35"/>
      <c r="D141" s="35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</row>
    <row r="142" spans="1:28" ht="13.5" customHeight="1" x14ac:dyDescent="0.2">
      <c r="A142" s="34"/>
      <c r="B142" s="35"/>
      <c r="C142" s="35"/>
      <c r="D142" s="35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</row>
    <row r="143" spans="1:28" ht="13.5" customHeight="1" x14ac:dyDescent="0.2">
      <c r="A143" s="34"/>
      <c r="B143" s="35"/>
      <c r="C143" s="35"/>
      <c r="D143" s="35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</row>
    <row r="144" spans="1:28" ht="13.5" customHeight="1" x14ac:dyDescent="0.2">
      <c r="A144" s="34"/>
      <c r="B144" s="35"/>
      <c r="C144" s="35"/>
      <c r="D144" s="35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</row>
    <row r="145" spans="1:28" ht="13.5" customHeight="1" x14ac:dyDescent="0.2">
      <c r="A145" s="34"/>
      <c r="B145" s="35"/>
      <c r="C145" s="35"/>
      <c r="D145" s="35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</row>
    <row r="146" spans="1:28" ht="13.5" customHeight="1" x14ac:dyDescent="0.2">
      <c r="A146" s="34"/>
      <c r="B146" s="35"/>
      <c r="C146" s="35"/>
      <c r="D146" s="35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</row>
    <row r="147" spans="1:28" ht="13.5" customHeight="1" x14ac:dyDescent="0.2">
      <c r="A147" s="34"/>
      <c r="B147" s="35"/>
      <c r="C147" s="35"/>
      <c r="D147" s="35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</row>
    <row r="148" spans="1:28" ht="13.5" customHeight="1" x14ac:dyDescent="0.2">
      <c r="A148" s="34"/>
      <c r="B148" s="35"/>
      <c r="C148" s="35"/>
      <c r="D148" s="35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</row>
    <row r="149" spans="1:28" ht="13.5" customHeight="1" x14ac:dyDescent="0.2">
      <c r="A149" s="34"/>
      <c r="B149" s="35"/>
      <c r="C149" s="35"/>
      <c r="D149" s="35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</row>
    <row r="150" spans="1:28" ht="13.5" customHeight="1" x14ac:dyDescent="0.2">
      <c r="A150" s="34"/>
      <c r="B150" s="35"/>
      <c r="C150" s="35"/>
      <c r="D150" s="35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</row>
    <row r="151" spans="1:28" ht="13.5" customHeight="1" x14ac:dyDescent="0.2">
      <c r="A151" s="34"/>
      <c r="B151" s="35"/>
      <c r="C151" s="35"/>
      <c r="D151" s="35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</row>
    <row r="152" spans="1:28" ht="13.5" customHeight="1" x14ac:dyDescent="0.2">
      <c r="A152" s="34"/>
      <c r="B152" s="35"/>
      <c r="C152" s="35"/>
      <c r="D152" s="35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</row>
    <row r="153" spans="1:28" ht="13.5" customHeight="1" x14ac:dyDescent="0.2">
      <c r="A153" s="34"/>
      <c r="B153" s="35"/>
      <c r="C153" s="35"/>
      <c r="D153" s="35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</row>
    <row r="154" spans="1:28" ht="13.5" customHeight="1" x14ac:dyDescent="0.2">
      <c r="A154" s="34"/>
      <c r="B154" s="35"/>
      <c r="C154" s="35"/>
      <c r="D154" s="35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</row>
    <row r="155" spans="1:28" ht="13.5" customHeight="1" x14ac:dyDescent="0.2">
      <c r="A155" s="34"/>
      <c r="B155" s="35"/>
      <c r="C155" s="35"/>
      <c r="D155" s="35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 spans="1:28" ht="13.5" customHeight="1" x14ac:dyDescent="0.2">
      <c r="A156" s="34"/>
      <c r="B156" s="35"/>
      <c r="C156" s="35"/>
      <c r="D156" s="35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</row>
    <row r="157" spans="1:28" ht="13.5" customHeight="1" x14ac:dyDescent="0.2">
      <c r="A157" s="34"/>
      <c r="B157" s="35"/>
      <c r="C157" s="35"/>
      <c r="D157" s="35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</row>
    <row r="158" spans="1:28" ht="13.5" customHeight="1" x14ac:dyDescent="0.2">
      <c r="A158" s="34"/>
      <c r="B158" s="35"/>
      <c r="C158" s="35"/>
      <c r="D158" s="35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</row>
    <row r="159" spans="1:28" ht="13.5" customHeight="1" x14ac:dyDescent="0.2">
      <c r="A159" s="34"/>
      <c r="B159" s="35"/>
      <c r="C159" s="35"/>
      <c r="D159" s="35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</row>
    <row r="160" spans="1:28" ht="13.5" customHeight="1" x14ac:dyDescent="0.2">
      <c r="A160" s="34"/>
      <c r="B160" s="35"/>
      <c r="C160" s="35"/>
      <c r="D160" s="35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</row>
    <row r="161" spans="1:28" ht="13.5" customHeight="1" x14ac:dyDescent="0.2">
      <c r="A161" s="34"/>
      <c r="B161" s="35"/>
      <c r="C161" s="35"/>
      <c r="D161" s="35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</row>
    <row r="162" spans="1:28" ht="13.5" customHeight="1" x14ac:dyDescent="0.2">
      <c r="A162" s="34"/>
      <c r="B162" s="35"/>
      <c r="C162" s="35"/>
      <c r="D162" s="35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</row>
    <row r="163" spans="1:28" ht="13.5" customHeight="1" x14ac:dyDescent="0.2">
      <c r="A163" s="34"/>
      <c r="B163" s="35"/>
      <c r="C163" s="35"/>
      <c r="D163" s="35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</row>
    <row r="164" spans="1:28" ht="13.5" customHeight="1" x14ac:dyDescent="0.2">
      <c r="A164" s="34"/>
      <c r="B164" s="35"/>
      <c r="C164" s="35"/>
      <c r="D164" s="35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</row>
    <row r="165" spans="1:28" ht="13.5" customHeight="1" x14ac:dyDescent="0.2">
      <c r="A165" s="34"/>
      <c r="B165" s="35"/>
      <c r="C165" s="35"/>
      <c r="D165" s="35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</row>
    <row r="166" spans="1:28" ht="13.5" customHeight="1" x14ac:dyDescent="0.2">
      <c r="A166" s="34"/>
      <c r="B166" s="35"/>
      <c r="C166" s="35"/>
      <c r="D166" s="35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</row>
    <row r="167" spans="1:28" ht="13.5" customHeight="1" x14ac:dyDescent="0.2">
      <c r="A167" s="34"/>
      <c r="B167" s="35"/>
      <c r="C167" s="35"/>
      <c r="D167" s="35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</row>
    <row r="168" spans="1:28" ht="13.5" customHeight="1" x14ac:dyDescent="0.2">
      <c r="A168" s="34"/>
      <c r="B168" s="35"/>
      <c r="C168" s="35"/>
      <c r="D168" s="35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</row>
    <row r="169" spans="1:28" ht="13.5" customHeight="1" x14ac:dyDescent="0.2">
      <c r="A169" s="34"/>
      <c r="B169" s="35"/>
      <c r="C169" s="35"/>
      <c r="D169" s="35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</row>
    <row r="170" spans="1:28" ht="13.5" customHeight="1" x14ac:dyDescent="0.2">
      <c r="A170" s="34"/>
      <c r="B170" s="35"/>
      <c r="C170" s="35"/>
      <c r="D170" s="35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</row>
    <row r="171" spans="1:28" ht="13.5" customHeight="1" x14ac:dyDescent="0.2">
      <c r="A171" s="34"/>
      <c r="B171" s="35"/>
      <c r="C171" s="35"/>
      <c r="D171" s="35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</row>
    <row r="172" spans="1:28" ht="13.5" customHeight="1" x14ac:dyDescent="0.2">
      <c r="A172" s="34"/>
      <c r="B172" s="35"/>
      <c r="C172" s="35"/>
      <c r="D172" s="35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</row>
    <row r="173" spans="1:28" ht="13.5" customHeight="1" x14ac:dyDescent="0.2">
      <c r="A173" s="34"/>
      <c r="B173" s="35"/>
      <c r="C173" s="35"/>
      <c r="D173" s="35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</row>
    <row r="174" spans="1:28" ht="13.5" customHeight="1" x14ac:dyDescent="0.2">
      <c r="A174" s="34"/>
      <c r="B174" s="35"/>
      <c r="C174" s="35"/>
      <c r="D174" s="35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</row>
    <row r="175" spans="1:28" ht="13.5" customHeight="1" x14ac:dyDescent="0.2">
      <c r="A175" s="34"/>
      <c r="B175" s="35"/>
      <c r="C175" s="35"/>
      <c r="D175" s="35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</row>
    <row r="176" spans="1:28" ht="13.5" customHeight="1" x14ac:dyDescent="0.2">
      <c r="A176" s="34"/>
      <c r="B176" s="35"/>
      <c r="C176" s="35"/>
      <c r="D176" s="35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</row>
    <row r="177" spans="1:28" ht="13.5" customHeight="1" x14ac:dyDescent="0.2">
      <c r="A177" s="34"/>
      <c r="B177" s="35"/>
      <c r="C177" s="35"/>
      <c r="D177" s="35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</row>
    <row r="178" spans="1:28" ht="13.5" customHeight="1" x14ac:dyDescent="0.2">
      <c r="A178" s="34"/>
      <c r="B178" s="35"/>
      <c r="C178" s="35"/>
      <c r="D178" s="35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</row>
    <row r="179" spans="1:28" ht="13.5" customHeight="1" x14ac:dyDescent="0.2">
      <c r="A179" s="34"/>
      <c r="B179" s="35"/>
      <c r="C179" s="35"/>
      <c r="D179" s="35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</row>
    <row r="180" spans="1:28" ht="13.5" customHeight="1" x14ac:dyDescent="0.2">
      <c r="A180" s="34"/>
      <c r="B180" s="35"/>
      <c r="C180" s="35"/>
      <c r="D180" s="35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</row>
    <row r="181" spans="1:28" ht="13.5" customHeight="1" x14ac:dyDescent="0.2">
      <c r="A181" s="34"/>
      <c r="B181" s="35"/>
      <c r="C181" s="35"/>
      <c r="D181" s="35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</row>
    <row r="182" spans="1:28" ht="13.5" customHeight="1" x14ac:dyDescent="0.2">
      <c r="A182" s="34"/>
      <c r="B182" s="35"/>
      <c r="C182" s="35"/>
      <c r="D182" s="35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</row>
    <row r="183" spans="1:28" ht="13.5" customHeight="1" x14ac:dyDescent="0.2">
      <c r="A183" s="34"/>
      <c r="B183" s="35"/>
      <c r="C183" s="35"/>
      <c r="D183" s="35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</row>
    <row r="184" spans="1:28" ht="13.5" customHeight="1" x14ac:dyDescent="0.2">
      <c r="A184" s="34"/>
      <c r="B184" s="35"/>
      <c r="C184" s="35"/>
      <c r="D184" s="35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</row>
    <row r="185" spans="1:28" ht="13.5" customHeight="1" x14ac:dyDescent="0.2">
      <c r="A185" s="34"/>
      <c r="B185" s="35"/>
      <c r="C185" s="35"/>
      <c r="D185" s="35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</row>
    <row r="186" spans="1:28" ht="13.5" customHeight="1" x14ac:dyDescent="0.2">
      <c r="A186" s="34"/>
      <c r="B186" s="35"/>
      <c r="C186" s="35"/>
      <c r="D186" s="35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</row>
    <row r="187" spans="1:28" ht="13.5" customHeight="1" x14ac:dyDescent="0.2">
      <c r="A187" s="34"/>
      <c r="B187" s="35"/>
      <c r="C187" s="35"/>
      <c r="D187" s="35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</row>
    <row r="188" spans="1:28" ht="13.5" customHeight="1" x14ac:dyDescent="0.2">
      <c r="A188" s="34"/>
      <c r="B188" s="35"/>
      <c r="C188" s="35"/>
      <c r="D188" s="35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</row>
    <row r="189" spans="1:28" ht="13.5" customHeight="1" x14ac:dyDescent="0.2">
      <c r="A189" s="34"/>
      <c r="B189" s="35"/>
      <c r="C189" s="35"/>
      <c r="D189" s="35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</row>
    <row r="190" spans="1:28" ht="13.5" customHeight="1" x14ac:dyDescent="0.2">
      <c r="A190" s="34"/>
      <c r="B190" s="35"/>
      <c r="C190" s="35"/>
      <c r="D190" s="35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</row>
    <row r="191" spans="1:28" ht="13.5" customHeight="1" x14ac:dyDescent="0.2">
      <c r="A191" s="34"/>
      <c r="B191" s="35"/>
      <c r="C191" s="35"/>
      <c r="D191" s="35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</row>
    <row r="192" spans="1:28" ht="13.5" customHeight="1" x14ac:dyDescent="0.2">
      <c r="A192" s="34"/>
      <c r="B192" s="35"/>
      <c r="C192" s="35"/>
      <c r="D192" s="35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 spans="1:28" ht="13.5" customHeight="1" x14ac:dyDescent="0.2">
      <c r="A193" s="34"/>
      <c r="B193" s="35"/>
      <c r="C193" s="35"/>
      <c r="D193" s="35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 spans="1:28" ht="13.5" customHeight="1" x14ac:dyDescent="0.2">
      <c r="A194" s="34"/>
      <c r="B194" s="35"/>
      <c r="C194" s="35"/>
      <c r="D194" s="35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 spans="1:28" ht="13.5" customHeight="1" x14ac:dyDescent="0.2">
      <c r="A195" s="34"/>
      <c r="B195" s="35"/>
      <c r="C195" s="35"/>
      <c r="D195" s="35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 spans="1:28" ht="13.5" customHeight="1" x14ac:dyDescent="0.2">
      <c r="A196" s="34"/>
      <c r="B196" s="35"/>
      <c r="C196" s="35"/>
      <c r="D196" s="35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</row>
    <row r="197" spans="1:28" ht="13.5" customHeight="1" x14ac:dyDescent="0.2">
      <c r="A197" s="34"/>
      <c r="B197" s="35"/>
      <c r="C197" s="35"/>
      <c r="D197" s="35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</row>
    <row r="198" spans="1:28" ht="13.5" customHeight="1" x14ac:dyDescent="0.2">
      <c r="A198" s="34"/>
      <c r="B198" s="35"/>
      <c r="C198" s="35"/>
      <c r="D198" s="35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</row>
    <row r="199" spans="1:28" ht="13.5" customHeight="1" x14ac:dyDescent="0.2">
      <c r="A199" s="34"/>
      <c r="B199" s="35"/>
      <c r="C199" s="35"/>
      <c r="D199" s="35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</row>
    <row r="200" spans="1:28" ht="13.5" customHeight="1" x14ac:dyDescent="0.2">
      <c r="A200" s="34"/>
      <c r="B200" s="35"/>
      <c r="C200" s="35"/>
      <c r="D200" s="35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</row>
    <row r="201" spans="1:28" ht="13.5" customHeight="1" x14ac:dyDescent="0.2">
      <c r="A201" s="34"/>
      <c r="B201" s="35"/>
      <c r="C201" s="35"/>
      <c r="D201" s="35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</row>
    <row r="202" spans="1:28" ht="13.5" customHeight="1" x14ac:dyDescent="0.2">
      <c r="A202" s="34"/>
      <c r="B202" s="35"/>
      <c r="C202" s="35"/>
      <c r="D202" s="35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</row>
    <row r="203" spans="1:28" ht="13.5" customHeight="1" x14ac:dyDescent="0.2">
      <c r="A203" s="34"/>
      <c r="B203" s="35"/>
      <c r="C203" s="35"/>
      <c r="D203" s="35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</row>
    <row r="204" spans="1:28" ht="13.5" customHeight="1" x14ac:dyDescent="0.2">
      <c r="A204" s="34"/>
      <c r="B204" s="35"/>
      <c r="C204" s="35"/>
      <c r="D204" s="35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</row>
    <row r="205" spans="1:28" ht="13.5" customHeight="1" x14ac:dyDescent="0.2">
      <c r="A205" s="34"/>
      <c r="B205" s="35"/>
      <c r="C205" s="35"/>
      <c r="D205" s="35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</row>
    <row r="206" spans="1:28" ht="13.5" customHeight="1" x14ac:dyDescent="0.2">
      <c r="A206" s="34"/>
      <c r="B206" s="35"/>
      <c r="C206" s="35"/>
      <c r="D206" s="35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</row>
    <row r="207" spans="1:28" ht="13.5" customHeight="1" x14ac:dyDescent="0.2">
      <c r="A207" s="34"/>
      <c r="B207" s="35"/>
      <c r="C207" s="35"/>
      <c r="D207" s="35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</row>
    <row r="208" spans="1:28" ht="13.5" customHeight="1" x14ac:dyDescent="0.2">
      <c r="A208" s="34"/>
      <c r="B208" s="35"/>
      <c r="C208" s="35"/>
      <c r="D208" s="35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</row>
    <row r="209" spans="1:28" ht="13.5" customHeight="1" x14ac:dyDescent="0.2">
      <c r="A209" s="34"/>
      <c r="B209" s="35"/>
      <c r="C209" s="35"/>
      <c r="D209" s="35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</row>
    <row r="210" spans="1:28" ht="13.5" customHeight="1" x14ac:dyDescent="0.2">
      <c r="A210" s="34"/>
      <c r="B210" s="35"/>
      <c r="C210" s="35"/>
      <c r="D210" s="35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</row>
    <row r="211" spans="1:28" ht="13.5" customHeight="1" x14ac:dyDescent="0.2">
      <c r="A211" s="34"/>
      <c r="B211" s="35"/>
      <c r="C211" s="35"/>
      <c r="D211" s="35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</row>
    <row r="212" spans="1:28" ht="13.5" customHeight="1" x14ac:dyDescent="0.2">
      <c r="A212" s="34"/>
      <c r="B212" s="35"/>
      <c r="C212" s="35"/>
      <c r="D212" s="35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</row>
    <row r="213" spans="1:28" ht="13.5" customHeight="1" x14ac:dyDescent="0.2">
      <c r="A213" s="34"/>
      <c r="B213" s="35"/>
      <c r="C213" s="35"/>
      <c r="D213" s="35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</row>
    <row r="214" spans="1:28" ht="13.5" customHeight="1" x14ac:dyDescent="0.2">
      <c r="A214" s="34"/>
      <c r="B214" s="35"/>
      <c r="C214" s="35"/>
      <c r="D214" s="35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</row>
    <row r="215" spans="1:28" ht="13.5" customHeight="1" x14ac:dyDescent="0.2">
      <c r="A215" s="34"/>
      <c r="B215" s="35"/>
      <c r="C215" s="35"/>
      <c r="D215" s="35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</row>
    <row r="216" spans="1:28" ht="13.5" customHeight="1" x14ac:dyDescent="0.2">
      <c r="A216" s="34"/>
      <c r="B216" s="35"/>
      <c r="C216" s="35"/>
      <c r="D216" s="35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</row>
    <row r="217" spans="1:28" ht="13.5" customHeight="1" x14ac:dyDescent="0.2">
      <c r="A217" s="34"/>
      <c r="B217" s="35"/>
      <c r="C217" s="35"/>
      <c r="D217" s="35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</row>
    <row r="218" spans="1:28" ht="13.5" customHeight="1" x14ac:dyDescent="0.2">
      <c r="A218" s="34"/>
      <c r="B218" s="35"/>
      <c r="C218" s="35"/>
      <c r="D218" s="35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</row>
    <row r="219" spans="1:28" ht="13.5" customHeight="1" x14ac:dyDescent="0.2">
      <c r="A219" s="34"/>
      <c r="B219" s="35"/>
      <c r="C219" s="35"/>
      <c r="D219" s="35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</row>
    <row r="220" spans="1:28" ht="13.5" customHeight="1" x14ac:dyDescent="0.2">
      <c r="A220" s="34"/>
      <c r="B220" s="35"/>
      <c r="C220" s="35"/>
      <c r="D220" s="35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</row>
    <row r="221" spans="1:28" ht="13.5" customHeight="1" x14ac:dyDescent="0.2">
      <c r="A221" s="34"/>
      <c r="B221" s="35"/>
      <c r="C221" s="35"/>
      <c r="D221" s="35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</row>
    <row r="222" spans="1:28" ht="13.5" customHeight="1" x14ac:dyDescent="0.2">
      <c r="A222" s="34"/>
      <c r="B222" s="35"/>
      <c r="C222" s="35"/>
      <c r="D222" s="35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</row>
    <row r="223" spans="1:28" ht="13.5" customHeight="1" x14ac:dyDescent="0.2">
      <c r="A223" s="34"/>
      <c r="B223" s="35"/>
      <c r="C223" s="35"/>
      <c r="D223" s="35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</row>
    <row r="224" spans="1:28" ht="13.5" customHeight="1" x14ac:dyDescent="0.2">
      <c r="A224" s="34"/>
      <c r="B224" s="35"/>
      <c r="C224" s="35"/>
      <c r="D224" s="35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</row>
    <row r="225" spans="1:28" ht="13.5" customHeight="1" x14ac:dyDescent="0.2">
      <c r="A225" s="34"/>
      <c r="B225" s="35"/>
      <c r="C225" s="35"/>
      <c r="D225" s="35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</row>
    <row r="226" spans="1:28" ht="13.5" customHeight="1" x14ac:dyDescent="0.2">
      <c r="A226" s="34"/>
      <c r="B226" s="35"/>
      <c r="C226" s="35"/>
      <c r="D226" s="35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</row>
    <row r="227" spans="1:28" ht="13.5" customHeight="1" x14ac:dyDescent="0.2">
      <c r="A227" s="34"/>
      <c r="B227" s="35"/>
      <c r="C227" s="35"/>
      <c r="D227" s="35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</row>
    <row r="228" spans="1:28" ht="13.5" customHeight="1" x14ac:dyDescent="0.2">
      <c r="A228" s="34"/>
      <c r="B228" s="35"/>
      <c r="C228" s="35"/>
      <c r="D228" s="35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</row>
    <row r="229" spans="1:28" ht="13.5" customHeight="1" x14ac:dyDescent="0.2">
      <c r="A229" s="34"/>
      <c r="B229" s="35"/>
      <c r="C229" s="35"/>
      <c r="D229" s="35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</row>
    <row r="230" spans="1:28" ht="13.5" customHeight="1" x14ac:dyDescent="0.2">
      <c r="A230" s="34"/>
      <c r="B230" s="35"/>
      <c r="C230" s="35"/>
      <c r="D230" s="35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</row>
    <row r="231" spans="1:28" ht="13.5" customHeight="1" x14ac:dyDescent="0.2">
      <c r="A231" s="34"/>
      <c r="B231" s="35"/>
      <c r="C231" s="35"/>
      <c r="D231" s="35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</row>
    <row r="232" spans="1:28" ht="13.5" customHeight="1" x14ac:dyDescent="0.2">
      <c r="A232" s="34"/>
      <c r="B232" s="35"/>
      <c r="C232" s="35"/>
      <c r="D232" s="35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</row>
    <row r="233" spans="1:28" ht="13.5" customHeight="1" x14ac:dyDescent="0.2">
      <c r="A233" s="34"/>
      <c r="B233" s="35"/>
      <c r="C233" s="35"/>
      <c r="D233" s="35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</row>
    <row r="234" spans="1:28" ht="13.5" customHeight="1" x14ac:dyDescent="0.2">
      <c r="A234" s="34"/>
      <c r="B234" s="35"/>
      <c r="C234" s="35"/>
      <c r="D234" s="35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</row>
    <row r="235" spans="1:28" ht="13.5" customHeight="1" x14ac:dyDescent="0.2">
      <c r="A235" s="34"/>
      <c r="B235" s="35"/>
      <c r="C235" s="35"/>
      <c r="D235" s="35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</row>
    <row r="236" spans="1:28" ht="13.5" customHeight="1" x14ac:dyDescent="0.2">
      <c r="A236" s="34"/>
      <c r="B236" s="35"/>
      <c r="C236" s="35"/>
      <c r="D236" s="35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</row>
    <row r="237" spans="1:28" ht="13.5" customHeight="1" x14ac:dyDescent="0.2">
      <c r="A237" s="34"/>
      <c r="B237" s="35"/>
      <c r="C237" s="35"/>
      <c r="D237" s="35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</row>
    <row r="238" spans="1:28" ht="13.5" customHeight="1" x14ac:dyDescent="0.2">
      <c r="A238" s="34"/>
      <c r="B238" s="35"/>
      <c r="C238" s="35"/>
      <c r="D238" s="35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</row>
    <row r="239" spans="1:28" ht="13.5" customHeight="1" x14ac:dyDescent="0.2">
      <c r="A239" s="34"/>
      <c r="B239" s="35"/>
      <c r="C239" s="35"/>
      <c r="D239" s="35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</row>
    <row r="240" spans="1:28" ht="13.5" customHeight="1" x14ac:dyDescent="0.2">
      <c r="A240" s="34"/>
      <c r="B240" s="35"/>
      <c r="C240" s="35"/>
      <c r="D240" s="35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</row>
    <row r="241" spans="1:28" ht="13.5" customHeight="1" x14ac:dyDescent="0.2">
      <c r="A241" s="34"/>
      <c r="B241" s="35"/>
      <c r="C241" s="35"/>
      <c r="D241" s="35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</row>
    <row r="242" spans="1:28" ht="13.5" customHeight="1" x14ac:dyDescent="0.2">
      <c r="A242" s="34"/>
      <c r="B242" s="35"/>
      <c r="C242" s="35"/>
      <c r="D242" s="35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</row>
    <row r="243" spans="1:28" ht="13.5" customHeight="1" x14ac:dyDescent="0.2">
      <c r="A243" s="34"/>
      <c r="B243" s="35"/>
      <c r="C243" s="35"/>
      <c r="D243" s="35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</row>
    <row r="244" spans="1:28" ht="13.5" customHeight="1" x14ac:dyDescent="0.2">
      <c r="A244" s="34"/>
      <c r="B244" s="35"/>
      <c r="C244" s="35"/>
      <c r="D244" s="35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</row>
    <row r="245" spans="1:28" ht="13.5" customHeight="1" x14ac:dyDescent="0.2">
      <c r="A245" s="34"/>
      <c r="B245" s="35"/>
      <c r="C245" s="35"/>
      <c r="D245" s="35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</row>
    <row r="246" spans="1:28" ht="13.5" customHeight="1" x14ac:dyDescent="0.2">
      <c r="A246" s="34"/>
      <c r="B246" s="35"/>
      <c r="C246" s="35"/>
      <c r="D246" s="35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</row>
    <row r="247" spans="1:28" ht="13.5" customHeight="1" x14ac:dyDescent="0.2">
      <c r="A247" s="34"/>
      <c r="B247" s="35"/>
      <c r="C247" s="35"/>
      <c r="D247" s="35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</row>
    <row r="248" spans="1:28" ht="13.5" customHeight="1" x14ac:dyDescent="0.2">
      <c r="A248" s="34"/>
      <c r="B248" s="35"/>
      <c r="C248" s="35"/>
      <c r="D248" s="35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</row>
    <row r="249" spans="1:28" ht="13.5" customHeight="1" x14ac:dyDescent="0.2">
      <c r="A249" s="34"/>
      <c r="B249" s="35"/>
      <c r="C249" s="35"/>
      <c r="D249" s="35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</row>
    <row r="250" spans="1:28" ht="13.5" customHeight="1" x14ac:dyDescent="0.2">
      <c r="A250" s="34"/>
      <c r="B250" s="35"/>
      <c r="C250" s="35"/>
      <c r="D250" s="35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</row>
    <row r="251" spans="1:28" ht="13.5" customHeight="1" x14ac:dyDescent="0.2">
      <c r="A251" s="34"/>
      <c r="B251" s="35"/>
      <c r="C251" s="35"/>
      <c r="D251" s="35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</row>
    <row r="252" spans="1:28" ht="13.5" customHeight="1" x14ac:dyDescent="0.2">
      <c r="A252" s="34"/>
      <c r="B252" s="35"/>
      <c r="C252" s="35"/>
      <c r="D252" s="35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</row>
    <row r="253" spans="1:28" ht="13.5" customHeight="1" x14ac:dyDescent="0.2">
      <c r="A253" s="34"/>
      <c r="B253" s="35"/>
      <c r="C253" s="35"/>
      <c r="D253" s="35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</row>
    <row r="254" spans="1:28" ht="13.5" customHeight="1" x14ac:dyDescent="0.2">
      <c r="A254" s="34"/>
      <c r="B254" s="35"/>
      <c r="C254" s="35"/>
      <c r="D254" s="35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</row>
    <row r="255" spans="1:28" ht="13.5" customHeight="1" x14ac:dyDescent="0.2">
      <c r="A255" s="34"/>
      <c r="B255" s="35"/>
      <c r="C255" s="35"/>
      <c r="D255" s="35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</row>
    <row r="256" spans="1:28" ht="13.5" customHeight="1" x14ac:dyDescent="0.2">
      <c r="A256" s="34"/>
      <c r="B256" s="35"/>
      <c r="C256" s="35"/>
      <c r="D256" s="35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</row>
    <row r="257" spans="1:28" ht="13.5" customHeight="1" x14ac:dyDescent="0.2">
      <c r="A257" s="34"/>
      <c r="B257" s="35"/>
      <c r="C257" s="35"/>
      <c r="D257" s="35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</row>
    <row r="258" spans="1:28" ht="13.5" customHeight="1" x14ac:dyDescent="0.2">
      <c r="A258" s="34"/>
      <c r="B258" s="35"/>
      <c r="C258" s="35"/>
      <c r="D258" s="35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</row>
    <row r="259" spans="1:28" ht="13.5" customHeight="1" x14ac:dyDescent="0.2">
      <c r="A259" s="34"/>
      <c r="B259" s="35"/>
      <c r="C259" s="35"/>
      <c r="D259" s="35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</row>
    <row r="260" spans="1:28" ht="13.5" customHeight="1" x14ac:dyDescent="0.2">
      <c r="A260" s="34"/>
      <c r="B260" s="35"/>
      <c r="C260" s="35"/>
      <c r="D260" s="35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</row>
    <row r="261" spans="1:28" ht="13.5" customHeight="1" x14ac:dyDescent="0.2">
      <c r="A261" s="34"/>
      <c r="B261" s="35"/>
      <c r="C261" s="35"/>
      <c r="D261" s="35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</row>
    <row r="262" spans="1:28" ht="13.5" customHeight="1" x14ac:dyDescent="0.2">
      <c r="A262" s="34"/>
      <c r="B262" s="35"/>
      <c r="C262" s="35"/>
      <c r="D262" s="35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</row>
    <row r="263" spans="1:28" ht="13.5" customHeight="1" x14ac:dyDescent="0.2">
      <c r="A263" s="34"/>
      <c r="B263" s="35"/>
      <c r="C263" s="35"/>
      <c r="D263" s="35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</row>
    <row r="264" spans="1:28" ht="13.5" customHeight="1" x14ac:dyDescent="0.2">
      <c r="A264" s="34"/>
      <c r="B264" s="35"/>
      <c r="C264" s="35"/>
      <c r="D264" s="35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</row>
    <row r="265" spans="1:28" ht="13.5" customHeight="1" x14ac:dyDescent="0.2">
      <c r="A265" s="34"/>
      <c r="B265" s="35"/>
      <c r="C265" s="35"/>
      <c r="D265" s="35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</row>
    <row r="266" spans="1:28" ht="13.5" customHeight="1" x14ac:dyDescent="0.2">
      <c r="A266" s="34"/>
      <c r="B266" s="35"/>
      <c r="C266" s="35"/>
      <c r="D266" s="35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</row>
    <row r="267" spans="1:28" ht="13.5" customHeight="1" x14ac:dyDescent="0.2">
      <c r="A267" s="34"/>
      <c r="B267" s="35"/>
      <c r="C267" s="35"/>
      <c r="D267" s="35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</row>
    <row r="268" spans="1:28" ht="13.5" customHeight="1" x14ac:dyDescent="0.2">
      <c r="A268" s="34"/>
      <c r="B268" s="35"/>
      <c r="C268" s="35"/>
      <c r="D268" s="35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</row>
    <row r="269" spans="1:28" ht="13.5" customHeight="1" x14ac:dyDescent="0.2">
      <c r="A269" s="34"/>
      <c r="B269" s="35"/>
      <c r="C269" s="35"/>
      <c r="D269" s="35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</row>
    <row r="270" spans="1:28" ht="13.5" customHeight="1" x14ac:dyDescent="0.2">
      <c r="A270" s="34"/>
      <c r="B270" s="35"/>
      <c r="C270" s="35"/>
      <c r="D270" s="35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</row>
    <row r="271" spans="1:28" ht="13.5" customHeight="1" x14ac:dyDescent="0.2">
      <c r="A271" s="34"/>
      <c r="B271" s="35"/>
      <c r="C271" s="35"/>
      <c r="D271" s="35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</row>
    <row r="272" spans="1:28" ht="13.5" customHeight="1" x14ac:dyDescent="0.2">
      <c r="A272" s="34"/>
      <c r="B272" s="35"/>
      <c r="C272" s="35"/>
      <c r="D272" s="35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</row>
    <row r="273" spans="1:28" ht="13.5" customHeight="1" x14ac:dyDescent="0.2">
      <c r="A273" s="34"/>
      <c r="B273" s="35"/>
      <c r="C273" s="35"/>
      <c r="D273" s="35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</row>
    <row r="274" spans="1:28" ht="13.5" customHeight="1" x14ac:dyDescent="0.2">
      <c r="A274" s="34"/>
      <c r="B274" s="35"/>
      <c r="C274" s="35"/>
      <c r="D274" s="35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</row>
    <row r="275" spans="1:28" ht="13.5" customHeight="1" x14ac:dyDescent="0.2">
      <c r="A275" s="34"/>
      <c r="B275" s="35"/>
      <c r="C275" s="35"/>
      <c r="D275" s="35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</row>
    <row r="276" spans="1:28" ht="13.5" customHeight="1" x14ac:dyDescent="0.2">
      <c r="A276" s="34"/>
      <c r="B276" s="35"/>
      <c r="C276" s="35"/>
      <c r="D276" s="35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</row>
    <row r="277" spans="1:28" ht="13.5" customHeight="1" x14ac:dyDescent="0.2">
      <c r="A277" s="34"/>
      <c r="B277" s="35"/>
      <c r="C277" s="35"/>
      <c r="D277" s="35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</row>
    <row r="278" spans="1:28" ht="13.5" customHeight="1" x14ac:dyDescent="0.2">
      <c r="A278" s="34"/>
      <c r="B278" s="35"/>
      <c r="C278" s="35"/>
      <c r="D278" s="35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</row>
    <row r="279" spans="1:28" ht="13.5" customHeight="1" x14ac:dyDescent="0.2">
      <c r="A279" s="34"/>
      <c r="B279" s="35"/>
      <c r="C279" s="35"/>
      <c r="D279" s="35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</row>
    <row r="280" spans="1:28" ht="13.5" customHeight="1" x14ac:dyDescent="0.2">
      <c r="A280" s="34"/>
      <c r="B280" s="35"/>
      <c r="C280" s="35"/>
      <c r="D280" s="35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</row>
    <row r="281" spans="1:28" ht="13.5" customHeight="1" x14ac:dyDescent="0.2">
      <c r="A281" s="34"/>
      <c r="B281" s="35"/>
      <c r="C281" s="35"/>
      <c r="D281" s="35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</row>
    <row r="282" spans="1:28" ht="13.5" customHeight="1" x14ac:dyDescent="0.2">
      <c r="A282" s="34"/>
      <c r="B282" s="35"/>
      <c r="C282" s="35"/>
      <c r="D282" s="35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</row>
    <row r="283" spans="1:28" ht="13.5" customHeight="1" x14ac:dyDescent="0.2">
      <c r="A283" s="34"/>
      <c r="B283" s="35"/>
      <c r="C283" s="35"/>
      <c r="D283" s="35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</row>
    <row r="284" spans="1:28" ht="13.5" customHeight="1" x14ac:dyDescent="0.2">
      <c r="A284" s="34"/>
      <c r="B284" s="35"/>
      <c r="C284" s="35"/>
      <c r="D284" s="35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</row>
    <row r="285" spans="1:28" ht="13.5" customHeight="1" x14ac:dyDescent="0.2">
      <c r="A285" s="34"/>
      <c r="B285" s="35"/>
      <c r="C285" s="35"/>
      <c r="D285" s="35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</row>
    <row r="286" spans="1:28" ht="13.5" customHeight="1" x14ac:dyDescent="0.2">
      <c r="A286" s="34"/>
      <c r="B286" s="35"/>
      <c r="C286" s="35"/>
      <c r="D286" s="35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</row>
    <row r="287" spans="1:28" ht="13.5" customHeight="1" x14ac:dyDescent="0.2">
      <c r="A287" s="34"/>
      <c r="B287" s="35"/>
      <c r="C287" s="35"/>
      <c r="D287" s="35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</row>
    <row r="288" spans="1:28" ht="13.5" customHeight="1" x14ac:dyDescent="0.2">
      <c r="A288" s="34"/>
      <c r="B288" s="35"/>
      <c r="C288" s="35"/>
      <c r="D288" s="35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</row>
    <row r="289" spans="1:28" ht="13.5" customHeight="1" x14ac:dyDescent="0.2">
      <c r="A289" s="34"/>
      <c r="B289" s="35"/>
      <c r="C289" s="35"/>
      <c r="D289" s="35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</row>
    <row r="290" spans="1:28" ht="13.5" customHeight="1" x14ac:dyDescent="0.2">
      <c r="A290" s="34"/>
      <c r="B290" s="35"/>
      <c r="C290" s="35"/>
      <c r="D290" s="35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</row>
    <row r="291" spans="1:28" ht="13.5" customHeight="1" x14ac:dyDescent="0.2">
      <c r="A291" s="34"/>
      <c r="B291" s="35"/>
      <c r="C291" s="35"/>
      <c r="D291" s="35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</row>
    <row r="292" spans="1:28" ht="13.5" customHeight="1" x14ac:dyDescent="0.2">
      <c r="A292" s="34"/>
      <c r="B292" s="35"/>
      <c r="C292" s="35"/>
      <c r="D292" s="35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</row>
    <row r="293" spans="1:28" ht="13.5" customHeight="1" x14ac:dyDescent="0.2">
      <c r="A293" s="34"/>
      <c r="B293" s="35"/>
      <c r="C293" s="35"/>
      <c r="D293" s="35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</row>
    <row r="294" spans="1:28" ht="13.5" customHeight="1" x14ac:dyDescent="0.2">
      <c r="A294" s="34"/>
      <c r="B294" s="35"/>
      <c r="C294" s="35"/>
      <c r="D294" s="35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</row>
    <row r="295" spans="1:28" ht="13.5" customHeight="1" x14ac:dyDescent="0.2">
      <c r="A295" s="34"/>
      <c r="B295" s="35"/>
      <c r="C295" s="35"/>
      <c r="D295" s="35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</row>
    <row r="296" spans="1:28" ht="13.5" customHeight="1" x14ac:dyDescent="0.2">
      <c r="A296" s="34"/>
      <c r="B296" s="35"/>
      <c r="C296" s="35"/>
      <c r="D296" s="35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</row>
    <row r="297" spans="1:28" ht="13.5" customHeight="1" x14ac:dyDescent="0.2">
      <c r="A297" s="34"/>
      <c r="B297" s="35"/>
      <c r="C297" s="35"/>
      <c r="D297" s="35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</row>
    <row r="298" spans="1:28" ht="13.5" customHeight="1" x14ac:dyDescent="0.2">
      <c r="A298" s="34"/>
      <c r="B298" s="35"/>
      <c r="C298" s="35"/>
      <c r="D298" s="35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</row>
    <row r="299" spans="1:28" ht="13.5" customHeight="1" x14ac:dyDescent="0.2">
      <c r="A299" s="34"/>
      <c r="B299" s="35"/>
      <c r="C299" s="35"/>
      <c r="D299" s="35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</row>
    <row r="300" spans="1:28" ht="13.5" customHeight="1" x14ac:dyDescent="0.2">
      <c r="A300" s="34"/>
      <c r="B300" s="35"/>
      <c r="C300" s="35"/>
      <c r="D300" s="35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</row>
    <row r="301" spans="1:28" ht="13.5" customHeight="1" x14ac:dyDescent="0.2">
      <c r="A301" s="34"/>
      <c r="B301" s="35"/>
      <c r="C301" s="35"/>
      <c r="D301" s="35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</row>
    <row r="302" spans="1:28" ht="13.5" customHeight="1" x14ac:dyDescent="0.2">
      <c r="A302" s="34"/>
      <c r="B302" s="35"/>
      <c r="C302" s="35"/>
      <c r="D302" s="35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</row>
    <row r="303" spans="1:28" ht="13.5" customHeight="1" x14ac:dyDescent="0.2">
      <c r="A303" s="34"/>
      <c r="B303" s="35"/>
      <c r="C303" s="35"/>
      <c r="D303" s="35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</row>
    <row r="304" spans="1:28" ht="13.5" customHeight="1" x14ac:dyDescent="0.2">
      <c r="A304" s="34"/>
      <c r="B304" s="35"/>
      <c r="C304" s="35"/>
      <c r="D304" s="35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</row>
    <row r="305" spans="1:28" ht="13.5" customHeight="1" x14ac:dyDescent="0.2">
      <c r="A305" s="34"/>
      <c r="B305" s="35"/>
      <c r="C305" s="35"/>
      <c r="D305" s="35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</row>
    <row r="306" spans="1:28" ht="13.5" customHeight="1" x14ac:dyDescent="0.2">
      <c r="A306" s="34"/>
      <c r="B306" s="35"/>
      <c r="C306" s="35"/>
      <c r="D306" s="35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</row>
    <row r="307" spans="1:28" ht="13.5" customHeight="1" x14ac:dyDescent="0.2">
      <c r="A307" s="34"/>
      <c r="B307" s="35"/>
      <c r="C307" s="35"/>
      <c r="D307" s="35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</row>
    <row r="308" spans="1:28" ht="13.5" customHeight="1" x14ac:dyDescent="0.2">
      <c r="A308" s="34"/>
      <c r="B308" s="35"/>
      <c r="C308" s="35"/>
      <c r="D308" s="35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</row>
    <row r="309" spans="1:28" ht="13.5" customHeight="1" x14ac:dyDescent="0.2">
      <c r="A309" s="34"/>
      <c r="B309" s="35"/>
      <c r="C309" s="35"/>
      <c r="D309" s="35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</row>
    <row r="310" spans="1:28" ht="13.5" customHeight="1" x14ac:dyDescent="0.2">
      <c r="A310" s="34"/>
      <c r="B310" s="35"/>
      <c r="C310" s="35"/>
      <c r="D310" s="35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</row>
    <row r="311" spans="1:28" ht="13.5" customHeight="1" x14ac:dyDescent="0.2">
      <c r="A311" s="34"/>
      <c r="B311" s="35"/>
      <c r="C311" s="35"/>
      <c r="D311" s="35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</row>
    <row r="312" spans="1:28" ht="13.5" customHeight="1" x14ac:dyDescent="0.2">
      <c r="A312" s="34"/>
      <c r="B312" s="35"/>
      <c r="C312" s="35"/>
      <c r="D312" s="35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</row>
    <row r="313" spans="1:28" ht="13.5" customHeight="1" x14ac:dyDescent="0.2">
      <c r="A313" s="34"/>
      <c r="B313" s="35"/>
      <c r="C313" s="35"/>
      <c r="D313" s="35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</row>
    <row r="314" spans="1:28" ht="13.5" customHeight="1" x14ac:dyDescent="0.2">
      <c r="A314" s="34"/>
      <c r="B314" s="35"/>
      <c r="C314" s="35"/>
      <c r="D314" s="35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</row>
    <row r="315" spans="1:28" ht="13.5" customHeight="1" x14ac:dyDescent="0.2">
      <c r="A315" s="34"/>
      <c r="B315" s="35"/>
      <c r="C315" s="35"/>
      <c r="D315" s="35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</row>
    <row r="316" spans="1:28" ht="13.5" customHeight="1" x14ac:dyDescent="0.2">
      <c r="A316" s="34"/>
      <c r="B316" s="35"/>
      <c r="C316" s="35"/>
      <c r="D316" s="35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</row>
    <row r="317" spans="1:28" ht="13.5" customHeight="1" x14ac:dyDescent="0.2">
      <c r="A317" s="34"/>
      <c r="B317" s="35"/>
      <c r="C317" s="35"/>
      <c r="D317" s="35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</row>
    <row r="318" spans="1:28" ht="13.5" customHeight="1" x14ac:dyDescent="0.2">
      <c r="A318" s="34"/>
      <c r="B318" s="35"/>
      <c r="C318" s="35"/>
      <c r="D318" s="35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</row>
    <row r="319" spans="1:28" ht="13.5" customHeight="1" x14ac:dyDescent="0.2">
      <c r="A319" s="34"/>
      <c r="B319" s="35"/>
      <c r="C319" s="35"/>
      <c r="D319" s="35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</row>
    <row r="320" spans="1:28" ht="13.5" customHeight="1" x14ac:dyDescent="0.2">
      <c r="A320" s="34"/>
      <c r="B320" s="35"/>
      <c r="C320" s="35"/>
      <c r="D320" s="35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</row>
    <row r="321" spans="1:28" ht="13.5" customHeight="1" x14ac:dyDescent="0.2">
      <c r="A321" s="34"/>
      <c r="B321" s="35"/>
      <c r="C321" s="35"/>
      <c r="D321" s="35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</row>
    <row r="322" spans="1:28" ht="13.5" customHeight="1" x14ac:dyDescent="0.2">
      <c r="A322" s="34"/>
      <c r="B322" s="35"/>
      <c r="C322" s="35"/>
      <c r="D322" s="35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</row>
    <row r="323" spans="1:28" ht="13.5" customHeight="1" x14ac:dyDescent="0.2">
      <c r="A323" s="34"/>
      <c r="B323" s="35"/>
      <c r="C323" s="35"/>
      <c r="D323" s="35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</row>
    <row r="324" spans="1:28" ht="13.5" customHeight="1" x14ac:dyDescent="0.2">
      <c r="A324" s="34"/>
      <c r="B324" s="35"/>
      <c r="C324" s="35"/>
      <c r="D324" s="35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</row>
    <row r="325" spans="1:28" ht="13.5" customHeight="1" x14ac:dyDescent="0.2">
      <c r="A325" s="34"/>
      <c r="B325" s="35"/>
      <c r="C325" s="35"/>
      <c r="D325" s="35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</row>
    <row r="326" spans="1:28" ht="13.5" customHeight="1" x14ac:dyDescent="0.2">
      <c r="A326" s="34"/>
      <c r="B326" s="35"/>
      <c r="C326" s="35"/>
      <c r="D326" s="35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</row>
    <row r="327" spans="1:28" ht="13.5" customHeight="1" x14ac:dyDescent="0.2">
      <c r="A327" s="34"/>
      <c r="B327" s="35"/>
      <c r="C327" s="35"/>
      <c r="D327" s="35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</row>
    <row r="328" spans="1:28" ht="13.5" customHeight="1" x14ac:dyDescent="0.2">
      <c r="A328" s="34"/>
      <c r="B328" s="35"/>
      <c r="C328" s="35"/>
      <c r="D328" s="35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</row>
    <row r="329" spans="1:28" ht="13.5" customHeight="1" x14ac:dyDescent="0.2">
      <c r="A329" s="34"/>
      <c r="B329" s="35"/>
      <c r="C329" s="35"/>
      <c r="D329" s="35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</row>
    <row r="330" spans="1:28" ht="13.5" customHeight="1" x14ac:dyDescent="0.2">
      <c r="A330" s="34"/>
      <c r="B330" s="35"/>
      <c r="C330" s="35"/>
      <c r="D330" s="35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</row>
    <row r="331" spans="1:28" ht="13.5" customHeight="1" x14ac:dyDescent="0.2">
      <c r="A331" s="34"/>
      <c r="B331" s="35"/>
      <c r="C331" s="35"/>
      <c r="D331" s="35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</row>
    <row r="332" spans="1:28" ht="13.5" customHeight="1" x14ac:dyDescent="0.2">
      <c r="A332" s="34"/>
      <c r="B332" s="35"/>
      <c r="C332" s="35"/>
      <c r="D332" s="35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</row>
    <row r="333" spans="1:28" ht="13.5" customHeight="1" x14ac:dyDescent="0.2">
      <c r="A333" s="34"/>
      <c r="B333" s="35"/>
      <c r="C333" s="35"/>
      <c r="D333" s="35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</row>
    <row r="334" spans="1:28" ht="13.5" customHeight="1" x14ac:dyDescent="0.2">
      <c r="A334" s="34"/>
      <c r="B334" s="35"/>
      <c r="C334" s="35"/>
      <c r="D334" s="35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</row>
    <row r="335" spans="1:28" ht="13.5" customHeight="1" x14ac:dyDescent="0.2">
      <c r="A335" s="34"/>
      <c r="B335" s="35"/>
      <c r="C335" s="35"/>
      <c r="D335" s="35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</row>
    <row r="336" spans="1:28" ht="13.5" customHeight="1" x14ac:dyDescent="0.2">
      <c r="A336" s="34"/>
      <c r="B336" s="35"/>
      <c r="C336" s="35"/>
      <c r="D336" s="35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</row>
    <row r="337" spans="1:28" ht="13.5" customHeight="1" x14ac:dyDescent="0.2">
      <c r="A337" s="34"/>
      <c r="B337" s="35"/>
      <c r="C337" s="35"/>
      <c r="D337" s="35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</row>
    <row r="338" spans="1:28" ht="13.5" customHeight="1" x14ac:dyDescent="0.2">
      <c r="A338" s="34"/>
      <c r="B338" s="35"/>
      <c r="C338" s="35"/>
      <c r="D338" s="35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</row>
    <row r="339" spans="1:28" ht="13.5" customHeight="1" x14ac:dyDescent="0.2">
      <c r="A339" s="34"/>
      <c r="B339" s="35"/>
      <c r="C339" s="35"/>
      <c r="D339" s="35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</row>
    <row r="340" spans="1:28" ht="13.5" customHeight="1" x14ac:dyDescent="0.2">
      <c r="A340" s="34"/>
      <c r="B340" s="35"/>
      <c r="C340" s="35"/>
      <c r="D340" s="35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</row>
    <row r="341" spans="1:28" ht="13.5" customHeight="1" x14ac:dyDescent="0.2">
      <c r="A341" s="34"/>
      <c r="B341" s="35"/>
      <c r="C341" s="35"/>
      <c r="D341" s="35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</row>
    <row r="342" spans="1:28" ht="13.5" customHeight="1" x14ac:dyDescent="0.2">
      <c r="A342" s="34"/>
      <c r="B342" s="35"/>
      <c r="C342" s="35"/>
      <c r="D342" s="35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</row>
    <row r="343" spans="1:28" ht="13.5" customHeight="1" x14ac:dyDescent="0.2">
      <c r="A343" s="34"/>
      <c r="B343" s="35"/>
      <c r="C343" s="35"/>
      <c r="D343" s="35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</row>
    <row r="344" spans="1:28" ht="13.5" customHeight="1" x14ac:dyDescent="0.2">
      <c r="A344" s="34"/>
      <c r="B344" s="35"/>
      <c r="C344" s="35"/>
      <c r="D344" s="35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</row>
    <row r="345" spans="1:28" ht="13.5" customHeight="1" x14ac:dyDescent="0.2">
      <c r="A345" s="34"/>
      <c r="B345" s="35"/>
      <c r="C345" s="35"/>
      <c r="D345" s="35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</row>
    <row r="346" spans="1:28" ht="13.5" customHeight="1" x14ac:dyDescent="0.2">
      <c r="A346" s="34"/>
      <c r="B346" s="35"/>
      <c r="C346" s="35"/>
      <c r="D346" s="35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</row>
    <row r="347" spans="1:28" ht="13.5" customHeight="1" x14ac:dyDescent="0.2">
      <c r="A347" s="34"/>
      <c r="B347" s="35"/>
      <c r="C347" s="35"/>
      <c r="D347" s="35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</row>
    <row r="348" spans="1:28" ht="13.5" customHeight="1" x14ac:dyDescent="0.2">
      <c r="A348" s="34"/>
      <c r="B348" s="35"/>
      <c r="C348" s="35"/>
      <c r="D348" s="35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</row>
    <row r="349" spans="1:28" ht="13.5" customHeight="1" x14ac:dyDescent="0.2">
      <c r="A349" s="34"/>
      <c r="B349" s="35"/>
      <c r="C349" s="35"/>
      <c r="D349" s="35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</row>
    <row r="350" spans="1:28" ht="13.5" customHeight="1" x14ac:dyDescent="0.2">
      <c r="A350" s="34"/>
      <c r="B350" s="35"/>
      <c r="C350" s="35"/>
      <c r="D350" s="35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</row>
    <row r="351" spans="1:28" ht="13.5" customHeight="1" x14ac:dyDescent="0.2">
      <c r="A351" s="34"/>
      <c r="B351" s="35"/>
      <c r="C351" s="35"/>
      <c r="D351" s="35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</row>
    <row r="352" spans="1:28" ht="13.5" customHeight="1" x14ac:dyDescent="0.2">
      <c r="A352" s="34"/>
      <c r="B352" s="35"/>
      <c r="C352" s="35"/>
      <c r="D352" s="35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</row>
    <row r="353" spans="1:28" ht="13.5" customHeight="1" x14ac:dyDescent="0.2">
      <c r="A353" s="34"/>
      <c r="B353" s="35"/>
      <c r="C353" s="35"/>
      <c r="D353" s="35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</row>
    <row r="354" spans="1:28" ht="13.5" customHeight="1" x14ac:dyDescent="0.2">
      <c r="A354" s="34"/>
      <c r="B354" s="35"/>
      <c r="C354" s="35"/>
      <c r="D354" s="35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</row>
    <row r="355" spans="1:28" ht="13.5" customHeight="1" x14ac:dyDescent="0.2">
      <c r="A355" s="34"/>
      <c r="B355" s="35"/>
      <c r="C355" s="35"/>
      <c r="D355" s="35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</row>
    <row r="356" spans="1:28" ht="13.5" customHeight="1" x14ac:dyDescent="0.2">
      <c r="A356" s="34"/>
      <c r="B356" s="35"/>
      <c r="C356" s="35"/>
      <c r="D356" s="35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</row>
    <row r="357" spans="1:28" ht="13.5" customHeight="1" x14ac:dyDescent="0.2">
      <c r="A357" s="34"/>
      <c r="B357" s="35"/>
      <c r="C357" s="35"/>
      <c r="D357" s="35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</row>
    <row r="358" spans="1:28" ht="13.5" customHeight="1" x14ac:dyDescent="0.2">
      <c r="A358" s="34"/>
      <c r="B358" s="35"/>
      <c r="C358" s="35"/>
      <c r="D358" s="35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</row>
    <row r="359" spans="1:28" ht="13.5" customHeight="1" x14ac:dyDescent="0.2">
      <c r="A359" s="34"/>
      <c r="B359" s="35"/>
      <c r="C359" s="35"/>
      <c r="D359" s="35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</row>
    <row r="360" spans="1:28" ht="13.5" customHeight="1" x14ac:dyDescent="0.2">
      <c r="A360" s="34"/>
      <c r="B360" s="35"/>
      <c r="C360" s="35"/>
      <c r="D360" s="35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</row>
    <row r="361" spans="1:28" ht="13.5" customHeight="1" x14ac:dyDescent="0.2">
      <c r="A361" s="34"/>
      <c r="B361" s="35"/>
      <c r="C361" s="35"/>
      <c r="D361" s="35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</row>
    <row r="362" spans="1:28" ht="13.5" customHeight="1" x14ac:dyDescent="0.2">
      <c r="A362" s="34"/>
      <c r="B362" s="35"/>
      <c r="C362" s="35"/>
      <c r="D362" s="35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</row>
    <row r="363" spans="1:28" ht="13.5" customHeight="1" x14ac:dyDescent="0.2">
      <c r="A363" s="34"/>
      <c r="B363" s="35"/>
      <c r="C363" s="35"/>
      <c r="D363" s="35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</row>
    <row r="364" spans="1:28" ht="13.5" customHeight="1" x14ac:dyDescent="0.2">
      <c r="A364" s="34"/>
      <c r="B364" s="35"/>
      <c r="C364" s="35"/>
      <c r="D364" s="35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</row>
    <row r="365" spans="1:28" ht="13.5" customHeight="1" x14ac:dyDescent="0.2">
      <c r="A365" s="34"/>
      <c r="B365" s="35"/>
      <c r="C365" s="35"/>
      <c r="D365" s="35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</row>
    <row r="366" spans="1:28" ht="13.5" customHeight="1" x14ac:dyDescent="0.2">
      <c r="A366" s="34"/>
      <c r="B366" s="35"/>
      <c r="C366" s="35"/>
      <c r="D366" s="35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</row>
    <row r="367" spans="1:28" ht="13.5" customHeight="1" x14ac:dyDescent="0.2">
      <c r="A367" s="34"/>
      <c r="B367" s="35"/>
      <c r="C367" s="35"/>
      <c r="D367" s="35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</row>
    <row r="368" spans="1:28" ht="13.5" customHeight="1" x14ac:dyDescent="0.2">
      <c r="A368" s="34"/>
      <c r="B368" s="35"/>
      <c r="C368" s="35"/>
      <c r="D368" s="35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</row>
    <row r="369" spans="1:28" ht="13.5" customHeight="1" x14ac:dyDescent="0.2">
      <c r="A369" s="34"/>
      <c r="B369" s="35"/>
      <c r="C369" s="35"/>
      <c r="D369" s="35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</row>
    <row r="370" spans="1:28" ht="13.5" customHeight="1" x14ac:dyDescent="0.2">
      <c r="A370" s="34"/>
      <c r="B370" s="35"/>
      <c r="C370" s="35"/>
      <c r="D370" s="35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</row>
    <row r="371" spans="1:28" ht="13.5" customHeight="1" x14ac:dyDescent="0.2">
      <c r="A371" s="34"/>
      <c r="B371" s="35"/>
      <c r="C371" s="35"/>
      <c r="D371" s="35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</row>
    <row r="372" spans="1:28" ht="13.5" customHeight="1" x14ac:dyDescent="0.2">
      <c r="A372" s="34"/>
      <c r="B372" s="35"/>
      <c r="C372" s="35"/>
      <c r="D372" s="35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</row>
    <row r="373" spans="1:28" ht="13.5" customHeight="1" x14ac:dyDescent="0.2">
      <c r="A373" s="34"/>
      <c r="B373" s="35"/>
      <c r="C373" s="35"/>
      <c r="D373" s="35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</row>
    <row r="374" spans="1:28" ht="13.5" customHeight="1" x14ac:dyDescent="0.2">
      <c r="A374" s="34"/>
      <c r="B374" s="35"/>
      <c r="C374" s="35"/>
      <c r="D374" s="35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</row>
    <row r="375" spans="1:28" ht="13.5" customHeight="1" x14ac:dyDescent="0.2">
      <c r="A375" s="34"/>
      <c r="B375" s="35"/>
      <c r="C375" s="35"/>
      <c r="D375" s="35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</row>
    <row r="376" spans="1:28" ht="13.5" customHeight="1" x14ac:dyDescent="0.2">
      <c r="A376" s="34"/>
      <c r="B376" s="35"/>
      <c r="C376" s="35"/>
      <c r="D376" s="35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</row>
    <row r="377" spans="1:28" ht="13.5" customHeight="1" x14ac:dyDescent="0.2">
      <c r="A377" s="34"/>
      <c r="B377" s="35"/>
      <c r="C377" s="35"/>
      <c r="D377" s="35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</row>
    <row r="378" spans="1:28" ht="13.5" customHeight="1" x14ac:dyDescent="0.2">
      <c r="A378" s="34"/>
      <c r="B378" s="35"/>
      <c r="C378" s="35"/>
      <c r="D378" s="35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</row>
    <row r="379" spans="1:28" ht="13.5" customHeight="1" x14ac:dyDescent="0.2">
      <c r="A379" s="34"/>
      <c r="B379" s="35"/>
      <c r="C379" s="35"/>
      <c r="D379" s="35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</row>
    <row r="380" spans="1:28" ht="13.5" customHeight="1" x14ac:dyDescent="0.2">
      <c r="A380" s="34"/>
      <c r="B380" s="35"/>
      <c r="C380" s="35"/>
      <c r="D380" s="35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</row>
    <row r="381" spans="1:28" ht="13.5" customHeight="1" x14ac:dyDescent="0.2">
      <c r="A381" s="34"/>
      <c r="B381" s="35"/>
      <c r="C381" s="35"/>
      <c r="D381" s="35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</row>
    <row r="382" spans="1:28" ht="13.5" customHeight="1" x14ac:dyDescent="0.2">
      <c r="A382" s="34"/>
      <c r="B382" s="35"/>
      <c r="C382" s="35"/>
      <c r="D382" s="35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</row>
    <row r="383" spans="1:28" ht="13.5" customHeight="1" x14ac:dyDescent="0.2">
      <c r="A383" s="34"/>
      <c r="B383" s="35"/>
      <c r="C383" s="35"/>
      <c r="D383" s="35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</row>
    <row r="384" spans="1:28" ht="13.5" customHeight="1" x14ac:dyDescent="0.2">
      <c r="A384" s="34"/>
      <c r="B384" s="35"/>
      <c r="C384" s="35"/>
      <c r="D384" s="35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</row>
    <row r="385" spans="1:28" ht="13.5" customHeight="1" x14ac:dyDescent="0.2">
      <c r="A385" s="34"/>
      <c r="B385" s="35"/>
      <c r="C385" s="35"/>
      <c r="D385" s="35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</row>
    <row r="386" spans="1:28" ht="13.5" customHeight="1" x14ac:dyDescent="0.2">
      <c r="A386" s="34"/>
      <c r="B386" s="35"/>
      <c r="C386" s="35"/>
      <c r="D386" s="35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</row>
    <row r="387" spans="1:28" ht="13.5" customHeight="1" x14ac:dyDescent="0.2">
      <c r="A387" s="34"/>
      <c r="B387" s="35"/>
      <c r="C387" s="35"/>
      <c r="D387" s="35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</row>
    <row r="388" spans="1:28" ht="13.5" customHeight="1" x14ac:dyDescent="0.2">
      <c r="A388" s="34"/>
      <c r="B388" s="35"/>
      <c r="C388" s="35"/>
      <c r="D388" s="35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</row>
    <row r="389" spans="1:28" ht="13.5" customHeight="1" x14ac:dyDescent="0.2">
      <c r="A389" s="34"/>
      <c r="B389" s="35"/>
      <c r="C389" s="35"/>
      <c r="D389" s="35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</row>
    <row r="390" spans="1:28" ht="13.5" customHeight="1" x14ac:dyDescent="0.2">
      <c r="A390" s="34"/>
      <c r="B390" s="35"/>
      <c r="C390" s="35"/>
      <c r="D390" s="35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</row>
    <row r="391" spans="1:28" ht="13.5" customHeight="1" x14ac:dyDescent="0.2">
      <c r="A391" s="34"/>
      <c r="B391" s="35"/>
      <c r="C391" s="35"/>
      <c r="D391" s="35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</row>
    <row r="392" spans="1:28" ht="13.5" customHeight="1" x14ac:dyDescent="0.2">
      <c r="A392" s="34"/>
      <c r="B392" s="35"/>
      <c r="C392" s="35"/>
      <c r="D392" s="35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</row>
    <row r="393" spans="1:28" ht="13.5" customHeight="1" x14ac:dyDescent="0.2">
      <c r="A393" s="34"/>
      <c r="B393" s="35"/>
      <c r="C393" s="35"/>
      <c r="D393" s="35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</row>
    <row r="394" spans="1:28" ht="13.5" customHeight="1" x14ac:dyDescent="0.2">
      <c r="A394" s="34"/>
      <c r="B394" s="35"/>
      <c r="C394" s="35"/>
      <c r="D394" s="35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</row>
    <row r="395" spans="1:28" ht="13.5" customHeight="1" x14ac:dyDescent="0.2">
      <c r="A395" s="34"/>
      <c r="B395" s="35"/>
      <c r="C395" s="35"/>
      <c r="D395" s="35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</row>
    <row r="396" spans="1:28" ht="13.5" customHeight="1" x14ac:dyDescent="0.2">
      <c r="A396" s="34"/>
      <c r="B396" s="35"/>
      <c r="C396" s="35"/>
      <c r="D396" s="35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</row>
    <row r="397" spans="1:28" ht="13.5" customHeight="1" x14ac:dyDescent="0.2">
      <c r="A397" s="34"/>
      <c r="B397" s="35"/>
      <c r="C397" s="35"/>
      <c r="D397" s="35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</row>
    <row r="398" spans="1:28" ht="13.5" customHeight="1" x14ac:dyDescent="0.2">
      <c r="A398" s="34"/>
      <c r="B398" s="35"/>
      <c r="C398" s="35"/>
      <c r="D398" s="35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</row>
    <row r="399" spans="1:28" ht="13.5" customHeight="1" x14ac:dyDescent="0.2">
      <c r="A399" s="34"/>
      <c r="B399" s="35"/>
      <c r="C399" s="35"/>
      <c r="D399" s="35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</row>
    <row r="400" spans="1:28" ht="13.5" customHeight="1" x14ac:dyDescent="0.2">
      <c r="A400" s="34"/>
      <c r="B400" s="35"/>
      <c r="C400" s="35"/>
      <c r="D400" s="35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</row>
    <row r="401" spans="1:28" ht="13.5" customHeight="1" x14ac:dyDescent="0.2">
      <c r="A401" s="34"/>
      <c r="B401" s="35"/>
      <c r="C401" s="35"/>
      <c r="D401" s="35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</row>
    <row r="402" spans="1:28" ht="13.5" customHeight="1" x14ac:dyDescent="0.2">
      <c r="A402" s="34"/>
      <c r="B402" s="35"/>
      <c r="C402" s="35"/>
      <c r="D402" s="35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</row>
    <row r="403" spans="1:28" ht="13.5" customHeight="1" x14ac:dyDescent="0.2">
      <c r="A403" s="34"/>
      <c r="B403" s="35"/>
      <c r="C403" s="35"/>
      <c r="D403" s="35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</row>
    <row r="404" spans="1:28" ht="13.5" customHeight="1" x14ac:dyDescent="0.2">
      <c r="A404" s="34"/>
      <c r="B404" s="35"/>
      <c r="C404" s="35"/>
      <c r="D404" s="35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</row>
    <row r="405" spans="1:28" ht="13.5" customHeight="1" x14ac:dyDescent="0.2">
      <c r="A405" s="34"/>
      <c r="B405" s="35"/>
      <c r="C405" s="35"/>
      <c r="D405" s="35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</row>
    <row r="406" spans="1:28" ht="13.5" customHeight="1" x14ac:dyDescent="0.2">
      <c r="A406" s="34"/>
      <c r="B406" s="35"/>
      <c r="C406" s="35"/>
      <c r="D406" s="35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</row>
    <row r="407" spans="1:28" ht="13.5" customHeight="1" x14ac:dyDescent="0.2">
      <c r="A407" s="34"/>
      <c r="B407" s="35"/>
      <c r="C407" s="35"/>
      <c r="D407" s="35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</row>
    <row r="408" spans="1:28" ht="13.5" customHeight="1" x14ac:dyDescent="0.2">
      <c r="A408" s="34"/>
      <c r="B408" s="35"/>
      <c r="C408" s="35"/>
      <c r="D408" s="35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</row>
    <row r="409" spans="1:28" ht="13.5" customHeight="1" x14ac:dyDescent="0.2">
      <c r="A409" s="34"/>
      <c r="B409" s="35"/>
      <c r="C409" s="35"/>
      <c r="D409" s="35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</row>
    <row r="410" spans="1:28" ht="13.5" customHeight="1" x14ac:dyDescent="0.2">
      <c r="A410" s="34"/>
      <c r="B410" s="35"/>
      <c r="C410" s="35"/>
      <c r="D410" s="35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</row>
    <row r="411" spans="1:28" ht="13.5" customHeight="1" x14ac:dyDescent="0.2">
      <c r="A411" s="34"/>
      <c r="B411" s="35"/>
      <c r="C411" s="35"/>
      <c r="D411" s="35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</row>
    <row r="412" spans="1:28" ht="13.5" customHeight="1" x14ac:dyDescent="0.2">
      <c r="A412" s="34"/>
      <c r="B412" s="35"/>
      <c r="C412" s="35"/>
      <c r="D412" s="35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</row>
    <row r="413" spans="1:28" ht="13.5" customHeight="1" x14ac:dyDescent="0.2">
      <c r="A413" s="34"/>
      <c r="B413" s="35"/>
      <c r="C413" s="35"/>
      <c r="D413" s="35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</row>
    <row r="414" spans="1:28" ht="13.5" customHeight="1" x14ac:dyDescent="0.2">
      <c r="A414" s="34"/>
      <c r="B414" s="35"/>
      <c r="C414" s="35"/>
      <c r="D414" s="35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</row>
    <row r="415" spans="1:28" ht="13.5" customHeight="1" x14ac:dyDescent="0.2">
      <c r="A415" s="34"/>
      <c r="B415" s="35"/>
      <c r="C415" s="35"/>
      <c r="D415" s="35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</row>
    <row r="416" spans="1:28" ht="13.5" customHeight="1" x14ac:dyDescent="0.2">
      <c r="A416" s="34"/>
      <c r="B416" s="35"/>
      <c r="C416" s="35"/>
      <c r="D416" s="35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</row>
    <row r="417" spans="1:28" ht="13.5" customHeight="1" x14ac:dyDescent="0.2">
      <c r="A417" s="34"/>
      <c r="B417" s="35"/>
      <c r="C417" s="35"/>
      <c r="D417" s="35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</row>
    <row r="418" spans="1:28" ht="13.5" customHeight="1" x14ac:dyDescent="0.2">
      <c r="A418" s="34"/>
      <c r="B418" s="35"/>
      <c r="C418" s="35"/>
      <c r="D418" s="35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</row>
    <row r="419" spans="1:28" ht="13.5" customHeight="1" x14ac:dyDescent="0.2">
      <c r="A419" s="34"/>
      <c r="B419" s="35"/>
      <c r="C419" s="35"/>
      <c r="D419" s="35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</row>
    <row r="420" spans="1:28" ht="13.5" customHeight="1" x14ac:dyDescent="0.2">
      <c r="A420" s="34"/>
      <c r="B420" s="35"/>
      <c r="C420" s="35"/>
      <c r="D420" s="35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</row>
    <row r="421" spans="1:28" ht="13.5" customHeight="1" x14ac:dyDescent="0.2">
      <c r="A421" s="34"/>
      <c r="B421" s="35"/>
      <c r="C421" s="35"/>
      <c r="D421" s="35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</row>
    <row r="422" spans="1:28" ht="13.5" customHeight="1" x14ac:dyDescent="0.2">
      <c r="A422" s="34"/>
      <c r="B422" s="35"/>
      <c r="C422" s="35"/>
      <c r="D422" s="35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</row>
    <row r="423" spans="1:28" ht="13.5" customHeight="1" x14ac:dyDescent="0.2">
      <c r="A423" s="34"/>
      <c r="B423" s="35"/>
      <c r="C423" s="35"/>
      <c r="D423" s="35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</row>
    <row r="424" spans="1:28" ht="13.5" customHeight="1" x14ac:dyDescent="0.2">
      <c r="A424" s="34"/>
      <c r="B424" s="35"/>
      <c r="C424" s="35"/>
      <c r="D424" s="35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</row>
    <row r="425" spans="1:28" ht="13.5" customHeight="1" x14ac:dyDescent="0.2">
      <c r="A425" s="34"/>
      <c r="B425" s="35"/>
      <c r="C425" s="35"/>
      <c r="D425" s="35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</row>
    <row r="426" spans="1:28" ht="13.5" customHeight="1" x14ac:dyDescent="0.2">
      <c r="A426" s="34"/>
      <c r="B426" s="35"/>
      <c r="C426" s="35"/>
      <c r="D426" s="35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</row>
    <row r="427" spans="1:28" ht="13.5" customHeight="1" x14ac:dyDescent="0.2">
      <c r="A427" s="34"/>
      <c r="B427" s="35"/>
      <c r="C427" s="35"/>
      <c r="D427" s="35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</row>
    <row r="428" spans="1:28" ht="13.5" customHeight="1" x14ac:dyDescent="0.2">
      <c r="A428" s="34"/>
      <c r="B428" s="35"/>
      <c r="C428" s="35"/>
      <c r="D428" s="35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</row>
    <row r="429" spans="1:28" ht="13.5" customHeight="1" x14ac:dyDescent="0.2">
      <c r="A429" s="34"/>
      <c r="B429" s="35"/>
      <c r="C429" s="35"/>
      <c r="D429" s="35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</row>
    <row r="430" spans="1:28" ht="13.5" customHeight="1" x14ac:dyDescent="0.2">
      <c r="A430" s="34"/>
      <c r="B430" s="35"/>
      <c r="C430" s="35"/>
      <c r="D430" s="35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</row>
    <row r="431" spans="1:28" ht="13.5" customHeight="1" x14ac:dyDescent="0.2">
      <c r="A431" s="34"/>
      <c r="B431" s="35"/>
      <c r="C431" s="35"/>
      <c r="D431" s="35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</row>
    <row r="432" spans="1:28" ht="13.5" customHeight="1" x14ac:dyDescent="0.2">
      <c r="A432" s="34"/>
      <c r="B432" s="35"/>
      <c r="C432" s="35"/>
      <c r="D432" s="35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</row>
    <row r="433" spans="1:28" ht="13.5" customHeight="1" x14ac:dyDescent="0.2">
      <c r="A433" s="34"/>
      <c r="B433" s="35"/>
      <c r="C433" s="35"/>
      <c r="D433" s="35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</row>
    <row r="434" spans="1:28" ht="13.5" customHeight="1" x14ac:dyDescent="0.2">
      <c r="A434" s="34"/>
      <c r="B434" s="35"/>
      <c r="C434" s="35"/>
      <c r="D434" s="35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</row>
    <row r="435" spans="1:28" ht="13.5" customHeight="1" x14ac:dyDescent="0.2">
      <c r="A435" s="34"/>
      <c r="B435" s="35"/>
      <c r="C435" s="35"/>
      <c r="D435" s="35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</row>
    <row r="436" spans="1:28" ht="13.5" customHeight="1" x14ac:dyDescent="0.2">
      <c r="A436" s="34"/>
      <c r="B436" s="35"/>
      <c r="C436" s="35"/>
      <c r="D436" s="35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</row>
    <row r="437" spans="1:28" ht="13.5" customHeight="1" x14ac:dyDescent="0.2">
      <c r="A437" s="34"/>
      <c r="B437" s="35"/>
      <c r="C437" s="35"/>
      <c r="D437" s="35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</row>
    <row r="438" spans="1:28" ht="13.5" customHeight="1" x14ac:dyDescent="0.2">
      <c r="A438" s="34"/>
      <c r="B438" s="35"/>
      <c r="C438" s="35"/>
      <c r="D438" s="35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</row>
    <row r="439" spans="1:28" ht="13.5" customHeight="1" x14ac:dyDescent="0.2">
      <c r="A439" s="34"/>
      <c r="B439" s="35"/>
      <c r="C439" s="35"/>
      <c r="D439" s="35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</row>
    <row r="440" spans="1:28" ht="13.5" customHeight="1" x14ac:dyDescent="0.2">
      <c r="A440" s="34"/>
      <c r="B440" s="35"/>
      <c r="C440" s="35"/>
      <c r="D440" s="35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</row>
    <row r="441" spans="1:28" ht="13.5" customHeight="1" x14ac:dyDescent="0.2">
      <c r="A441" s="34"/>
      <c r="B441" s="35"/>
      <c r="C441" s="35"/>
      <c r="D441" s="35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</row>
    <row r="442" spans="1:28" ht="13.5" customHeight="1" x14ac:dyDescent="0.2">
      <c r="A442" s="34"/>
      <c r="B442" s="35"/>
      <c r="C442" s="35"/>
      <c r="D442" s="35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</row>
    <row r="443" spans="1:28" ht="13.5" customHeight="1" x14ac:dyDescent="0.2">
      <c r="A443" s="34"/>
      <c r="B443" s="35"/>
      <c r="C443" s="35"/>
      <c r="D443" s="35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</row>
    <row r="444" spans="1:28" ht="13.5" customHeight="1" x14ac:dyDescent="0.2">
      <c r="A444" s="34"/>
      <c r="B444" s="35"/>
      <c r="C444" s="35"/>
      <c r="D444" s="35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</row>
    <row r="445" spans="1:28" ht="13.5" customHeight="1" x14ac:dyDescent="0.2">
      <c r="A445" s="34"/>
      <c r="B445" s="35"/>
      <c r="C445" s="35"/>
      <c r="D445" s="35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</row>
    <row r="446" spans="1:28" ht="13.5" customHeight="1" x14ac:dyDescent="0.2">
      <c r="A446" s="34"/>
      <c r="B446" s="35"/>
      <c r="C446" s="35"/>
      <c r="D446" s="35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</row>
    <row r="447" spans="1:28" ht="13.5" customHeight="1" x14ac:dyDescent="0.2">
      <c r="A447" s="34"/>
      <c r="B447" s="35"/>
      <c r="C447" s="35"/>
      <c r="D447" s="35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</row>
    <row r="448" spans="1:28" ht="13.5" customHeight="1" x14ac:dyDescent="0.2">
      <c r="A448" s="34"/>
      <c r="B448" s="35"/>
      <c r="C448" s="35"/>
      <c r="D448" s="35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</row>
    <row r="449" spans="1:28" ht="13.5" customHeight="1" x14ac:dyDescent="0.2">
      <c r="A449" s="34"/>
      <c r="B449" s="35"/>
      <c r="C449" s="35"/>
      <c r="D449" s="35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</row>
    <row r="450" spans="1:28" ht="13.5" customHeight="1" x14ac:dyDescent="0.2">
      <c r="A450" s="34"/>
      <c r="B450" s="35"/>
      <c r="C450" s="35"/>
      <c r="D450" s="35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</row>
    <row r="451" spans="1:28" ht="13.5" customHeight="1" x14ac:dyDescent="0.2">
      <c r="A451" s="34"/>
      <c r="B451" s="35"/>
      <c r="C451" s="35"/>
      <c r="D451" s="35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</row>
    <row r="452" spans="1:28" ht="13.5" customHeight="1" x14ac:dyDescent="0.2">
      <c r="A452" s="34"/>
      <c r="B452" s="35"/>
      <c r="C452" s="35"/>
      <c r="D452" s="35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</row>
    <row r="453" spans="1:28" ht="13.5" customHeight="1" x14ac:dyDescent="0.2">
      <c r="A453" s="34"/>
      <c r="B453" s="35"/>
      <c r="C453" s="35"/>
      <c r="D453" s="35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</row>
    <row r="454" spans="1:28" ht="13.5" customHeight="1" x14ac:dyDescent="0.2">
      <c r="A454" s="34"/>
      <c r="B454" s="35"/>
      <c r="C454" s="35"/>
      <c r="D454" s="35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</row>
    <row r="455" spans="1:28" ht="13.5" customHeight="1" x14ac:dyDescent="0.2">
      <c r="A455" s="34"/>
      <c r="B455" s="35"/>
      <c r="C455" s="35"/>
      <c r="D455" s="35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</row>
    <row r="456" spans="1:28" ht="13.5" customHeight="1" x14ac:dyDescent="0.2">
      <c r="A456" s="34"/>
      <c r="B456" s="35"/>
      <c r="C456" s="35"/>
      <c r="D456" s="35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</row>
    <row r="457" spans="1:28" ht="13.5" customHeight="1" x14ac:dyDescent="0.2">
      <c r="A457" s="34"/>
      <c r="B457" s="35"/>
      <c r="C457" s="35"/>
      <c r="D457" s="35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</row>
    <row r="458" spans="1:28" ht="13.5" customHeight="1" x14ac:dyDescent="0.2">
      <c r="A458" s="34"/>
      <c r="B458" s="35"/>
      <c r="C458" s="35"/>
      <c r="D458" s="35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</row>
    <row r="459" spans="1:28" ht="13.5" customHeight="1" x14ac:dyDescent="0.2">
      <c r="A459" s="34"/>
      <c r="B459" s="35"/>
      <c r="C459" s="35"/>
      <c r="D459" s="35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</row>
    <row r="460" spans="1:28" ht="13.5" customHeight="1" x14ac:dyDescent="0.2">
      <c r="A460" s="34"/>
      <c r="B460" s="35"/>
      <c r="C460" s="35"/>
      <c r="D460" s="35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</row>
    <row r="461" spans="1:28" ht="13.5" customHeight="1" x14ac:dyDescent="0.2">
      <c r="A461" s="34"/>
      <c r="B461" s="35"/>
      <c r="C461" s="35"/>
      <c r="D461" s="35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</row>
    <row r="462" spans="1:28" ht="13.5" customHeight="1" x14ac:dyDescent="0.2">
      <c r="A462" s="34"/>
      <c r="B462" s="35"/>
      <c r="C462" s="35"/>
      <c r="D462" s="35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</row>
    <row r="463" spans="1:28" ht="13.5" customHeight="1" x14ac:dyDescent="0.2">
      <c r="A463" s="34"/>
      <c r="B463" s="35"/>
      <c r="C463" s="35"/>
      <c r="D463" s="35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</row>
    <row r="464" spans="1:28" ht="13.5" customHeight="1" x14ac:dyDescent="0.2">
      <c r="A464" s="34"/>
      <c r="B464" s="35"/>
      <c r="C464" s="35"/>
      <c r="D464" s="35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</row>
    <row r="465" spans="1:28" ht="13.5" customHeight="1" x14ac:dyDescent="0.2">
      <c r="A465" s="34"/>
      <c r="B465" s="35"/>
      <c r="C465" s="35"/>
      <c r="D465" s="35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</row>
    <row r="466" spans="1:28" ht="13.5" customHeight="1" x14ac:dyDescent="0.2">
      <c r="A466" s="34"/>
      <c r="B466" s="35"/>
      <c r="C466" s="35"/>
      <c r="D466" s="35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</row>
    <row r="467" spans="1:28" ht="13.5" customHeight="1" x14ac:dyDescent="0.2">
      <c r="A467" s="34"/>
      <c r="B467" s="35"/>
      <c r="C467" s="35"/>
      <c r="D467" s="35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</row>
    <row r="468" spans="1:28" ht="13.5" customHeight="1" x14ac:dyDescent="0.2">
      <c r="A468" s="34"/>
      <c r="B468" s="35"/>
      <c r="C468" s="35"/>
      <c r="D468" s="35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</row>
    <row r="469" spans="1:28" ht="13.5" customHeight="1" x14ac:dyDescent="0.2">
      <c r="A469" s="34"/>
      <c r="B469" s="35"/>
      <c r="C469" s="35"/>
      <c r="D469" s="35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</row>
    <row r="470" spans="1:28" ht="13.5" customHeight="1" x14ac:dyDescent="0.2">
      <c r="A470" s="34"/>
      <c r="B470" s="35"/>
      <c r="C470" s="35"/>
      <c r="D470" s="35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</row>
    <row r="471" spans="1:28" ht="13.5" customHeight="1" x14ac:dyDescent="0.2">
      <c r="A471" s="34"/>
      <c r="B471" s="35"/>
      <c r="C471" s="35"/>
      <c r="D471" s="35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</row>
    <row r="472" spans="1:28" ht="13.5" customHeight="1" x14ac:dyDescent="0.2">
      <c r="A472" s="34"/>
      <c r="B472" s="35"/>
      <c r="C472" s="35"/>
      <c r="D472" s="35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</row>
    <row r="473" spans="1:28" ht="13.5" customHeight="1" x14ac:dyDescent="0.2">
      <c r="A473" s="34"/>
      <c r="B473" s="35"/>
      <c r="C473" s="35"/>
      <c r="D473" s="35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</row>
    <row r="474" spans="1:28" ht="13.5" customHeight="1" x14ac:dyDescent="0.2">
      <c r="A474" s="34"/>
      <c r="B474" s="35"/>
      <c r="C474" s="35"/>
      <c r="D474" s="35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</row>
    <row r="475" spans="1:28" ht="13.5" customHeight="1" x14ac:dyDescent="0.2">
      <c r="A475" s="34"/>
      <c r="B475" s="35"/>
      <c r="C475" s="35"/>
      <c r="D475" s="35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</row>
    <row r="476" spans="1:28" ht="13.5" customHeight="1" x14ac:dyDescent="0.2">
      <c r="A476" s="34"/>
      <c r="B476" s="35"/>
      <c r="C476" s="35"/>
      <c r="D476" s="35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</row>
    <row r="477" spans="1:28" ht="13.5" customHeight="1" x14ac:dyDescent="0.2">
      <c r="A477" s="34"/>
      <c r="B477" s="35"/>
      <c r="C477" s="35"/>
      <c r="D477" s="35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</row>
    <row r="478" spans="1:28" ht="13.5" customHeight="1" x14ac:dyDescent="0.2">
      <c r="A478" s="34"/>
      <c r="B478" s="35"/>
      <c r="C478" s="35"/>
      <c r="D478" s="35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</row>
    <row r="479" spans="1:28" ht="13.5" customHeight="1" x14ac:dyDescent="0.2">
      <c r="A479" s="34"/>
      <c r="B479" s="35"/>
      <c r="C479" s="35"/>
      <c r="D479" s="35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</row>
    <row r="480" spans="1:28" ht="13.5" customHeight="1" x14ac:dyDescent="0.2">
      <c r="A480" s="34"/>
      <c r="B480" s="35"/>
      <c r="C480" s="35"/>
      <c r="D480" s="35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</row>
    <row r="481" spans="1:28" ht="13.5" customHeight="1" x14ac:dyDescent="0.2">
      <c r="A481" s="34"/>
      <c r="B481" s="35"/>
      <c r="C481" s="35"/>
      <c r="D481" s="35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</row>
    <row r="482" spans="1:28" ht="13.5" customHeight="1" x14ac:dyDescent="0.2">
      <c r="A482" s="34"/>
      <c r="B482" s="35"/>
      <c r="C482" s="35"/>
      <c r="D482" s="35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</row>
    <row r="483" spans="1:28" ht="13.5" customHeight="1" x14ac:dyDescent="0.2">
      <c r="A483" s="34"/>
      <c r="B483" s="35"/>
      <c r="C483" s="35"/>
      <c r="D483" s="35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</row>
    <row r="484" spans="1:28" ht="13.5" customHeight="1" x14ac:dyDescent="0.2">
      <c r="A484" s="34"/>
      <c r="B484" s="35"/>
      <c r="C484" s="35"/>
      <c r="D484" s="35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</row>
    <row r="485" spans="1:28" ht="13.5" customHeight="1" x14ac:dyDescent="0.2">
      <c r="A485" s="34"/>
      <c r="B485" s="35"/>
      <c r="C485" s="35"/>
      <c r="D485" s="35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</row>
    <row r="486" spans="1:28" ht="13.5" customHeight="1" x14ac:dyDescent="0.2">
      <c r="A486" s="34"/>
      <c r="B486" s="35"/>
      <c r="C486" s="35"/>
      <c r="D486" s="35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</row>
    <row r="487" spans="1:28" ht="13.5" customHeight="1" x14ac:dyDescent="0.2">
      <c r="A487" s="34"/>
      <c r="B487" s="35"/>
      <c r="C487" s="35"/>
      <c r="D487" s="35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</row>
    <row r="488" spans="1:28" ht="13.5" customHeight="1" x14ac:dyDescent="0.2">
      <c r="A488" s="34"/>
      <c r="B488" s="35"/>
      <c r="C488" s="35"/>
      <c r="D488" s="35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</row>
    <row r="489" spans="1:28" ht="13.5" customHeight="1" x14ac:dyDescent="0.2">
      <c r="A489" s="34"/>
      <c r="B489" s="35"/>
      <c r="C489" s="35"/>
      <c r="D489" s="35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</row>
    <row r="490" spans="1:28" ht="13.5" customHeight="1" x14ac:dyDescent="0.2">
      <c r="A490" s="34"/>
      <c r="B490" s="35"/>
      <c r="C490" s="35"/>
      <c r="D490" s="35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</row>
    <row r="491" spans="1:28" ht="13.5" customHeight="1" x14ac:dyDescent="0.2">
      <c r="A491" s="34"/>
      <c r="B491" s="35"/>
      <c r="C491" s="35"/>
      <c r="D491" s="35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</row>
    <row r="492" spans="1:28" ht="13.5" customHeight="1" x14ac:dyDescent="0.2">
      <c r="A492" s="34"/>
      <c r="B492" s="35"/>
      <c r="C492" s="35"/>
      <c r="D492" s="35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</row>
    <row r="493" spans="1:28" ht="13.5" customHeight="1" x14ac:dyDescent="0.2">
      <c r="A493" s="34"/>
      <c r="B493" s="35"/>
      <c r="C493" s="35"/>
      <c r="D493" s="35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</row>
    <row r="494" spans="1:28" ht="13.5" customHeight="1" x14ac:dyDescent="0.2">
      <c r="A494" s="34"/>
      <c r="B494" s="35"/>
      <c r="C494" s="35"/>
      <c r="D494" s="35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</row>
    <row r="495" spans="1:28" ht="13.5" customHeight="1" x14ac:dyDescent="0.2">
      <c r="A495" s="34"/>
      <c r="B495" s="35"/>
      <c r="C495" s="35"/>
      <c r="D495" s="35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</row>
    <row r="496" spans="1:28" ht="13.5" customHeight="1" x14ac:dyDescent="0.2">
      <c r="A496" s="34"/>
      <c r="B496" s="35"/>
      <c r="C496" s="35"/>
      <c r="D496" s="35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</row>
    <row r="497" spans="1:28" ht="13.5" customHeight="1" x14ac:dyDescent="0.2">
      <c r="A497" s="34"/>
      <c r="B497" s="35"/>
      <c r="C497" s="35"/>
      <c r="D497" s="35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</row>
    <row r="498" spans="1:28" ht="13.5" customHeight="1" x14ac:dyDescent="0.2">
      <c r="A498" s="34"/>
      <c r="B498" s="35"/>
      <c r="C498" s="35"/>
      <c r="D498" s="35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</row>
    <row r="499" spans="1:28" ht="13.5" customHeight="1" x14ac:dyDescent="0.2">
      <c r="A499" s="34"/>
      <c r="B499" s="35"/>
      <c r="C499" s="35"/>
      <c r="D499" s="35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</row>
    <row r="500" spans="1:28" ht="13.5" customHeight="1" x14ac:dyDescent="0.2">
      <c r="A500" s="34"/>
      <c r="B500" s="35"/>
      <c r="C500" s="35"/>
      <c r="D500" s="35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</row>
    <row r="501" spans="1:28" ht="13.5" customHeight="1" x14ac:dyDescent="0.2">
      <c r="A501" s="34"/>
      <c r="B501" s="35"/>
      <c r="C501" s="35"/>
      <c r="D501" s="35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</row>
    <row r="502" spans="1:28" ht="13.5" customHeight="1" x14ac:dyDescent="0.2">
      <c r="A502" s="34"/>
      <c r="B502" s="35"/>
      <c r="C502" s="35"/>
      <c r="D502" s="35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</row>
    <row r="503" spans="1:28" ht="13.5" customHeight="1" x14ac:dyDescent="0.2">
      <c r="A503" s="34"/>
      <c r="B503" s="35"/>
      <c r="C503" s="35"/>
      <c r="D503" s="35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</row>
    <row r="504" spans="1:28" ht="13.5" customHeight="1" x14ac:dyDescent="0.2">
      <c r="A504" s="34"/>
      <c r="B504" s="35"/>
      <c r="C504" s="35"/>
      <c r="D504" s="35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</row>
    <row r="505" spans="1:28" ht="13.5" customHeight="1" x14ac:dyDescent="0.2">
      <c r="A505" s="34"/>
      <c r="B505" s="35"/>
      <c r="C505" s="35"/>
      <c r="D505" s="35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</row>
    <row r="506" spans="1:28" ht="13.5" customHeight="1" x14ac:dyDescent="0.2">
      <c r="A506" s="34"/>
      <c r="B506" s="35"/>
      <c r="C506" s="35"/>
      <c r="D506" s="35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</row>
    <row r="507" spans="1:28" ht="13.5" customHeight="1" x14ac:dyDescent="0.2">
      <c r="A507" s="34"/>
      <c r="B507" s="35"/>
      <c r="C507" s="35"/>
      <c r="D507" s="35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</row>
    <row r="508" spans="1:28" ht="13.5" customHeight="1" x14ac:dyDescent="0.2">
      <c r="A508" s="34"/>
      <c r="B508" s="35"/>
      <c r="C508" s="35"/>
      <c r="D508" s="35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</row>
    <row r="509" spans="1:28" ht="13.5" customHeight="1" x14ac:dyDescent="0.2">
      <c r="A509" s="34"/>
      <c r="B509" s="35"/>
      <c r="C509" s="35"/>
      <c r="D509" s="35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</row>
    <row r="510" spans="1:28" ht="13.5" customHeight="1" x14ac:dyDescent="0.2">
      <c r="A510" s="34"/>
      <c r="B510" s="35"/>
      <c r="C510" s="35"/>
      <c r="D510" s="35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</row>
    <row r="511" spans="1:28" ht="13.5" customHeight="1" x14ac:dyDescent="0.2">
      <c r="A511" s="34"/>
      <c r="B511" s="35"/>
      <c r="C511" s="35"/>
      <c r="D511" s="35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</row>
    <row r="512" spans="1:28" ht="13.5" customHeight="1" x14ac:dyDescent="0.2">
      <c r="A512" s="34"/>
      <c r="B512" s="35"/>
      <c r="C512" s="35"/>
      <c r="D512" s="35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</row>
    <row r="513" spans="1:28" ht="13.5" customHeight="1" x14ac:dyDescent="0.2">
      <c r="A513" s="34"/>
      <c r="B513" s="35"/>
      <c r="C513" s="35"/>
      <c r="D513" s="35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</row>
    <row r="514" spans="1:28" ht="13.5" customHeight="1" x14ac:dyDescent="0.2">
      <c r="A514" s="34"/>
      <c r="B514" s="35"/>
      <c r="C514" s="35"/>
      <c r="D514" s="35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</row>
    <row r="515" spans="1:28" ht="13.5" customHeight="1" x14ac:dyDescent="0.2">
      <c r="A515" s="34"/>
      <c r="B515" s="35"/>
      <c r="C515" s="35"/>
      <c r="D515" s="35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</row>
    <row r="516" spans="1:28" ht="13.5" customHeight="1" x14ac:dyDescent="0.2">
      <c r="A516" s="34"/>
      <c r="B516" s="35"/>
      <c r="C516" s="35"/>
      <c r="D516" s="35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</row>
    <row r="517" spans="1:28" ht="13.5" customHeight="1" x14ac:dyDescent="0.2">
      <c r="A517" s="34"/>
      <c r="B517" s="35"/>
      <c r="C517" s="35"/>
      <c r="D517" s="35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</row>
    <row r="518" spans="1:28" ht="13.5" customHeight="1" x14ac:dyDescent="0.2">
      <c r="A518" s="34"/>
      <c r="B518" s="35"/>
      <c r="C518" s="35"/>
      <c r="D518" s="35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</row>
    <row r="519" spans="1:28" ht="13.5" customHeight="1" x14ac:dyDescent="0.2">
      <c r="A519" s="34"/>
      <c r="B519" s="35"/>
      <c r="C519" s="35"/>
      <c r="D519" s="35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</row>
    <row r="520" spans="1:28" ht="13.5" customHeight="1" x14ac:dyDescent="0.2">
      <c r="A520" s="34"/>
      <c r="B520" s="35"/>
      <c r="C520" s="35"/>
      <c r="D520" s="35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</row>
    <row r="521" spans="1:28" ht="13.5" customHeight="1" x14ac:dyDescent="0.2">
      <c r="A521" s="34"/>
      <c r="B521" s="35"/>
      <c r="C521" s="35"/>
      <c r="D521" s="35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</row>
    <row r="522" spans="1:28" ht="13.5" customHeight="1" x14ac:dyDescent="0.2">
      <c r="A522" s="34"/>
      <c r="B522" s="35"/>
      <c r="C522" s="35"/>
      <c r="D522" s="35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</row>
    <row r="523" spans="1:28" ht="13.5" customHeight="1" x14ac:dyDescent="0.2">
      <c r="A523" s="34"/>
      <c r="B523" s="35"/>
      <c r="C523" s="35"/>
      <c r="D523" s="35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</row>
    <row r="524" spans="1:28" ht="13.5" customHeight="1" x14ac:dyDescent="0.2">
      <c r="A524" s="34"/>
      <c r="B524" s="35"/>
      <c r="C524" s="35"/>
      <c r="D524" s="35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</row>
    <row r="525" spans="1:28" ht="13.5" customHeight="1" x14ac:dyDescent="0.2">
      <c r="A525" s="34"/>
      <c r="B525" s="35"/>
      <c r="C525" s="35"/>
      <c r="D525" s="35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</row>
    <row r="526" spans="1:28" ht="13.5" customHeight="1" x14ac:dyDescent="0.2">
      <c r="A526" s="34"/>
      <c r="B526" s="35"/>
      <c r="C526" s="35"/>
      <c r="D526" s="35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</row>
    <row r="527" spans="1:28" ht="13.5" customHeight="1" x14ac:dyDescent="0.2">
      <c r="A527" s="34"/>
      <c r="B527" s="35"/>
      <c r="C527" s="35"/>
      <c r="D527" s="35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</row>
    <row r="528" spans="1:28" ht="13.5" customHeight="1" x14ac:dyDescent="0.2">
      <c r="A528" s="34"/>
      <c r="B528" s="35"/>
      <c r="C528" s="35"/>
      <c r="D528" s="35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</row>
    <row r="529" spans="1:28" ht="13.5" customHeight="1" x14ac:dyDescent="0.2">
      <c r="A529" s="34"/>
      <c r="B529" s="35"/>
      <c r="C529" s="35"/>
      <c r="D529" s="35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</row>
    <row r="530" spans="1:28" ht="13.5" customHeight="1" x14ac:dyDescent="0.2">
      <c r="A530" s="34"/>
      <c r="B530" s="35"/>
      <c r="C530" s="35"/>
      <c r="D530" s="35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</row>
    <row r="531" spans="1:28" ht="13.5" customHeight="1" x14ac:dyDescent="0.2">
      <c r="A531" s="34"/>
      <c r="B531" s="35"/>
      <c r="C531" s="35"/>
      <c r="D531" s="35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</row>
    <row r="532" spans="1:28" ht="13.5" customHeight="1" x14ac:dyDescent="0.2">
      <c r="A532" s="34"/>
      <c r="B532" s="35"/>
      <c r="C532" s="35"/>
      <c r="D532" s="35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</row>
    <row r="533" spans="1:28" ht="13.5" customHeight="1" x14ac:dyDescent="0.2">
      <c r="A533" s="34"/>
      <c r="B533" s="35"/>
      <c r="C533" s="35"/>
      <c r="D533" s="35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</row>
    <row r="534" spans="1:28" ht="13.5" customHeight="1" x14ac:dyDescent="0.2">
      <c r="A534" s="34"/>
      <c r="B534" s="35"/>
      <c r="C534" s="35"/>
      <c r="D534" s="35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</row>
    <row r="535" spans="1:28" ht="13.5" customHeight="1" x14ac:dyDescent="0.2">
      <c r="A535" s="34"/>
      <c r="B535" s="35"/>
      <c r="C535" s="35"/>
      <c r="D535" s="35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</row>
    <row r="536" spans="1:28" ht="13.5" customHeight="1" x14ac:dyDescent="0.2">
      <c r="A536" s="34"/>
      <c r="B536" s="35"/>
      <c r="C536" s="35"/>
      <c r="D536" s="35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</row>
    <row r="537" spans="1:28" ht="13.5" customHeight="1" x14ac:dyDescent="0.2">
      <c r="A537" s="34"/>
      <c r="B537" s="35"/>
      <c r="C537" s="35"/>
      <c r="D537" s="35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</row>
    <row r="538" spans="1:28" ht="13.5" customHeight="1" x14ac:dyDescent="0.2">
      <c r="A538" s="34"/>
      <c r="B538" s="35"/>
      <c r="C538" s="35"/>
      <c r="D538" s="35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</row>
    <row r="539" spans="1:28" ht="13.5" customHeight="1" x14ac:dyDescent="0.2">
      <c r="A539" s="34"/>
      <c r="B539" s="35"/>
      <c r="C539" s="35"/>
      <c r="D539" s="35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</row>
    <row r="540" spans="1:28" ht="13.5" customHeight="1" x14ac:dyDescent="0.2">
      <c r="A540" s="34"/>
      <c r="B540" s="35"/>
      <c r="C540" s="35"/>
      <c r="D540" s="35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</row>
    <row r="541" spans="1:28" ht="13.5" customHeight="1" x14ac:dyDescent="0.2">
      <c r="A541" s="34"/>
      <c r="B541" s="35"/>
      <c r="C541" s="35"/>
      <c r="D541" s="35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</row>
    <row r="542" spans="1:28" ht="13.5" customHeight="1" x14ac:dyDescent="0.2">
      <c r="A542" s="34"/>
      <c r="B542" s="35"/>
      <c r="C542" s="35"/>
      <c r="D542" s="35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</row>
    <row r="543" spans="1:28" ht="13.5" customHeight="1" x14ac:dyDescent="0.2">
      <c r="A543" s="34"/>
      <c r="B543" s="35"/>
      <c r="C543" s="35"/>
      <c r="D543" s="35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</row>
    <row r="544" spans="1:28" ht="13.5" customHeight="1" x14ac:dyDescent="0.2">
      <c r="A544" s="34"/>
      <c r="B544" s="35"/>
      <c r="C544" s="35"/>
      <c r="D544" s="35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</row>
    <row r="545" spans="1:28" ht="13.5" customHeight="1" x14ac:dyDescent="0.2">
      <c r="A545" s="34"/>
      <c r="B545" s="35"/>
      <c r="C545" s="35"/>
      <c r="D545" s="35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</row>
    <row r="546" spans="1:28" ht="13.5" customHeight="1" x14ac:dyDescent="0.2">
      <c r="A546" s="34"/>
      <c r="B546" s="35"/>
      <c r="C546" s="35"/>
      <c r="D546" s="35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</row>
    <row r="547" spans="1:28" ht="13.5" customHeight="1" x14ac:dyDescent="0.2">
      <c r="A547" s="34"/>
      <c r="B547" s="35"/>
      <c r="C547" s="35"/>
      <c r="D547" s="35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</row>
    <row r="548" spans="1:28" ht="13.5" customHeight="1" x14ac:dyDescent="0.2">
      <c r="A548" s="34"/>
      <c r="B548" s="35"/>
      <c r="C548" s="35"/>
      <c r="D548" s="35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</row>
    <row r="549" spans="1:28" ht="13.5" customHeight="1" x14ac:dyDescent="0.2">
      <c r="A549" s="34"/>
      <c r="B549" s="35"/>
      <c r="C549" s="35"/>
      <c r="D549" s="35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</row>
    <row r="550" spans="1:28" ht="13.5" customHeight="1" x14ac:dyDescent="0.2">
      <c r="A550" s="34"/>
      <c r="B550" s="35"/>
      <c r="C550" s="35"/>
      <c r="D550" s="35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</row>
    <row r="551" spans="1:28" ht="13.5" customHeight="1" x14ac:dyDescent="0.2">
      <c r="A551" s="34"/>
      <c r="B551" s="35"/>
      <c r="C551" s="35"/>
      <c r="D551" s="35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</row>
    <row r="552" spans="1:28" ht="13.5" customHeight="1" x14ac:dyDescent="0.2">
      <c r="A552" s="34"/>
      <c r="B552" s="35"/>
      <c r="C552" s="35"/>
      <c r="D552" s="35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</row>
    <row r="553" spans="1:28" ht="13.5" customHeight="1" x14ac:dyDescent="0.2">
      <c r="A553" s="34"/>
      <c r="B553" s="35"/>
      <c r="C553" s="35"/>
      <c r="D553" s="35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</row>
    <row r="554" spans="1:28" ht="13.5" customHeight="1" x14ac:dyDescent="0.2">
      <c r="A554" s="34"/>
      <c r="B554" s="35"/>
      <c r="C554" s="35"/>
      <c r="D554" s="35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</row>
    <row r="555" spans="1:28" ht="13.5" customHeight="1" x14ac:dyDescent="0.2">
      <c r="A555" s="34"/>
      <c r="B555" s="35"/>
      <c r="C555" s="35"/>
      <c r="D555" s="35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</row>
    <row r="556" spans="1:28" ht="13.5" customHeight="1" x14ac:dyDescent="0.2">
      <c r="A556" s="34"/>
      <c r="B556" s="35"/>
      <c r="C556" s="35"/>
      <c r="D556" s="35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</row>
    <row r="557" spans="1:28" ht="13.5" customHeight="1" x14ac:dyDescent="0.2">
      <c r="A557" s="34"/>
      <c r="B557" s="35"/>
      <c r="C557" s="35"/>
      <c r="D557" s="35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</row>
    <row r="558" spans="1:28" ht="13.5" customHeight="1" x14ac:dyDescent="0.2">
      <c r="A558" s="34"/>
      <c r="B558" s="35"/>
      <c r="C558" s="35"/>
      <c r="D558" s="35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</row>
    <row r="559" spans="1:28" ht="13.5" customHeight="1" x14ac:dyDescent="0.2">
      <c r="A559" s="34"/>
      <c r="B559" s="35"/>
      <c r="C559" s="35"/>
      <c r="D559" s="35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</row>
    <row r="560" spans="1:28" ht="13.5" customHeight="1" x14ac:dyDescent="0.2">
      <c r="A560" s="34"/>
      <c r="B560" s="35"/>
      <c r="C560" s="35"/>
      <c r="D560" s="35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</row>
    <row r="561" spans="1:28" ht="13.5" customHeight="1" x14ac:dyDescent="0.2">
      <c r="A561" s="34"/>
      <c r="B561" s="35"/>
      <c r="C561" s="35"/>
      <c r="D561" s="35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</row>
    <row r="562" spans="1:28" ht="13.5" customHeight="1" x14ac:dyDescent="0.2">
      <c r="A562" s="34"/>
      <c r="B562" s="35"/>
      <c r="C562" s="35"/>
      <c r="D562" s="35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</row>
    <row r="563" spans="1:28" ht="13.5" customHeight="1" x14ac:dyDescent="0.2">
      <c r="A563" s="34"/>
      <c r="B563" s="35"/>
      <c r="C563" s="35"/>
      <c r="D563" s="35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</row>
    <row r="564" spans="1:28" ht="13.5" customHeight="1" x14ac:dyDescent="0.2">
      <c r="A564" s="34"/>
      <c r="B564" s="35"/>
      <c r="C564" s="35"/>
      <c r="D564" s="35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</row>
    <row r="565" spans="1:28" ht="13.5" customHeight="1" x14ac:dyDescent="0.2">
      <c r="A565" s="34"/>
      <c r="B565" s="35"/>
      <c r="C565" s="35"/>
      <c r="D565" s="35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</row>
    <row r="566" spans="1:28" ht="13.5" customHeight="1" x14ac:dyDescent="0.2">
      <c r="A566" s="34"/>
      <c r="B566" s="35"/>
      <c r="C566" s="35"/>
      <c r="D566" s="35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</row>
    <row r="567" spans="1:28" ht="13.5" customHeight="1" x14ac:dyDescent="0.2">
      <c r="A567" s="34"/>
      <c r="B567" s="35"/>
      <c r="C567" s="35"/>
      <c r="D567" s="35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</row>
    <row r="568" spans="1:28" ht="13.5" customHeight="1" x14ac:dyDescent="0.2">
      <c r="A568" s="34"/>
      <c r="B568" s="35"/>
      <c r="C568" s="35"/>
      <c r="D568" s="35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</row>
    <row r="569" spans="1:28" ht="13.5" customHeight="1" x14ac:dyDescent="0.2">
      <c r="A569" s="34"/>
      <c r="B569" s="35"/>
      <c r="C569" s="35"/>
      <c r="D569" s="35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</row>
    <row r="570" spans="1:28" ht="13.5" customHeight="1" x14ac:dyDescent="0.2">
      <c r="A570" s="34"/>
      <c r="B570" s="35"/>
      <c r="C570" s="35"/>
      <c r="D570" s="35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</row>
    <row r="571" spans="1:28" ht="13.5" customHeight="1" x14ac:dyDescent="0.2">
      <c r="A571" s="34"/>
      <c r="B571" s="35"/>
      <c r="C571" s="35"/>
      <c r="D571" s="35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</row>
    <row r="572" spans="1:28" ht="13.5" customHeight="1" x14ac:dyDescent="0.2">
      <c r="A572" s="34"/>
      <c r="B572" s="35"/>
      <c r="C572" s="35"/>
      <c r="D572" s="35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</row>
    <row r="573" spans="1:28" ht="13.5" customHeight="1" x14ac:dyDescent="0.2">
      <c r="A573" s="34"/>
      <c r="B573" s="35"/>
      <c r="C573" s="35"/>
      <c r="D573" s="35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</row>
    <row r="574" spans="1:28" ht="13.5" customHeight="1" x14ac:dyDescent="0.2">
      <c r="A574" s="34"/>
      <c r="B574" s="35"/>
      <c r="C574" s="35"/>
      <c r="D574" s="35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</row>
    <row r="575" spans="1:28" ht="13.5" customHeight="1" x14ac:dyDescent="0.2">
      <c r="A575" s="34"/>
      <c r="B575" s="35"/>
      <c r="C575" s="35"/>
      <c r="D575" s="35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</row>
    <row r="576" spans="1:28" ht="13.5" customHeight="1" x14ac:dyDescent="0.2">
      <c r="A576" s="34"/>
      <c r="B576" s="35"/>
      <c r="C576" s="35"/>
      <c r="D576" s="35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</row>
    <row r="577" spans="1:28" ht="13.5" customHeight="1" x14ac:dyDescent="0.2">
      <c r="A577" s="34"/>
      <c r="B577" s="35"/>
      <c r="C577" s="35"/>
      <c r="D577" s="35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</row>
    <row r="578" spans="1:28" ht="13.5" customHeight="1" x14ac:dyDescent="0.2">
      <c r="A578" s="34"/>
      <c r="B578" s="35"/>
      <c r="C578" s="35"/>
      <c r="D578" s="35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</row>
    <row r="579" spans="1:28" ht="13.5" customHeight="1" x14ac:dyDescent="0.2">
      <c r="A579" s="34"/>
      <c r="B579" s="35"/>
      <c r="C579" s="35"/>
      <c r="D579" s="35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</row>
    <row r="580" spans="1:28" ht="13.5" customHeight="1" x14ac:dyDescent="0.2">
      <c r="A580" s="34"/>
      <c r="B580" s="35"/>
      <c r="C580" s="35"/>
      <c r="D580" s="35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</row>
    <row r="581" spans="1:28" ht="13.5" customHeight="1" x14ac:dyDescent="0.2">
      <c r="A581" s="34"/>
      <c r="B581" s="35"/>
      <c r="C581" s="35"/>
      <c r="D581" s="35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</row>
    <row r="582" spans="1:28" ht="13.5" customHeight="1" x14ac:dyDescent="0.2">
      <c r="A582" s="34"/>
      <c r="B582" s="35"/>
      <c r="C582" s="35"/>
      <c r="D582" s="35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</row>
    <row r="583" spans="1:28" ht="13.5" customHeight="1" x14ac:dyDescent="0.2">
      <c r="A583" s="34"/>
      <c r="B583" s="35"/>
      <c r="C583" s="35"/>
      <c r="D583" s="35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</row>
    <row r="584" spans="1:28" ht="13.5" customHeight="1" x14ac:dyDescent="0.2">
      <c r="A584" s="34"/>
      <c r="B584" s="35"/>
      <c r="C584" s="35"/>
      <c r="D584" s="35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</row>
    <row r="585" spans="1:28" ht="13.5" customHeight="1" x14ac:dyDescent="0.2">
      <c r="A585" s="34"/>
      <c r="B585" s="35"/>
      <c r="C585" s="35"/>
      <c r="D585" s="35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</row>
    <row r="586" spans="1:28" ht="13.5" customHeight="1" x14ac:dyDescent="0.2">
      <c r="A586" s="34"/>
      <c r="B586" s="35"/>
      <c r="C586" s="35"/>
      <c r="D586" s="35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</row>
    <row r="587" spans="1:28" ht="13.5" customHeight="1" x14ac:dyDescent="0.2">
      <c r="A587" s="34"/>
      <c r="B587" s="35"/>
      <c r="C587" s="35"/>
      <c r="D587" s="35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</row>
    <row r="588" spans="1:28" ht="13.5" customHeight="1" x14ac:dyDescent="0.2">
      <c r="A588" s="34"/>
      <c r="B588" s="35"/>
      <c r="C588" s="35"/>
      <c r="D588" s="35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</row>
    <row r="589" spans="1:28" ht="13.5" customHeight="1" x14ac:dyDescent="0.2">
      <c r="A589" s="34"/>
      <c r="B589" s="35"/>
      <c r="C589" s="35"/>
      <c r="D589" s="35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</row>
    <row r="590" spans="1:28" ht="13.5" customHeight="1" x14ac:dyDescent="0.2">
      <c r="A590" s="34"/>
      <c r="B590" s="35"/>
      <c r="C590" s="35"/>
      <c r="D590" s="35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</row>
    <row r="591" spans="1:28" ht="13.5" customHeight="1" x14ac:dyDescent="0.2">
      <c r="A591" s="34"/>
      <c r="B591" s="35"/>
      <c r="C591" s="35"/>
      <c r="D591" s="35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</row>
    <row r="592" spans="1:28" ht="13.5" customHeight="1" x14ac:dyDescent="0.2">
      <c r="A592" s="34"/>
      <c r="B592" s="35"/>
      <c r="C592" s="35"/>
      <c r="D592" s="35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</row>
    <row r="593" spans="1:28" ht="13.5" customHeight="1" x14ac:dyDescent="0.2">
      <c r="A593" s="34"/>
      <c r="B593" s="35"/>
      <c r="C593" s="35"/>
      <c r="D593" s="35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</row>
    <row r="594" spans="1:28" ht="13.5" customHeight="1" x14ac:dyDescent="0.2">
      <c r="A594" s="34"/>
      <c r="B594" s="35"/>
      <c r="C594" s="35"/>
      <c r="D594" s="35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</row>
    <row r="595" spans="1:28" ht="13.5" customHeight="1" x14ac:dyDescent="0.2">
      <c r="A595" s="34"/>
      <c r="B595" s="35"/>
      <c r="C595" s="35"/>
      <c r="D595" s="35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</row>
    <row r="596" spans="1:28" ht="13.5" customHeight="1" x14ac:dyDescent="0.2">
      <c r="A596" s="34"/>
      <c r="B596" s="35"/>
      <c r="C596" s="35"/>
      <c r="D596" s="35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</row>
    <row r="597" spans="1:28" ht="13.5" customHeight="1" x14ac:dyDescent="0.2">
      <c r="A597" s="34"/>
      <c r="B597" s="35"/>
      <c r="C597" s="35"/>
      <c r="D597" s="35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</row>
    <row r="598" spans="1:28" ht="13.5" customHeight="1" x14ac:dyDescent="0.2">
      <c r="A598" s="34"/>
      <c r="B598" s="35"/>
      <c r="C598" s="35"/>
      <c r="D598" s="35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</row>
    <row r="599" spans="1:28" ht="13.5" customHeight="1" x14ac:dyDescent="0.2">
      <c r="A599" s="34"/>
      <c r="B599" s="35"/>
      <c r="C599" s="35"/>
      <c r="D599" s="35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</row>
    <row r="600" spans="1:28" ht="13.5" customHeight="1" x14ac:dyDescent="0.2">
      <c r="A600" s="34"/>
      <c r="B600" s="35"/>
      <c r="C600" s="35"/>
      <c r="D600" s="35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</row>
    <row r="601" spans="1:28" ht="13.5" customHeight="1" x14ac:dyDescent="0.2">
      <c r="A601" s="34"/>
      <c r="B601" s="35"/>
      <c r="C601" s="35"/>
      <c r="D601" s="35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</row>
    <row r="602" spans="1:28" ht="13.5" customHeight="1" x14ac:dyDescent="0.2">
      <c r="A602" s="34"/>
      <c r="B602" s="35"/>
      <c r="C602" s="35"/>
      <c r="D602" s="35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</row>
    <row r="603" spans="1:28" ht="13.5" customHeight="1" x14ac:dyDescent="0.2">
      <c r="A603" s="34"/>
      <c r="B603" s="35"/>
      <c r="C603" s="35"/>
      <c r="D603" s="35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</row>
    <row r="604" spans="1:28" ht="13.5" customHeight="1" x14ac:dyDescent="0.2">
      <c r="A604" s="34"/>
      <c r="B604" s="35"/>
      <c r="C604" s="35"/>
      <c r="D604" s="35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</row>
    <row r="605" spans="1:28" ht="13.5" customHeight="1" x14ac:dyDescent="0.2">
      <c r="A605" s="34"/>
      <c r="B605" s="35"/>
      <c r="C605" s="35"/>
      <c r="D605" s="35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</row>
    <row r="606" spans="1:28" ht="13.5" customHeight="1" x14ac:dyDescent="0.2">
      <c r="A606" s="34"/>
      <c r="B606" s="35"/>
      <c r="C606" s="35"/>
      <c r="D606" s="35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</row>
    <row r="607" spans="1:28" ht="13.5" customHeight="1" x14ac:dyDescent="0.2">
      <c r="A607" s="34"/>
      <c r="B607" s="35"/>
      <c r="C607" s="35"/>
      <c r="D607" s="35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</row>
    <row r="608" spans="1:28" ht="13.5" customHeight="1" x14ac:dyDescent="0.2">
      <c r="A608" s="34"/>
      <c r="B608" s="35"/>
      <c r="C608" s="35"/>
      <c r="D608" s="35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</row>
    <row r="609" spans="1:28" ht="13.5" customHeight="1" x14ac:dyDescent="0.2">
      <c r="A609" s="34"/>
      <c r="B609" s="35"/>
      <c r="C609" s="35"/>
      <c r="D609" s="35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</row>
    <row r="610" spans="1:28" ht="13.5" customHeight="1" x14ac:dyDescent="0.2">
      <c r="A610" s="34"/>
      <c r="B610" s="35"/>
      <c r="C610" s="35"/>
      <c r="D610" s="35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</row>
    <row r="611" spans="1:28" ht="13.5" customHeight="1" x14ac:dyDescent="0.2">
      <c r="A611" s="34"/>
      <c r="B611" s="35"/>
      <c r="C611" s="35"/>
      <c r="D611" s="35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</row>
    <row r="612" spans="1:28" ht="13.5" customHeight="1" x14ac:dyDescent="0.2">
      <c r="A612" s="34"/>
      <c r="B612" s="35"/>
      <c r="C612" s="35"/>
      <c r="D612" s="35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</row>
    <row r="613" spans="1:28" ht="13.5" customHeight="1" x14ac:dyDescent="0.2">
      <c r="A613" s="34"/>
      <c r="B613" s="35"/>
      <c r="C613" s="35"/>
      <c r="D613" s="35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</row>
    <row r="614" spans="1:28" ht="13.5" customHeight="1" x14ac:dyDescent="0.2">
      <c r="A614" s="34"/>
      <c r="B614" s="35"/>
      <c r="C614" s="35"/>
      <c r="D614" s="35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</row>
    <row r="615" spans="1:28" ht="13.5" customHeight="1" x14ac:dyDescent="0.2">
      <c r="A615" s="34"/>
      <c r="B615" s="35"/>
      <c r="C615" s="35"/>
      <c r="D615" s="35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</row>
    <row r="616" spans="1:28" ht="13.5" customHeight="1" x14ac:dyDescent="0.2">
      <c r="A616" s="34"/>
      <c r="B616" s="35"/>
      <c r="C616" s="35"/>
      <c r="D616" s="35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</row>
    <row r="617" spans="1:28" ht="13.5" customHeight="1" x14ac:dyDescent="0.2">
      <c r="A617" s="34"/>
      <c r="B617" s="35"/>
      <c r="C617" s="35"/>
      <c r="D617" s="35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</row>
    <row r="618" spans="1:28" ht="13.5" customHeight="1" x14ac:dyDescent="0.2">
      <c r="A618" s="34"/>
      <c r="B618" s="35"/>
      <c r="C618" s="35"/>
      <c r="D618" s="35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</row>
    <row r="619" spans="1:28" ht="13.5" customHeight="1" x14ac:dyDescent="0.2">
      <c r="A619" s="34"/>
      <c r="B619" s="35"/>
      <c r="C619" s="35"/>
      <c r="D619" s="35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</row>
    <row r="620" spans="1:28" ht="13.5" customHeight="1" x14ac:dyDescent="0.2">
      <c r="A620" s="34"/>
      <c r="B620" s="35"/>
      <c r="C620" s="35"/>
      <c r="D620" s="35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</row>
    <row r="621" spans="1:28" ht="13.5" customHeight="1" x14ac:dyDescent="0.2">
      <c r="A621" s="34"/>
      <c r="B621" s="35"/>
      <c r="C621" s="35"/>
      <c r="D621" s="35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</row>
    <row r="622" spans="1:28" ht="13.5" customHeight="1" x14ac:dyDescent="0.2">
      <c r="A622" s="34"/>
      <c r="B622" s="35"/>
      <c r="C622" s="35"/>
      <c r="D622" s="35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</row>
    <row r="623" spans="1:28" ht="13.5" customHeight="1" x14ac:dyDescent="0.2">
      <c r="A623" s="34"/>
      <c r="B623" s="35"/>
      <c r="C623" s="35"/>
      <c r="D623" s="35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</row>
    <row r="624" spans="1:28" ht="13.5" customHeight="1" x14ac:dyDescent="0.2">
      <c r="A624" s="34"/>
      <c r="B624" s="35"/>
      <c r="C624" s="35"/>
      <c r="D624" s="35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</row>
    <row r="625" spans="1:28" ht="13.5" customHeight="1" x14ac:dyDescent="0.2">
      <c r="A625" s="34"/>
      <c r="B625" s="35"/>
      <c r="C625" s="35"/>
      <c r="D625" s="35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</row>
    <row r="626" spans="1:28" ht="13.5" customHeight="1" x14ac:dyDescent="0.2">
      <c r="A626" s="34"/>
      <c r="B626" s="35"/>
      <c r="C626" s="35"/>
      <c r="D626" s="35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</row>
    <row r="627" spans="1:28" ht="13.5" customHeight="1" x14ac:dyDescent="0.2">
      <c r="A627" s="34"/>
      <c r="B627" s="35"/>
      <c r="C627" s="35"/>
      <c r="D627" s="35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</row>
    <row r="628" spans="1:28" ht="13.5" customHeight="1" x14ac:dyDescent="0.2">
      <c r="A628" s="34"/>
      <c r="B628" s="35"/>
      <c r="C628" s="35"/>
      <c r="D628" s="35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</row>
    <row r="629" spans="1:28" ht="13.5" customHeight="1" x14ac:dyDescent="0.2">
      <c r="A629" s="34"/>
      <c r="B629" s="35"/>
      <c r="C629" s="35"/>
      <c r="D629" s="35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</row>
    <row r="630" spans="1:28" ht="13.5" customHeight="1" x14ac:dyDescent="0.2">
      <c r="A630" s="34"/>
      <c r="B630" s="35"/>
      <c r="C630" s="35"/>
      <c r="D630" s="35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</row>
    <row r="631" spans="1:28" ht="13.5" customHeight="1" x14ac:dyDescent="0.2">
      <c r="A631" s="34"/>
      <c r="B631" s="35"/>
      <c r="C631" s="35"/>
      <c r="D631" s="35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</row>
    <row r="632" spans="1:28" ht="13.5" customHeight="1" x14ac:dyDescent="0.2">
      <c r="A632" s="34"/>
      <c r="B632" s="35"/>
      <c r="C632" s="35"/>
      <c r="D632" s="35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</row>
    <row r="633" spans="1:28" ht="13.5" customHeight="1" x14ac:dyDescent="0.2">
      <c r="A633" s="34"/>
      <c r="B633" s="35"/>
      <c r="C633" s="35"/>
      <c r="D633" s="35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</row>
    <row r="634" spans="1:28" ht="13.5" customHeight="1" x14ac:dyDescent="0.2">
      <c r="A634" s="34"/>
      <c r="B634" s="35"/>
      <c r="C634" s="35"/>
      <c r="D634" s="35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</row>
    <row r="635" spans="1:28" ht="13.5" customHeight="1" x14ac:dyDescent="0.2">
      <c r="A635" s="34"/>
      <c r="B635" s="35"/>
      <c r="C635" s="35"/>
      <c r="D635" s="35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</row>
    <row r="636" spans="1:28" ht="13.5" customHeight="1" x14ac:dyDescent="0.2">
      <c r="A636" s="34"/>
      <c r="B636" s="35"/>
      <c r="C636" s="35"/>
      <c r="D636" s="35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</row>
    <row r="637" spans="1:28" ht="13.5" customHeight="1" x14ac:dyDescent="0.2">
      <c r="A637" s="34"/>
      <c r="B637" s="35"/>
      <c r="C637" s="35"/>
      <c r="D637" s="35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</row>
    <row r="638" spans="1:28" ht="13.5" customHeight="1" x14ac:dyDescent="0.2">
      <c r="A638" s="34"/>
      <c r="B638" s="35"/>
      <c r="C638" s="35"/>
      <c r="D638" s="35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</row>
    <row r="639" spans="1:28" ht="13.5" customHeight="1" x14ac:dyDescent="0.2">
      <c r="A639" s="34"/>
      <c r="B639" s="35"/>
      <c r="C639" s="35"/>
      <c r="D639" s="35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</row>
    <row r="640" spans="1:28" ht="13.5" customHeight="1" x14ac:dyDescent="0.2">
      <c r="A640" s="34"/>
      <c r="B640" s="35"/>
      <c r="C640" s="35"/>
      <c r="D640" s="35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</row>
    <row r="641" spans="1:28" ht="13.5" customHeight="1" x14ac:dyDescent="0.2">
      <c r="A641" s="34"/>
      <c r="B641" s="35"/>
      <c r="C641" s="35"/>
      <c r="D641" s="35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</row>
    <row r="642" spans="1:28" ht="13.5" customHeight="1" x14ac:dyDescent="0.2">
      <c r="A642" s="34"/>
      <c r="B642" s="35"/>
      <c r="C642" s="35"/>
      <c r="D642" s="35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</row>
    <row r="643" spans="1:28" ht="13.5" customHeight="1" x14ac:dyDescent="0.2">
      <c r="A643" s="34"/>
      <c r="B643" s="35"/>
      <c r="C643" s="35"/>
      <c r="D643" s="35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</row>
    <row r="644" spans="1:28" ht="13.5" customHeight="1" x14ac:dyDescent="0.2">
      <c r="A644" s="34"/>
      <c r="B644" s="35"/>
      <c r="C644" s="35"/>
      <c r="D644" s="35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</row>
    <row r="645" spans="1:28" ht="13.5" customHeight="1" x14ac:dyDescent="0.2">
      <c r="A645" s="34"/>
      <c r="B645" s="35"/>
      <c r="C645" s="35"/>
      <c r="D645" s="35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</row>
    <row r="646" spans="1:28" ht="13.5" customHeight="1" x14ac:dyDescent="0.2">
      <c r="A646" s="34"/>
      <c r="B646" s="35"/>
      <c r="C646" s="35"/>
      <c r="D646" s="35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</row>
    <row r="647" spans="1:28" ht="13.5" customHeight="1" x14ac:dyDescent="0.2">
      <c r="A647" s="34"/>
      <c r="B647" s="35"/>
      <c r="C647" s="35"/>
      <c r="D647" s="35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</row>
    <row r="648" spans="1:28" ht="13.5" customHeight="1" x14ac:dyDescent="0.2">
      <c r="A648" s="34"/>
      <c r="B648" s="35"/>
      <c r="C648" s="35"/>
      <c r="D648" s="35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</row>
    <row r="649" spans="1:28" ht="13.5" customHeight="1" x14ac:dyDescent="0.2">
      <c r="A649" s="34"/>
      <c r="B649" s="35"/>
      <c r="C649" s="35"/>
      <c r="D649" s="35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</row>
    <row r="650" spans="1:28" ht="13.5" customHeight="1" x14ac:dyDescent="0.2">
      <c r="A650" s="34"/>
      <c r="B650" s="35"/>
      <c r="C650" s="35"/>
      <c r="D650" s="35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</row>
    <row r="651" spans="1:28" ht="13.5" customHeight="1" x14ac:dyDescent="0.2">
      <c r="A651" s="34"/>
      <c r="B651" s="35"/>
      <c r="C651" s="35"/>
      <c r="D651" s="35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</row>
    <row r="652" spans="1:28" ht="13.5" customHeight="1" x14ac:dyDescent="0.2">
      <c r="A652" s="34"/>
      <c r="B652" s="35"/>
      <c r="C652" s="35"/>
      <c r="D652" s="35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</row>
    <row r="653" spans="1:28" ht="13.5" customHeight="1" x14ac:dyDescent="0.2">
      <c r="A653" s="34"/>
      <c r="B653" s="35"/>
      <c r="C653" s="35"/>
      <c r="D653" s="35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</row>
    <row r="654" spans="1:28" ht="13.5" customHeight="1" x14ac:dyDescent="0.2">
      <c r="A654" s="34"/>
      <c r="B654" s="35"/>
      <c r="C654" s="35"/>
      <c r="D654" s="35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</row>
    <row r="655" spans="1:28" ht="13.5" customHeight="1" x14ac:dyDescent="0.2">
      <c r="A655" s="34"/>
      <c r="B655" s="35"/>
      <c r="C655" s="35"/>
      <c r="D655" s="35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</row>
    <row r="656" spans="1:28" ht="13.5" customHeight="1" x14ac:dyDescent="0.2">
      <c r="A656" s="34"/>
      <c r="B656" s="35"/>
      <c r="C656" s="35"/>
      <c r="D656" s="35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</row>
    <row r="657" spans="1:28" ht="13.5" customHeight="1" x14ac:dyDescent="0.2">
      <c r="A657" s="34"/>
      <c r="B657" s="35"/>
      <c r="C657" s="35"/>
      <c r="D657" s="35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</row>
    <row r="658" spans="1:28" ht="13.5" customHeight="1" x14ac:dyDescent="0.2">
      <c r="A658" s="34"/>
      <c r="B658" s="35"/>
      <c r="C658" s="35"/>
      <c r="D658" s="35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</row>
    <row r="659" spans="1:28" ht="13.5" customHeight="1" x14ac:dyDescent="0.2">
      <c r="A659" s="34"/>
      <c r="B659" s="35"/>
      <c r="C659" s="35"/>
      <c r="D659" s="35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</row>
    <row r="660" spans="1:28" ht="13.5" customHeight="1" x14ac:dyDescent="0.2">
      <c r="A660" s="34"/>
      <c r="B660" s="35"/>
      <c r="C660" s="35"/>
      <c r="D660" s="35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</row>
    <row r="661" spans="1:28" ht="13.5" customHeight="1" x14ac:dyDescent="0.2">
      <c r="A661" s="34"/>
      <c r="B661" s="35"/>
      <c r="C661" s="35"/>
      <c r="D661" s="35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</row>
    <row r="662" spans="1:28" ht="13.5" customHeight="1" x14ac:dyDescent="0.2">
      <c r="A662" s="34"/>
      <c r="B662" s="35"/>
      <c r="C662" s="35"/>
      <c r="D662" s="35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</row>
    <row r="663" spans="1:28" ht="13.5" customHeight="1" x14ac:dyDescent="0.2">
      <c r="A663" s="34"/>
      <c r="B663" s="35"/>
      <c r="C663" s="35"/>
      <c r="D663" s="35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</row>
    <row r="664" spans="1:28" ht="13.5" customHeight="1" x14ac:dyDescent="0.2">
      <c r="A664" s="34"/>
      <c r="B664" s="35"/>
      <c r="C664" s="35"/>
      <c r="D664" s="35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</row>
    <row r="665" spans="1:28" ht="13.5" customHeight="1" x14ac:dyDescent="0.2">
      <c r="A665" s="34"/>
      <c r="B665" s="35"/>
      <c r="C665" s="35"/>
      <c r="D665" s="35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</row>
    <row r="666" spans="1:28" ht="13.5" customHeight="1" x14ac:dyDescent="0.2">
      <c r="A666" s="34"/>
      <c r="B666" s="35"/>
      <c r="C666" s="35"/>
      <c r="D666" s="35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</row>
    <row r="667" spans="1:28" ht="13.5" customHeight="1" x14ac:dyDescent="0.2">
      <c r="A667" s="34"/>
      <c r="B667" s="35"/>
      <c r="C667" s="35"/>
      <c r="D667" s="35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</row>
    <row r="668" spans="1:28" ht="13.5" customHeight="1" x14ac:dyDescent="0.2">
      <c r="A668" s="34"/>
      <c r="B668" s="35"/>
      <c r="C668" s="35"/>
      <c r="D668" s="35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</row>
    <row r="669" spans="1:28" ht="13.5" customHeight="1" x14ac:dyDescent="0.2">
      <c r="A669" s="34"/>
      <c r="B669" s="35"/>
      <c r="C669" s="35"/>
      <c r="D669" s="35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</row>
    <row r="670" spans="1:28" ht="13.5" customHeight="1" x14ac:dyDescent="0.2">
      <c r="A670" s="34"/>
      <c r="B670" s="35"/>
      <c r="C670" s="35"/>
      <c r="D670" s="35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</row>
    <row r="671" spans="1:28" ht="13.5" customHeight="1" x14ac:dyDescent="0.2">
      <c r="A671" s="34"/>
      <c r="B671" s="35"/>
      <c r="C671" s="35"/>
      <c r="D671" s="35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</row>
    <row r="672" spans="1:28" ht="13.5" customHeight="1" x14ac:dyDescent="0.2">
      <c r="A672" s="34"/>
      <c r="B672" s="35"/>
      <c r="C672" s="35"/>
      <c r="D672" s="35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</row>
    <row r="673" spans="1:28" ht="13.5" customHeight="1" x14ac:dyDescent="0.2">
      <c r="A673" s="34"/>
      <c r="B673" s="35"/>
      <c r="C673" s="35"/>
      <c r="D673" s="35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</row>
    <row r="674" spans="1:28" ht="13.5" customHeight="1" x14ac:dyDescent="0.2">
      <c r="A674" s="34"/>
      <c r="B674" s="35"/>
      <c r="C674" s="35"/>
      <c r="D674" s="35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</row>
    <row r="675" spans="1:28" ht="13.5" customHeight="1" x14ac:dyDescent="0.2">
      <c r="A675" s="34"/>
      <c r="B675" s="35"/>
      <c r="C675" s="35"/>
      <c r="D675" s="35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</row>
    <row r="676" spans="1:28" ht="13.5" customHeight="1" x14ac:dyDescent="0.2">
      <c r="A676" s="34"/>
      <c r="B676" s="35"/>
      <c r="C676" s="35"/>
      <c r="D676" s="35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</row>
    <row r="677" spans="1:28" ht="13.5" customHeight="1" x14ac:dyDescent="0.2">
      <c r="A677" s="34"/>
      <c r="B677" s="35"/>
      <c r="C677" s="35"/>
      <c r="D677" s="35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</row>
    <row r="678" spans="1:28" ht="13.5" customHeight="1" x14ac:dyDescent="0.2">
      <c r="A678" s="34"/>
      <c r="B678" s="35"/>
      <c r="C678" s="35"/>
      <c r="D678" s="35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</row>
    <row r="679" spans="1:28" ht="13.5" customHeight="1" x14ac:dyDescent="0.2">
      <c r="A679" s="34"/>
      <c r="B679" s="35"/>
      <c r="C679" s="35"/>
      <c r="D679" s="35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</row>
    <row r="680" spans="1:28" ht="13.5" customHeight="1" x14ac:dyDescent="0.2">
      <c r="A680" s="34"/>
      <c r="B680" s="35"/>
      <c r="C680" s="35"/>
      <c r="D680" s="35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</row>
    <row r="681" spans="1:28" ht="13.5" customHeight="1" x14ac:dyDescent="0.2">
      <c r="A681" s="34"/>
      <c r="B681" s="35"/>
      <c r="C681" s="35"/>
      <c r="D681" s="35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</row>
    <row r="682" spans="1:28" ht="13.5" customHeight="1" x14ac:dyDescent="0.2">
      <c r="A682" s="34"/>
      <c r="B682" s="35"/>
      <c r="C682" s="35"/>
      <c r="D682" s="35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</row>
    <row r="683" spans="1:28" ht="13.5" customHeight="1" x14ac:dyDescent="0.2">
      <c r="A683" s="34"/>
      <c r="B683" s="35"/>
      <c r="C683" s="35"/>
      <c r="D683" s="35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</row>
    <row r="684" spans="1:28" ht="13.5" customHeight="1" x14ac:dyDescent="0.2">
      <c r="A684" s="34"/>
      <c r="B684" s="35"/>
      <c r="C684" s="35"/>
      <c r="D684" s="35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</row>
    <row r="685" spans="1:28" ht="13.5" customHeight="1" x14ac:dyDescent="0.2">
      <c r="A685" s="34"/>
      <c r="B685" s="35"/>
      <c r="C685" s="35"/>
      <c r="D685" s="35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</row>
    <row r="686" spans="1:28" ht="13.5" customHeight="1" x14ac:dyDescent="0.2">
      <c r="A686" s="34"/>
      <c r="B686" s="35"/>
      <c r="C686" s="35"/>
      <c r="D686" s="35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</row>
    <row r="687" spans="1:28" ht="13.5" customHeight="1" x14ac:dyDescent="0.2">
      <c r="A687" s="34"/>
      <c r="B687" s="35"/>
      <c r="C687" s="35"/>
      <c r="D687" s="35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</row>
    <row r="688" spans="1:28" ht="13.5" customHeight="1" x14ac:dyDescent="0.2">
      <c r="A688" s="34"/>
      <c r="B688" s="35"/>
      <c r="C688" s="35"/>
      <c r="D688" s="35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</row>
    <row r="689" spans="1:28" ht="13.5" customHeight="1" x14ac:dyDescent="0.2">
      <c r="A689" s="34"/>
      <c r="B689" s="35"/>
      <c r="C689" s="35"/>
      <c r="D689" s="35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</row>
    <row r="690" spans="1:28" ht="13.5" customHeight="1" x14ac:dyDescent="0.2">
      <c r="A690" s="34"/>
      <c r="B690" s="35"/>
      <c r="C690" s="35"/>
      <c r="D690" s="35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</row>
    <row r="691" spans="1:28" ht="13.5" customHeight="1" x14ac:dyDescent="0.2">
      <c r="A691" s="34"/>
      <c r="B691" s="35"/>
      <c r="C691" s="35"/>
      <c r="D691" s="35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</row>
    <row r="692" spans="1:28" ht="13.5" customHeight="1" x14ac:dyDescent="0.2">
      <c r="A692" s="34"/>
      <c r="B692" s="35"/>
      <c r="C692" s="35"/>
      <c r="D692" s="35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</row>
    <row r="693" spans="1:28" ht="13.5" customHeight="1" x14ac:dyDescent="0.2">
      <c r="A693" s="34"/>
      <c r="B693" s="35"/>
      <c r="C693" s="35"/>
      <c r="D693" s="35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</row>
    <row r="694" spans="1:28" ht="13.5" customHeight="1" x14ac:dyDescent="0.2">
      <c r="A694" s="34"/>
      <c r="B694" s="35"/>
      <c r="C694" s="35"/>
      <c r="D694" s="35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</row>
    <row r="695" spans="1:28" ht="13.5" customHeight="1" x14ac:dyDescent="0.2">
      <c r="A695" s="34"/>
      <c r="B695" s="35"/>
      <c r="C695" s="35"/>
      <c r="D695" s="35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</row>
    <row r="696" spans="1:28" ht="13.5" customHeight="1" x14ac:dyDescent="0.2">
      <c r="A696" s="34"/>
      <c r="B696" s="35"/>
      <c r="C696" s="35"/>
      <c r="D696" s="35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</row>
    <row r="697" spans="1:28" ht="13.5" customHeight="1" x14ac:dyDescent="0.2">
      <c r="A697" s="34"/>
      <c r="B697" s="35"/>
      <c r="C697" s="35"/>
      <c r="D697" s="35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</row>
    <row r="698" spans="1:28" ht="13.5" customHeight="1" x14ac:dyDescent="0.2">
      <c r="A698" s="34"/>
      <c r="B698" s="35"/>
      <c r="C698" s="35"/>
      <c r="D698" s="35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</row>
    <row r="699" spans="1:28" ht="13.5" customHeight="1" x14ac:dyDescent="0.2">
      <c r="A699" s="34"/>
      <c r="B699" s="35"/>
      <c r="C699" s="35"/>
      <c r="D699" s="35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</row>
    <row r="700" spans="1:28" ht="13.5" customHeight="1" x14ac:dyDescent="0.2">
      <c r="A700" s="34"/>
      <c r="B700" s="35"/>
      <c r="C700" s="35"/>
      <c r="D700" s="35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</row>
    <row r="701" spans="1:28" ht="13.5" customHeight="1" x14ac:dyDescent="0.2">
      <c r="A701" s="34"/>
      <c r="B701" s="35"/>
      <c r="C701" s="35"/>
      <c r="D701" s="35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</row>
    <row r="702" spans="1:28" ht="13.5" customHeight="1" x14ac:dyDescent="0.2">
      <c r="A702" s="34"/>
      <c r="B702" s="35"/>
      <c r="C702" s="35"/>
      <c r="D702" s="35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</row>
    <row r="703" spans="1:28" ht="13.5" customHeight="1" x14ac:dyDescent="0.2">
      <c r="A703" s="34"/>
      <c r="B703" s="35"/>
      <c r="C703" s="35"/>
      <c r="D703" s="35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</row>
    <row r="704" spans="1:28" ht="13.5" customHeight="1" x14ac:dyDescent="0.2">
      <c r="A704" s="34"/>
      <c r="B704" s="35"/>
      <c r="C704" s="35"/>
      <c r="D704" s="35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</row>
    <row r="705" spans="1:28" ht="13.5" customHeight="1" x14ac:dyDescent="0.2">
      <c r="A705" s="34"/>
      <c r="B705" s="35"/>
      <c r="C705" s="35"/>
      <c r="D705" s="35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</row>
    <row r="706" spans="1:28" ht="13.5" customHeight="1" x14ac:dyDescent="0.2">
      <c r="A706" s="34"/>
      <c r="B706" s="35"/>
      <c r="C706" s="35"/>
      <c r="D706" s="35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</row>
    <row r="707" spans="1:28" ht="13.5" customHeight="1" x14ac:dyDescent="0.2">
      <c r="A707" s="34"/>
      <c r="B707" s="35"/>
      <c r="C707" s="35"/>
      <c r="D707" s="35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</row>
    <row r="708" spans="1:28" ht="13.5" customHeight="1" x14ac:dyDescent="0.2">
      <c r="A708" s="34"/>
      <c r="B708" s="35"/>
      <c r="C708" s="35"/>
      <c r="D708" s="35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</row>
    <row r="709" spans="1:28" ht="13.5" customHeight="1" x14ac:dyDescent="0.2">
      <c r="A709" s="34"/>
      <c r="B709" s="35"/>
      <c r="C709" s="35"/>
      <c r="D709" s="35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</row>
    <row r="710" spans="1:28" ht="13.5" customHeight="1" x14ac:dyDescent="0.2">
      <c r="A710" s="34"/>
      <c r="B710" s="35"/>
      <c r="C710" s="35"/>
      <c r="D710" s="35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</row>
    <row r="711" spans="1:28" ht="13.5" customHeight="1" x14ac:dyDescent="0.2">
      <c r="A711" s="34"/>
      <c r="B711" s="35"/>
      <c r="C711" s="35"/>
      <c r="D711" s="35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</row>
    <row r="712" spans="1:28" ht="13.5" customHeight="1" x14ac:dyDescent="0.2">
      <c r="A712" s="34"/>
      <c r="B712" s="35"/>
      <c r="C712" s="35"/>
      <c r="D712" s="35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</row>
    <row r="713" spans="1:28" ht="13.5" customHeight="1" x14ac:dyDescent="0.2">
      <c r="A713" s="34"/>
      <c r="B713" s="35"/>
      <c r="C713" s="35"/>
      <c r="D713" s="35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</row>
    <row r="714" spans="1:28" ht="13.5" customHeight="1" x14ac:dyDescent="0.2">
      <c r="A714" s="34"/>
      <c r="B714" s="35"/>
      <c r="C714" s="35"/>
      <c r="D714" s="35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</row>
    <row r="715" spans="1:28" ht="13.5" customHeight="1" x14ac:dyDescent="0.2">
      <c r="A715" s="34"/>
      <c r="B715" s="35"/>
      <c r="C715" s="35"/>
      <c r="D715" s="35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</row>
    <row r="716" spans="1:28" ht="13.5" customHeight="1" x14ac:dyDescent="0.2">
      <c r="A716" s="34"/>
      <c r="B716" s="35"/>
      <c r="C716" s="35"/>
      <c r="D716" s="35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</row>
    <row r="717" spans="1:28" ht="13.5" customHeight="1" x14ac:dyDescent="0.2">
      <c r="A717" s="34"/>
      <c r="B717" s="35"/>
      <c r="C717" s="35"/>
      <c r="D717" s="35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</row>
    <row r="718" spans="1:28" ht="13.5" customHeight="1" x14ac:dyDescent="0.2">
      <c r="A718" s="34"/>
      <c r="B718" s="35"/>
      <c r="C718" s="35"/>
      <c r="D718" s="35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</row>
    <row r="719" spans="1:28" ht="13.5" customHeight="1" x14ac:dyDescent="0.2">
      <c r="A719" s="34"/>
      <c r="B719" s="35"/>
      <c r="C719" s="35"/>
      <c r="D719" s="35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</row>
    <row r="720" spans="1:28" ht="13.5" customHeight="1" x14ac:dyDescent="0.2">
      <c r="A720" s="34"/>
      <c r="B720" s="35"/>
      <c r="C720" s="35"/>
      <c r="D720" s="35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</row>
    <row r="721" spans="1:28" ht="13.5" customHeight="1" x14ac:dyDescent="0.2">
      <c r="A721" s="34"/>
      <c r="B721" s="35"/>
      <c r="C721" s="35"/>
      <c r="D721" s="35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</row>
    <row r="722" spans="1:28" ht="13.5" customHeight="1" x14ac:dyDescent="0.2">
      <c r="A722" s="34"/>
      <c r="B722" s="35"/>
      <c r="C722" s="35"/>
      <c r="D722" s="35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</row>
    <row r="723" spans="1:28" ht="13.5" customHeight="1" x14ac:dyDescent="0.2">
      <c r="A723" s="34"/>
      <c r="B723" s="35"/>
      <c r="C723" s="35"/>
      <c r="D723" s="35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</row>
    <row r="724" spans="1:28" ht="13.5" customHeight="1" x14ac:dyDescent="0.2">
      <c r="A724" s="34"/>
      <c r="B724" s="35"/>
      <c r="C724" s="35"/>
      <c r="D724" s="35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</row>
    <row r="725" spans="1:28" ht="13.5" customHeight="1" x14ac:dyDescent="0.2">
      <c r="A725" s="34"/>
      <c r="B725" s="35"/>
      <c r="C725" s="35"/>
      <c r="D725" s="35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</row>
    <row r="726" spans="1:28" ht="13.5" customHeight="1" x14ac:dyDescent="0.2">
      <c r="A726" s="34"/>
      <c r="B726" s="35"/>
      <c r="C726" s="35"/>
      <c r="D726" s="35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</row>
    <row r="727" spans="1:28" ht="13.5" customHeight="1" x14ac:dyDescent="0.2">
      <c r="A727" s="34"/>
      <c r="B727" s="35"/>
      <c r="C727" s="35"/>
      <c r="D727" s="35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</row>
    <row r="728" spans="1:28" ht="13.5" customHeight="1" x14ac:dyDescent="0.2">
      <c r="A728" s="34"/>
      <c r="B728" s="35"/>
      <c r="C728" s="35"/>
      <c r="D728" s="35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</row>
    <row r="729" spans="1:28" ht="13.5" customHeight="1" x14ac:dyDescent="0.2">
      <c r="A729" s="34"/>
      <c r="B729" s="35"/>
      <c r="C729" s="35"/>
      <c r="D729" s="35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</row>
    <row r="730" spans="1:28" ht="13.5" customHeight="1" x14ac:dyDescent="0.2">
      <c r="A730" s="34"/>
      <c r="B730" s="35"/>
      <c r="C730" s="35"/>
      <c r="D730" s="35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</row>
    <row r="731" spans="1:28" ht="13.5" customHeight="1" x14ac:dyDescent="0.2">
      <c r="A731" s="34"/>
      <c r="B731" s="35"/>
      <c r="C731" s="35"/>
      <c r="D731" s="35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</row>
    <row r="732" spans="1:28" ht="13.5" customHeight="1" x14ac:dyDescent="0.2">
      <c r="A732" s="34"/>
      <c r="B732" s="35"/>
      <c r="C732" s="35"/>
      <c r="D732" s="35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</row>
    <row r="733" spans="1:28" ht="13.5" customHeight="1" x14ac:dyDescent="0.2">
      <c r="A733" s="34"/>
      <c r="B733" s="35"/>
      <c r="C733" s="35"/>
      <c r="D733" s="35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</row>
    <row r="734" spans="1:28" ht="13.5" customHeight="1" x14ac:dyDescent="0.2">
      <c r="A734" s="34"/>
      <c r="B734" s="35"/>
      <c r="C734" s="35"/>
      <c r="D734" s="35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</row>
    <row r="735" spans="1:28" ht="13.5" customHeight="1" x14ac:dyDescent="0.2">
      <c r="A735" s="34"/>
      <c r="B735" s="35"/>
      <c r="C735" s="35"/>
      <c r="D735" s="35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</row>
    <row r="736" spans="1:28" ht="13.5" customHeight="1" x14ac:dyDescent="0.2">
      <c r="A736" s="34"/>
      <c r="B736" s="35"/>
      <c r="C736" s="35"/>
      <c r="D736" s="35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</row>
    <row r="737" spans="1:28" ht="13.5" customHeight="1" x14ac:dyDescent="0.2">
      <c r="A737" s="34"/>
      <c r="B737" s="35"/>
      <c r="C737" s="35"/>
      <c r="D737" s="35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</row>
    <row r="738" spans="1:28" ht="13.5" customHeight="1" x14ac:dyDescent="0.2">
      <c r="A738" s="34"/>
      <c r="B738" s="35"/>
      <c r="C738" s="35"/>
      <c r="D738" s="35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</row>
    <row r="739" spans="1:28" ht="13.5" customHeight="1" x14ac:dyDescent="0.2">
      <c r="A739" s="34"/>
      <c r="B739" s="35"/>
      <c r="C739" s="35"/>
      <c r="D739" s="35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</row>
    <row r="740" spans="1:28" ht="13.5" customHeight="1" x14ac:dyDescent="0.2">
      <c r="A740" s="34"/>
      <c r="B740" s="35"/>
      <c r="C740" s="35"/>
      <c r="D740" s="35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</row>
    <row r="741" spans="1:28" ht="13.5" customHeight="1" x14ac:dyDescent="0.2">
      <c r="A741" s="34"/>
      <c r="B741" s="35"/>
      <c r="C741" s="35"/>
      <c r="D741" s="35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</row>
    <row r="742" spans="1:28" ht="13.5" customHeight="1" x14ac:dyDescent="0.2">
      <c r="A742" s="34"/>
      <c r="B742" s="35"/>
      <c r="C742" s="35"/>
      <c r="D742" s="35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</row>
    <row r="743" spans="1:28" ht="13.5" customHeight="1" x14ac:dyDescent="0.2">
      <c r="A743" s="34"/>
      <c r="B743" s="35"/>
      <c r="C743" s="35"/>
      <c r="D743" s="35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</row>
    <row r="744" spans="1:28" ht="13.5" customHeight="1" x14ac:dyDescent="0.2">
      <c r="A744" s="34"/>
      <c r="B744" s="35"/>
      <c r="C744" s="35"/>
      <c r="D744" s="35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</row>
    <row r="745" spans="1:28" ht="13.5" customHeight="1" x14ac:dyDescent="0.2">
      <c r="A745" s="34"/>
      <c r="B745" s="35"/>
      <c r="C745" s="35"/>
      <c r="D745" s="35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</row>
    <row r="746" spans="1:28" ht="13.5" customHeight="1" x14ac:dyDescent="0.2">
      <c r="A746" s="34"/>
      <c r="B746" s="35"/>
      <c r="C746" s="35"/>
      <c r="D746" s="35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</row>
    <row r="747" spans="1:28" ht="13.5" customHeight="1" x14ac:dyDescent="0.2">
      <c r="A747" s="34"/>
      <c r="B747" s="35"/>
      <c r="C747" s="35"/>
      <c r="D747" s="35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</row>
    <row r="748" spans="1:28" ht="13.5" customHeight="1" x14ac:dyDescent="0.2">
      <c r="A748" s="34"/>
      <c r="B748" s="35"/>
      <c r="C748" s="35"/>
      <c r="D748" s="35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</row>
    <row r="749" spans="1:28" ht="13.5" customHeight="1" x14ac:dyDescent="0.2">
      <c r="A749" s="34"/>
      <c r="B749" s="35"/>
      <c r="C749" s="35"/>
      <c r="D749" s="35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</row>
    <row r="750" spans="1:28" ht="13.5" customHeight="1" x14ac:dyDescent="0.2">
      <c r="A750" s="34"/>
      <c r="B750" s="35"/>
      <c r="C750" s="35"/>
      <c r="D750" s="35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</row>
    <row r="751" spans="1:28" ht="13.5" customHeight="1" x14ac:dyDescent="0.2">
      <c r="A751" s="34"/>
      <c r="B751" s="35"/>
      <c r="C751" s="35"/>
      <c r="D751" s="35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</row>
    <row r="752" spans="1:28" ht="13.5" customHeight="1" x14ac:dyDescent="0.2">
      <c r="A752" s="34"/>
      <c r="B752" s="35"/>
      <c r="C752" s="35"/>
      <c r="D752" s="35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</row>
    <row r="753" spans="1:28" ht="13.5" customHeight="1" x14ac:dyDescent="0.2">
      <c r="A753" s="34"/>
      <c r="B753" s="35"/>
      <c r="C753" s="35"/>
      <c r="D753" s="35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</row>
    <row r="754" spans="1:28" ht="13.5" customHeight="1" x14ac:dyDescent="0.2">
      <c r="A754" s="34"/>
      <c r="B754" s="35"/>
      <c r="C754" s="35"/>
      <c r="D754" s="35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</row>
    <row r="755" spans="1:28" ht="13.5" customHeight="1" x14ac:dyDescent="0.2">
      <c r="A755" s="34"/>
      <c r="B755" s="35"/>
      <c r="C755" s="35"/>
      <c r="D755" s="35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</row>
    <row r="756" spans="1:28" ht="13.5" customHeight="1" x14ac:dyDescent="0.2">
      <c r="A756" s="34"/>
      <c r="B756" s="35"/>
      <c r="C756" s="35"/>
      <c r="D756" s="35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</row>
    <row r="757" spans="1:28" ht="13.5" customHeight="1" x14ac:dyDescent="0.2">
      <c r="A757" s="34"/>
      <c r="B757" s="35"/>
      <c r="C757" s="35"/>
      <c r="D757" s="35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</row>
    <row r="758" spans="1:28" ht="13.5" customHeight="1" x14ac:dyDescent="0.2">
      <c r="A758" s="34"/>
      <c r="B758" s="35"/>
      <c r="C758" s="35"/>
      <c r="D758" s="35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</row>
    <row r="759" spans="1:28" ht="13.5" customHeight="1" x14ac:dyDescent="0.2">
      <c r="A759" s="34"/>
      <c r="B759" s="35"/>
      <c r="C759" s="35"/>
      <c r="D759" s="35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</row>
    <row r="760" spans="1:28" ht="13.5" customHeight="1" x14ac:dyDescent="0.2">
      <c r="A760" s="34"/>
      <c r="B760" s="35"/>
      <c r="C760" s="35"/>
      <c r="D760" s="35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</row>
    <row r="761" spans="1:28" ht="13.5" customHeight="1" x14ac:dyDescent="0.2">
      <c r="A761" s="34"/>
      <c r="B761" s="35"/>
      <c r="C761" s="35"/>
      <c r="D761" s="35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</row>
    <row r="762" spans="1:28" ht="13.5" customHeight="1" x14ac:dyDescent="0.2">
      <c r="A762" s="34"/>
      <c r="B762" s="35"/>
      <c r="C762" s="35"/>
      <c r="D762" s="35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</row>
    <row r="763" spans="1:28" ht="13.5" customHeight="1" x14ac:dyDescent="0.2">
      <c r="A763" s="34"/>
      <c r="B763" s="35"/>
      <c r="C763" s="35"/>
      <c r="D763" s="35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</row>
    <row r="764" spans="1:28" ht="13.5" customHeight="1" x14ac:dyDescent="0.2">
      <c r="A764" s="34"/>
      <c r="B764" s="35"/>
      <c r="C764" s="35"/>
      <c r="D764" s="35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</row>
    <row r="765" spans="1:28" ht="13.5" customHeight="1" x14ac:dyDescent="0.2">
      <c r="A765" s="34"/>
      <c r="B765" s="35"/>
      <c r="C765" s="35"/>
      <c r="D765" s="35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</row>
    <row r="766" spans="1:28" ht="13.5" customHeight="1" x14ac:dyDescent="0.2">
      <c r="A766" s="34"/>
      <c r="B766" s="35"/>
      <c r="C766" s="35"/>
      <c r="D766" s="35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</row>
    <row r="767" spans="1:28" ht="13.5" customHeight="1" x14ac:dyDescent="0.2">
      <c r="A767" s="34"/>
      <c r="B767" s="35"/>
      <c r="C767" s="35"/>
      <c r="D767" s="35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</row>
    <row r="768" spans="1:28" ht="13.5" customHeight="1" x14ac:dyDescent="0.2">
      <c r="A768" s="34"/>
      <c r="B768" s="35"/>
      <c r="C768" s="35"/>
      <c r="D768" s="35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</row>
    <row r="769" spans="1:28" ht="13.5" customHeight="1" x14ac:dyDescent="0.2">
      <c r="A769" s="34"/>
      <c r="B769" s="35"/>
      <c r="C769" s="35"/>
      <c r="D769" s="35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</row>
    <row r="770" spans="1:28" ht="13.5" customHeight="1" x14ac:dyDescent="0.2">
      <c r="A770" s="34"/>
      <c r="B770" s="35"/>
      <c r="C770" s="35"/>
      <c r="D770" s="35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</row>
    <row r="771" spans="1:28" ht="13.5" customHeight="1" x14ac:dyDescent="0.2">
      <c r="A771" s="34"/>
      <c r="B771" s="35"/>
      <c r="C771" s="35"/>
      <c r="D771" s="35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</row>
    <row r="772" spans="1:28" ht="13.5" customHeight="1" x14ac:dyDescent="0.2">
      <c r="A772" s="34"/>
      <c r="B772" s="35"/>
      <c r="C772" s="35"/>
      <c r="D772" s="35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</row>
    <row r="773" spans="1:28" ht="13.5" customHeight="1" x14ac:dyDescent="0.2">
      <c r="A773" s="34"/>
      <c r="B773" s="35"/>
      <c r="C773" s="35"/>
      <c r="D773" s="35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</row>
    <row r="774" spans="1:28" ht="13.5" customHeight="1" x14ac:dyDescent="0.2">
      <c r="A774" s="34"/>
      <c r="B774" s="35"/>
      <c r="C774" s="35"/>
      <c r="D774" s="35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</row>
    <row r="775" spans="1:28" ht="13.5" customHeight="1" x14ac:dyDescent="0.2">
      <c r="A775" s="34"/>
      <c r="B775" s="35"/>
      <c r="C775" s="35"/>
      <c r="D775" s="35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</row>
    <row r="776" spans="1:28" ht="13.5" customHeight="1" x14ac:dyDescent="0.2">
      <c r="A776" s="34"/>
      <c r="B776" s="35"/>
      <c r="C776" s="35"/>
      <c r="D776" s="35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</row>
    <row r="777" spans="1:28" ht="13.5" customHeight="1" x14ac:dyDescent="0.2">
      <c r="A777" s="34"/>
      <c r="B777" s="35"/>
      <c r="C777" s="35"/>
      <c r="D777" s="35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</row>
    <row r="778" spans="1:28" ht="13.5" customHeight="1" x14ac:dyDescent="0.2">
      <c r="A778" s="34"/>
      <c r="B778" s="35"/>
      <c r="C778" s="35"/>
      <c r="D778" s="35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</row>
    <row r="779" spans="1:28" ht="13.5" customHeight="1" x14ac:dyDescent="0.2">
      <c r="A779" s="34"/>
      <c r="B779" s="35"/>
      <c r="C779" s="35"/>
      <c r="D779" s="35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</row>
    <row r="780" spans="1:28" ht="13.5" customHeight="1" x14ac:dyDescent="0.2">
      <c r="A780" s="34"/>
      <c r="B780" s="35"/>
      <c r="C780" s="35"/>
      <c r="D780" s="35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</row>
    <row r="781" spans="1:28" ht="13.5" customHeight="1" x14ac:dyDescent="0.2">
      <c r="A781" s="34"/>
      <c r="B781" s="35"/>
      <c r="C781" s="35"/>
      <c r="D781" s="35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</row>
    <row r="782" spans="1:28" ht="13.5" customHeight="1" x14ac:dyDescent="0.2">
      <c r="A782" s="34"/>
      <c r="B782" s="35"/>
      <c r="C782" s="35"/>
      <c r="D782" s="35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</row>
    <row r="783" spans="1:28" ht="13.5" customHeight="1" x14ac:dyDescent="0.2">
      <c r="A783" s="34"/>
      <c r="B783" s="35"/>
      <c r="C783" s="35"/>
      <c r="D783" s="35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</row>
    <row r="784" spans="1:28" ht="13.5" customHeight="1" x14ac:dyDescent="0.2">
      <c r="A784" s="34"/>
      <c r="B784" s="35"/>
      <c r="C784" s="35"/>
      <c r="D784" s="35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</row>
    <row r="785" spans="1:28" ht="13.5" customHeight="1" x14ac:dyDescent="0.2">
      <c r="A785" s="34"/>
      <c r="B785" s="35"/>
      <c r="C785" s="35"/>
      <c r="D785" s="35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</row>
    <row r="786" spans="1:28" ht="13.5" customHeight="1" x14ac:dyDescent="0.2">
      <c r="A786" s="34"/>
      <c r="B786" s="35"/>
      <c r="C786" s="35"/>
      <c r="D786" s="35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</row>
    <row r="787" spans="1:28" ht="13.5" customHeight="1" x14ac:dyDescent="0.2">
      <c r="A787" s="34"/>
      <c r="B787" s="35"/>
      <c r="C787" s="35"/>
      <c r="D787" s="35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</row>
    <row r="788" spans="1:28" ht="13.5" customHeight="1" x14ac:dyDescent="0.2">
      <c r="A788" s="34"/>
      <c r="B788" s="35"/>
      <c r="C788" s="35"/>
      <c r="D788" s="35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</row>
    <row r="789" spans="1:28" ht="13.5" customHeight="1" x14ac:dyDescent="0.2">
      <c r="A789" s="34"/>
      <c r="B789" s="35"/>
      <c r="C789" s="35"/>
      <c r="D789" s="35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</row>
    <row r="790" spans="1:28" ht="13.5" customHeight="1" x14ac:dyDescent="0.2">
      <c r="A790" s="34"/>
      <c r="B790" s="35"/>
      <c r="C790" s="35"/>
      <c r="D790" s="35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</row>
    <row r="791" spans="1:28" ht="13.5" customHeight="1" x14ac:dyDescent="0.2">
      <c r="A791" s="34"/>
      <c r="B791" s="35"/>
      <c r="C791" s="35"/>
      <c r="D791" s="35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</row>
    <row r="792" spans="1:28" ht="13.5" customHeight="1" x14ac:dyDescent="0.2">
      <c r="A792" s="34"/>
      <c r="B792" s="35"/>
      <c r="C792" s="35"/>
      <c r="D792" s="35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</row>
    <row r="793" spans="1:28" ht="13.5" customHeight="1" x14ac:dyDescent="0.2">
      <c r="A793" s="34"/>
      <c r="B793" s="35"/>
      <c r="C793" s="35"/>
      <c r="D793" s="35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</row>
    <row r="794" spans="1:28" ht="13.5" customHeight="1" x14ac:dyDescent="0.2">
      <c r="A794" s="34"/>
      <c r="B794" s="35"/>
      <c r="C794" s="35"/>
      <c r="D794" s="35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</row>
    <row r="795" spans="1:28" ht="13.5" customHeight="1" x14ac:dyDescent="0.2">
      <c r="A795" s="34"/>
      <c r="B795" s="35"/>
      <c r="C795" s="35"/>
      <c r="D795" s="35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</row>
    <row r="796" spans="1:28" ht="13.5" customHeight="1" x14ac:dyDescent="0.2">
      <c r="A796" s="34"/>
      <c r="B796" s="35"/>
      <c r="C796" s="35"/>
      <c r="D796" s="35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</row>
    <row r="797" spans="1:28" ht="13.5" customHeight="1" x14ac:dyDescent="0.2">
      <c r="A797" s="34"/>
      <c r="B797" s="35"/>
      <c r="C797" s="35"/>
      <c r="D797" s="35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</row>
    <row r="798" spans="1:28" ht="13.5" customHeight="1" x14ac:dyDescent="0.2">
      <c r="A798" s="34"/>
      <c r="B798" s="35"/>
      <c r="C798" s="35"/>
      <c r="D798" s="35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</row>
    <row r="799" spans="1:28" ht="13.5" customHeight="1" x14ac:dyDescent="0.2">
      <c r="A799" s="34"/>
      <c r="B799" s="35"/>
      <c r="C799" s="35"/>
      <c r="D799" s="35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</row>
    <row r="800" spans="1:28" ht="13.5" customHeight="1" x14ac:dyDescent="0.2">
      <c r="A800" s="34"/>
      <c r="B800" s="35"/>
      <c r="C800" s="35"/>
      <c r="D800" s="35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</row>
    <row r="801" spans="1:28" ht="13.5" customHeight="1" x14ac:dyDescent="0.2">
      <c r="A801" s="34"/>
      <c r="B801" s="35"/>
      <c r="C801" s="35"/>
      <c r="D801" s="35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</row>
    <row r="802" spans="1:28" ht="13.5" customHeight="1" x14ac:dyDescent="0.2">
      <c r="A802" s="34"/>
      <c r="B802" s="35"/>
      <c r="C802" s="35"/>
      <c r="D802" s="35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</row>
    <row r="803" spans="1:28" ht="13.5" customHeight="1" x14ac:dyDescent="0.2">
      <c r="A803" s="34"/>
      <c r="B803" s="35"/>
      <c r="C803" s="35"/>
      <c r="D803" s="35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</row>
    <row r="804" spans="1:28" ht="13.5" customHeight="1" x14ac:dyDescent="0.2">
      <c r="A804" s="34"/>
      <c r="B804" s="35"/>
      <c r="C804" s="35"/>
      <c r="D804" s="35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</row>
    <row r="805" spans="1:28" ht="13.5" customHeight="1" x14ac:dyDescent="0.2">
      <c r="A805" s="34"/>
      <c r="B805" s="35"/>
      <c r="C805" s="35"/>
      <c r="D805" s="35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</row>
    <row r="806" spans="1:28" ht="13.5" customHeight="1" x14ac:dyDescent="0.2">
      <c r="A806" s="34"/>
      <c r="B806" s="35"/>
      <c r="C806" s="35"/>
      <c r="D806" s="35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</row>
    <row r="807" spans="1:28" ht="13.5" customHeight="1" x14ac:dyDescent="0.2">
      <c r="A807" s="34"/>
      <c r="B807" s="35"/>
      <c r="C807" s="35"/>
      <c r="D807" s="35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</row>
    <row r="808" spans="1:28" ht="13.5" customHeight="1" x14ac:dyDescent="0.2">
      <c r="A808" s="34"/>
      <c r="B808" s="35"/>
      <c r="C808" s="35"/>
      <c r="D808" s="35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</row>
    <row r="809" spans="1:28" ht="13.5" customHeight="1" x14ac:dyDescent="0.2">
      <c r="A809" s="34"/>
      <c r="B809" s="35"/>
      <c r="C809" s="35"/>
      <c r="D809" s="35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</row>
    <row r="810" spans="1:28" ht="13.5" customHeight="1" x14ac:dyDescent="0.2">
      <c r="A810" s="34"/>
      <c r="B810" s="35"/>
      <c r="C810" s="35"/>
      <c r="D810" s="35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</row>
    <row r="811" spans="1:28" ht="13.5" customHeight="1" x14ac:dyDescent="0.2">
      <c r="A811" s="34"/>
      <c r="B811" s="35"/>
      <c r="C811" s="35"/>
      <c r="D811" s="35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</row>
    <row r="812" spans="1:28" ht="13.5" customHeight="1" x14ac:dyDescent="0.2">
      <c r="A812" s="34"/>
      <c r="B812" s="35"/>
      <c r="C812" s="35"/>
      <c r="D812" s="35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</row>
    <row r="813" spans="1:28" ht="13.5" customHeight="1" x14ac:dyDescent="0.2">
      <c r="A813" s="34"/>
      <c r="B813" s="35"/>
      <c r="C813" s="35"/>
      <c r="D813" s="35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</row>
    <row r="814" spans="1:28" ht="13.5" customHeight="1" x14ac:dyDescent="0.2">
      <c r="A814" s="34"/>
      <c r="B814" s="35"/>
      <c r="C814" s="35"/>
      <c r="D814" s="35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</row>
    <row r="815" spans="1:28" ht="13.5" customHeight="1" x14ac:dyDescent="0.2">
      <c r="A815" s="34"/>
      <c r="B815" s="35"/>
      <c r="C815" s="35"/>
      <c r="D815" s="35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</row>
    <row r="816" spans="1:28" ht="13.5" customHeight="1" x14ac:dyDescent="0.2">
      <c r="A816" s="34"/>
      <c r="B816" s="35"/>
      <c r="C816" s="35"/>
      <c r="D816" s="35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</row>
    <row r="817" spans="1:28" ht="13.5" customHeight="1" x14ac:dyDescent="0.2">
      <c r="A817" s="34"/>
      <c r="B817" s="35"/>
      <c r="C817" s="35"/>
      <c r="D817" s="35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</row>
    <row r="818" spans="1:28" ht="13.5" customHeight="1" x14ac:dyDescent="0.2">
      <c r="A818" s="34"/>
      <c r="B818" s="35"/>
      <c r="C818" s="35"/>
      <c r="D818" s="35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</row>
    <row r="819" spans="1:28" ht="13.5" customHeight="1" x14ac:dyDescent="0.2">
      <c r="A819" s="34"/>
      <c r="B819" s="35"/>
      <c r="C819" s="35"/>
      <c r="D819" s="35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</row>
    <row r="820" spans="1:28" ht="13.5" customHeight="1" x14ac:dyDescent="0.2">
      <c r="A820" s="34"/>
      <c r="B820" s="35"/>
      <c r="C820" s="35"/>
      <c r="D820" s="35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</row>
    <row r="821" spans="1:28" ht="13.5" customHeight="1" x14ac:dyDescent="0.2">
      <c r="A821" s="34"/>
      <c r="B821" s="35"/>
      <c r="C821" s="35"/>
      <c r="D821" s="35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</row>
    <row r="822" spans="1:28" ht="13.5" customHeight="1" x14ac:dyDescent="0.2">
      <c r="A822" s="34"/>
      <c r="B822" s="35"/>
      <c r="C822" s="35"/>
      <c r="D822" s="35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</row>
    <row r="823" spans="1:28" ht="13.5" customHeight="1" x14ac:dyDescent="0.2">
      <c r="A823" s="34"/>
      <c r="B823" s="35"/>
      <c r="C823" s="35"/>
      <c r="D823" s="35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</row>
    <row r="824" spans="1:28" ht="13.5" customHeight="1" x14ac:dyDescent="0.2">
      <c r="A824" s="34"/>
      <c r="B824" s="35"/>
      <c r="C824" s="35"/>
      <c r="D824" s="35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</row>
    <row r="825" spans="1:28" ht="13.5" customHeight="1" x14ac:dyDescent="0.2">
      <c r="A825" s="34"/>
      <c r="B825" s="35"/>
      <c r="C825" s="35"/>
      <c r="D825" s="35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</row>
    <row r="826" spans="1:28" ht="13.5" customHeight="1" x14ac:dyDescent="0.2">
      <c r="A826" s="34"/>
      <c r="B826" s="35"/>
      <c r="C826" s="35"/>
      <c r="D826" s="35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</row>
    <row r="827" spans="1:28" ht="13.5" customHeight="1" x14ac:dyDescent="0.2">
      <c r="A827" s="34"/>
      <c r="B827" s="35"/>
      <c r="C827" s="35"/>
      <c r="D827" s="35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</row>
    <row r="828" spans="1:28" ht="13.5" customHeight="1" x14ac:dyDescent="0.2">
      <c r="A828" s="34"/>
      <c r="B828" s="35"/>
      <c r="C828" s="35"/>
      <c r="D828" s="35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</row>
    <row r="829" spans="1:28" ht="13.5" customHeight="1" x14ac:dyDescent="0.2">
      <c r="A829" s="34"/>
      <c r="B829" s="35"/>
      <c r="C829" s="35"/>
      <c r="D829" s="35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</row>
    <row r="830" spans="1:28" ht="13.5" customHeight="1" x14ac:dyDescent="0.2">
      <c r="A830" s="34"/>
      <c r="B830" s="35"/>
      <c r="C830" s="35"/>
      <c r="D830" s="35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</row>
    <row r="831" spans="1:28" ht="13.5" customHeight="1" x14ac:dyDescent="0.2">
      <c r="A831" s="34"/>
      <c r="B831" s="35"/>
      <c r="C831" s="35"/>
      <c r="D831" s="35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</row>
    <row r="832" spans="1:28" ht="13.5" customHeight="1" x14ac:dyDescent="0.2">
      <c r="A832" s="34"/>
      <c r="B832" s="35"/>
      <c r="C832" s="35"/>
      <c r="D832" s="35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</row>
    <row r="833" spans="1:28" ht="13.5" customHeight="1" x14ac:dyDescent="0.2">
      <c r="A833" s="34"/>
      <c r="B833" s="35"/>
      <c r="C833" s="35"/>
      <c r="D833" s="35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</row>
    <row r="834" spans="1:28" ht="13.5" customHeight="1" x14ac:dyDescent="0.2">
      <c r="A834" s="34"/>
      <c r="B834" s="35"/>
      <c r="C834" s="35"/>
      <c r="D834" s="35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</row>
    <row r="835" spans="1:28" ht="13.5" customHeight="1" x14ac:dyDescent="0.2">
      <c r="A835" s="34"/>
      <c r="B835" s="35"/>
      <c r="C835" s="35"/>
      <c r="D835" s="35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</row>
    <row r="836" spans="1:28" ht="13.5" customHeight="1" x14ac:dyDescent="0.2">
      <c r="A836" s="34"/>
      <c r="B836" s="35"/>
      <c r="C836" s="35"/>
      <c r="D836" s="35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</row>
    <row r="837" spans="1:28" ht="13.5" customHeight="1" x14ac:dyDescent="0.2">
      <c r="A837" s="34"/>
      <c r="B837" s="35"/>
      <c r="C837" s="35"/>
      <c r="D837" s="35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</row>
    <row r="838" spans="1:28" ht="13.5" customHeight="1" x14ac:dyDescent="0.2">
      <c r="A838" s="34"/>
      <c r="B838" s="35"/>
      <c r="C838" s="35"/>
      <c r="D838" s="35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</row>
    <row r="839" spans="1:28" ht="13.5" customHeight="1" x14ac:dyDescent="0.2">
      <c r="A839" s="34"/>
      <c r="B839" s="35"/>
      <c r="C839" s="35"/>
      <c r="D839" s="35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</row>
    <row r="840" spans="1:28" ht="13.5" customHeight="1" x14ac:dyDescent="0.2">
      <c r="A840" s="34"/>
      <c r="B840" s="35"/>
      <c r="C840" s="35"/>
      <c r="D840" s="35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</row>
    <row r="841" spans="1:28" ht="13.5" customHeight="1" x14ac:dyDescent="0.2">
      <c r="A841" s="34"/>
      <c r="B841" s="35"/>
      <c r="C841" s="35"/>
      <c r="D841" s="35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</row>
    <row r="842" spans="1:28" ht="13.5" customHeight="1" x14ac:dyDescent="0.2">
      <c r="A842" s="34"/>
      <c r="B842" s="35"/>
      <c r="C842" s="35"/>
      <c r="D842" s="35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</row>
    <row r="843" spans="1:28" ht="13.5" customHeight="1" x14ac:dyDescent="0.2">
      <c r="A843" s="34"/>
      <c r="B843" s="35"/>
      <c r="C843" s="35"/>
      <c r="D843" s="35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</row>
    <row r="844" spans="1:28" ht="13.5" customHeight="1" x14ac:dyDescent="0.2">
      <c r="A844" s="34"/>
      <c r="B844" s="35"/>
      <c r="C844" s="35"/>
      <c r="D844" s="35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</row>
    <row r="845" spans="1:28" ht="13.5" customHeight="1" x14ac:dyDescent="0.2">
      <c r="A845" s="34"/>
      <c r="B845" s="35"/>
      <c r="C845" s="35"/>
      <c r="D845" s="35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</row>
    <row r="846" spans="1:28" ht="13.5" customHeight="1" x14ac:dyDescent="0.2">
      <c r="A846" s="34"/>
      <c r="B846" s="35"/>
      <c r="C846" s="35"/>
      <c r="D846" s="35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</row>
    <row r="847" spans="1:28" ht="13.5" customHeight="1" x14ac:dyDescent="0.2">
      <c r="A847" s="34"/>
      <c r="B847" s="35"/>
      <c r="C847" s="35"/>
      <c r="D847" s="35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</row>
    <row r="848" spans="1:28" ht="13.5" customHeight="1" x14ac:dyDescent="0.2">
      <c r="A848" s="34"/>
      <c r="B848" s="35"/>
      <c r="C848" s="35"/>
      <c r="D848" s="35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</row>
    <row r="849" spans="1:28" ht="13.5" customHeight="1" x14ac:dyDescent="0.2">
      <c r="A849" s="34"/>
      <c r="B849" s="35"/>
      <c r="C849" s="35"/>
      <c r="D849" s="35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</row>
    <row r="850" spans="1:28" ht="13.5" customHeight="1" x14ac:dyDescent="0.2">
      <c r="A850" s="34"/>
      <c r="B850" s="35"/>
      <c r="C850" s="35"/>
      <c r="D850" s="35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</row>
    <row r="851" spans="1:28" ht="13.5" customHeight="1" x14ac:dyDescent="0.2">
      <c r="A851" s="34"/>
      <c r="B851" s="35"/>
      <c r="C851" s="35"/>
      <c r="D851" s="35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</row>
    <row r="852" spans="1:28" ht="13.5" customHeight="1" x14ac:dyDescent="0.2">
      <c r="A852" s="34"/>
      <c r="B852" s="35"/>
      <c r="C852" s="35"/>
      <c r="D852" s="35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</row>
    <row r="853" spans="1:28" ht="13.5" customHeight="1" x14ac:dyDescent="0.2">
      <c r="A853" s="34"/>
      <c r="B853" s="35"/>
      <c r="C853" s="35"/>
      <c r="D853" s="35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</row>
    <row r="854" spans="1:28" ht="13.5" customHeight="1" x14ac:dyDescent="0.2">
      <c r="A854" s="34"/>
      <c r="B854" s="35"/>
      <c r="C854" s="35"/>
      <c r="D854" s="35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</row>
    <row r="855" spans="1:28" ht="13.5" customHeight="1" x14ac:dyDescent="0.2">
      <c r="A855" s="34"/>
      <c r="B855" s="35"/>
      <c r="C855" s="35"/>
      <c r="D855" s="35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</row>
    <row r="856" spans="1:28" ht="13.5" customHeight="1" x14ac:dyDescent="0.2">
      <c r="A856" s="34"/>
      <c r="B856" s="35"/>
      <c r="C856" s="35"/>
      <c r="D856" s="35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</row>
    <row r="857" spans="1:28" ht="13.5" customHeight="1" x14ac:dyDescent="0.2">
      <c r="A857" s="34"/>
      <c r="B857" s="35"/>
      <c r="C857" s="35"/>
      <c r="D857" s="35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</row>
    <row r="858" spans="1:28" ht="13.5" customHeight="1" x14ac:dyDescent="0.2">
      <c r="A858" s="34"/>
      <c r="B858" s="35"/>
      <c r="C858" s="35"/>
      <c r="D858" s="35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</row>
    <row r="859" spans="1:28" ht="13.5" customHeight="1" x14ac:dyDescent="0.2">
      <c r="A859" s="34"/>
      <c r="B859" s="35"/>
      <c r="C859" s="35"/>
      <c r="D859" s="35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</row>
    <row r="860" spans="1:28" ht="13.5" customHeight="1" x14ac:dyDescent="0.2">
      <c r="A860" s="34"/>
      <c r="B860" s="35"/>
      <c r="C860" s="35"/>
      <c r="D860" s="35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</row>
    <row r="861" spans="1:28" ht="13.5" customHeight="1" x14ac:dyDescent="0.2">
      <c r="A861" s="34"/>
      <c r="B861" s="35"/>
      <c r="C861" s="35"/>
      <c r="D861" s="35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</row>
    <row r="862" spans="1:28" ht="13.5" customHeight="1" x14ac:dyDescent="0.2">
      <c r="A862" s="34"/>
      <c r="B862" s="35"/>
      <c r="C862" s="35"/>
      <c r="D862" s="35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</row>
    <row r="863" spans="1:28" ht="13.5" customHeight="1" x14ac:dyDescent="0.2">
      <c r="A863" s="34"/>
      <c r="B863" s="35"/>
      <c r="C863" s="35"/>
      <c r="D863" s="35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</row>
    <row r="864" spans="1:28" ht="13.5" customHeight="1" x14ac:dyDescent="0.2">
      <c r="A864" s="34"/>
      <c r="B864" s="35"/>
      <c r="C864" s="35"/>
      <c r="D864" s="35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</row>
    <row r="865" spans="1:28" ht="13.5" customHeight="1" x14ac:dyDescent="0.2">
      <c r="A865" s="34"/>
      <c r="B865" s="35"/>
      <c r="C865" s="35"/>
      <c r="D865" s="35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</row>
    <row r="866" spans="1:28" ht="13.5" customHeight="1" x14ac:dyDescent="0.2">
      <c r="A866" s="34"/>
      <c r="B866" s="35"/>
      <c r="C866" s="35"/>
      <c r="D866" s="35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</row>
    <row r="867" spans="1:28" ht="13.5" customHeight="1" x14ac:dyDescent="0.2">
      <c r="A867" s="34"/>
      <c r="B867" s="35"/>
      <c r="C867" s="35"/>
      <c r="D867" s="35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</row>
    <row r="868" spans="1:28" ht="13.5" customHeight="1" x14ac:dyDescent="0.2">
      <c r="A868" s="34"/>
      <c r="B868" s="35"/>
      <c r="C868" s="35"/>
      <c r="D868" s="35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</row>
    <row r="869" spans="1:28" ht="13.5" customHeight="1" x14ac:dyDescent="0.2">
      <c r="A869" s="34"/>
      <c r="B869" s="35"/>
      <c r="C869" s="35"/>
      <c r="D869" s="35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</row>
    <row r="870" spans="1:28" ht="13.5" customHeight="1" x14ac:dyDescent="0.2">
      <c r="A870" s="34"/>
      <c r="B870" s="35"/>
      <c r="C870" s="35"/>
      <c r="D870" s="35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</row>
    <row r="871" spans="1:28" ht="13.5" customHeight="1" x14ac:dyDescent="0.2">
      <c r="A871" s="34"/>
      <c r="B871" s="35"/>
      <c r="C871" s="35"/>
      <c r="D871" s="35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</row>
    <row r="872" spans="1:28" ht="13.5" customHeight="1" x14ac:dyDescent="0.2">
      <c r="A872" s="34"/>
      <c r="B872" s="35"/>
      <c r="C872" s="35"/>
      <c r="D872" s="35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</row>
    <row r="873" spans="1:28" ht="13.5" customHeight="1" x14ac:dyDescent="0.2">
      <c r="A873" s="34"/>
      <c r="B873" s="35"/>
      <c r="C873" s="35"/>
      <c r="D873" s="35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</row>
    <row r="874" spans="1:28" ht="13.5" customHeight="1" x14ac:dyDescent="0.2">
      <c r="A874" s="34"/>
      <c r="B874" s="35"/>
      <c r="C874" s="35"/>
      <c r="D874" s="35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</row>
    <row r="875" spans="1:28" ht="13.5" customHeight="1" x14ac:dyDescent="0.2">
      <c r="A875" s="34"/>
      <c r="B875" s="35"/>
      <c r="C875" s="35"/>
      <c r="D875" s="35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</row>
    <row r="876" spans="1:28" ht="13.5" customHeight="1" x14ac:dyDescent="0.2">
      <c r="A876" s="34"/>
      <c r="B876" s="35"/>
      <c r="C876" s="35"/>
      <c r="D876" s="35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</row>
    <row r="877" spans="1:28" ht="13.5" customHeight="1" x14ac:dyDescent="0.2">
      <c r="A877" s="34"/>
      <c r="B877" s="35"/>
      <c r="C877" s="35"/>
      <c r="D877" s="35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</row>
    <row r="878" spans="1:28" ht="13.5" customHeight="1" x14ac:dyDescent="0.2">
      <c r="A878" s="34"/>
      <c r="B878" s="35"/>
      <c r="C878" s="35"/>
      <c r="D878" s="35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</row>
    <row r="879" spans="1:28" ht="13.5" customHeight="1" x14ac:dyDescent="0.2">
      <c r="A879" s="34"/>
      <c r="B879" s="35"/>
      <c r="C879" s="35"/>
      <c r="D879" s="35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</row>
    <row r="880" spans="1:28" ht="13.5" customHeight="1" x14ac:dyDescent="0.2">
      <c r="A880" s="34"/>
      <c r="B880" s="35"/>
      <c r="C880" s="35"/>
      <c r="D880" s="35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</row>
    <row r="881" spans="1:28" ht="13.5" customHeight="1" x14ac:dyDescent="0.2">
      <c r="A881" s="34"/>
      <c r="B881" s="35"/>
      <c r="C881" s="35"/>
      <c r="D881" s="35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</row>
    <row r="882" spans="1:28" ht="13.5" customHeight="1" x14ac:dyDescent="0.2">
      <c r="A882" s="34"/>
      <c r="B882" s="35"/>
      <c r="C882" s="35"/>
      <c r="D882" s="35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</row>
    <row r="883" spans="1:28" ht="13.5" customHeight="1" x14ac:dyDescent="0.2">
      <c r="A883" s="34"/>
      <c r="B883" s="35"/>
      <c r="C883" s="35"/>
      <c r="D883" s="35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</row>
    <row r="884" spans="1:28" ht="13.5" customHeight="1" x14ac:dyDescent="0.2">
      <c r="A884" s="34"/>
      <c r="B884" s="35"/>
      <c r="C884" s="35"/>
      <c r="D884" s="35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</row>
    <row r="885" spans="1:28" ht="13.5" customHeight="1" x14ac:dyDescent="0.2">
      <c r="A885" s="34"/>
      <c r="B885" s="35"/>
      <c r="C885" s="35"/>
      <c r="D885" s="35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</row>
    <row r="886" spans="1:28" ht="13.5" customHeight="1" x14ac:dyDescent="0.2">
      <c r="A886" s="34"/>
      <c r="B886" s="35"/>
      <c r="C886" s="35"/>
      <c r="D886" s="35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</row>
    <row r="887" spans="1:28" ht="13.5" customHeight="1" x14ac:dyDescent="0.2">
      <c r="A887" s="34"/>
      <c r="B887" s="35"/>
      <c r="C887" s="35"/>
      <c r="D887" s="35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</row>
    <row r="888" spans="1:28" ht="13.5" customHeight="1" x14ac:dyDescent="0.2">
      <c r="A888" s="34"/>
      <c r="B888" s="35"/>
      <c r="C888" s="35"/>
      <c r="D888" s="35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</row>
    <row r="889" spans="1:28" ht="13.5" customHeight="1" x14ac:dyDescent="0.2">
      <c r="A889" s="34"/>
      <c r="B889" s="35"/>
      <c r="C889" s="35"/>
      <c r="D889" s="35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</row>
    <row r="890" spans="1:28" ht="13.5" customHeight="1" x14ac:dyDescent="0.2">
      <c r="A890" s="34"/>
      <c r="B890" s="35"/>
      <c r="C890" s="35"/>
      <c r="D890" s="35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</row>
    <row r="891" spans="1:28" ht="13.5" customHeight="1" x14ac:dyDescent="0.2">
      <c r="A891" s="34"/>
      <c r="B891" s="35"/>
      <c r="C891" s="35"/>
      <c r="D891" s="35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</row>
    <row r="892" spans="1:28" ht="13.5" customHeight="1" x14ac:dyDescent="0.2">
      <c r="A892" s="34"/>
      <c r="B892" s="35"/>
      <c r="C892" s="35"/>
      <c r="D892" s="35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</row>
    <row r="893" spans="1:28" ht="13.5" customHeight="1" x14ac:dyDescent="0.2">
      <c r="A893" s="34"/>
      <c r="B893" s="35"/>
      <c r="C893" s="35"/>
      <c r="D893" s="35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</row>
    <row r="894" spans="1:28" ht="13.5" customHeight="1" x14ac:dyDescent="0.2">
      <c r="A894" s="34"/>
      <c r="B894" s="35"/>
      <c r="C894" s="35"/>
      <c r="D894" s="35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</row>
    <row r="895" spans="1:28" ht="13.5" customHeight="1" x14ac:dyDescent="0.2">
      <c r="A895" s="34"/>
      <c r="B895" s="35"/>
      <c r="C895" s="35"/>
      <c r="D895" s="35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</row>
    <row r="896" spans="1:28" ht="13.5" customHeight="1" x14ac:dyDescent="0.2">
      <c r="A896" s="34"/>
      <c r="B896" s="35"/>
      <c r="C896" s="35"/>
      <c r="D896" s="35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</row>
    <row r="897" spans="1:28" ht="13.5" customHeight="1" x14ac:dyDescent="0.2">
      <c r="A897" s="34"/>
      <c r="B897" s="35"/>
      <c r="C897" s="35"/>
      <c r="D897" s="35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</row>
    <row r="898" spans="1:28" ht="13.5" customHeight="1" x14ac:dyDescent="0.2">
      <c r="A898" s="34"/>
      <c r="B898" s="35"/>
      <c r="C898" s="35"/>
      <c r="D898" s="35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</row>
    <row r="899" spans="1:28" ht="13.5" customHeight="1" x14ac:dyDescent="0.2">
      <c r="A899" s="34"/>
      <c r="B899" s="35"/>
      <c r="C899" s="35"/>
      <c r="D899" s="35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</row>
    <row r="900" spans="1:28" ht="13.5" customHeight="1" x14ac:dyDescent="0.2">
      <c r="A900" s="34"/>
      <c r="B900" s="35"/>
      <c r="C900" s="35"/>
      <c r="D900" s="35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</row>
    <row r="901" spans="1:28" ht="13.5" customHeight="1" x14ac:dyDescent="0.2">
      <c r="A901" s="34"/>
      <c r="B901" s="35"/>
      <c r="C901" s="35"/>
      <c r="D901" s="35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</row>
    <row r="902" spans="1:28" ht="13.5" customHeight="1" x14ac:dyDescent="0.2">
      <c r="A902" s="34"/>
      <c r="B902" s="35"/>
      <c r="C902" s="35"/>
      <c r="D902" s="35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</row>
    <row r="903" spans="1:28" ht="13.5" customHeight="1" x14ac:dyDescent="0.2">
      <c r="A903" s="34"/>
      <c r="B903" s="35"/>
      <c r="C903" s="35"/>
      <c r="D903" s="35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</row>
    <row r="904" spans="1:28" ht="13.5" customHeight="1" x14ac:dyDescent="0.2">
      <c r="A904" s="34"/>
      <c r="B904" s="35"/>
      <c r="C904" s="35"/>
      <c r="D904" s="35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</row>
    <row r="905" spans="1:28" ht="13.5" customHeight="1" x14ac:dyDescent="0.2">
      <c r="A905" s="34"/>
      <c r="B905" s="35"/>
      <c r="C905" s="35"/>
      <c r="D905" s="35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</row>
    <row r="906" spans="1:28" ht="13.5" customHeight="1" x14ac:dyDescent="0.2">
      <c r="A906" s="34"/>
      <c r="B906" s="35"/>
      <c r="C906" s="35"/>
      <c r="D906" s="35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</row>
    <row r="907" spans="1:28" ht="13.5" customHeight="1" x14ac:dyDescent="0.2">
      <c r="A907" s="34"/>
      <c r="B907" s="35"/>
      <c r="C907" s="35"/>
      <c r="D907" s="35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</row>
    <row r="908" spans="1:28" ht="13.5" customHeight="1" x14ac:dyDescent="0.2">
      <c r="A908" s="34"/>
      <c r="B908" s="35"/>
      <c r="C908" s="35"/>
      <c r="D908" s="35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</row>
    <row r="909" spans="1:28" ht="13.5" customHeight="1" x14ac:dyDescent="0.2">
      <c r="A909" s="34"/>
      <c r="B909" s="35"/>
      <c r="C909" s="35"/>
      <c r="D909" s="35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</row>
    <row r="910" spans="1:28" ht="13.5" customHeight="1" x14ac:dyDescent="0.2">
      <c r="A910" s="34"/>
      <c r="B910" s="35"/>
      <c r="C910" s="35"/>
      <c r="D910" s="35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</row>
    <row r="911" spans="1:28" ht="13.5" customHeight="1" x14ac:dyDescent="0.2">
      <c r="A911" s="34"/>
      <c r="B911" s="35"/>
      <c r="C911" s="35"/>
      <c r="D911" s="35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</row>
    <row r="912" spans="1:28" ht="13.5" customHeight="1" x14ac:dyDescent="0.2">
      <c r="A912" s="34"/>
      <c r="B912" s="35"/>
      <c r="C912" s="35"/>
      <c r="D912" s="35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</row>
    <row r="913" spans="1:28" ht="13.5" customHeight="1" x14ac:dyDescent="0.2">
      <c r="A913" s="34"/>
      <c r="B913" s="35"/>
      <c r="C913" s="35"/>
      <c r="D913" s="35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</row>
    <row r="914" spans="1:28" ht="13.5" customHeight="1" x14ac:dyDescent="0.2">
      <c r="A914" s="34"/>
      <c r="B914" s="35"/>
      <c r="C914" s="35"/>
      <c r="D914" s="35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</row>
    <row r="915" spans="1:28" ht="13.5" customHeight="1" x14ac:dyDescent="0.2">
      <c r="A915" s="34"/>
      <c r="B915" s="35"/>
      <c r="C915" s="35"/>
      <c r="D915" s="35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</row>
    <row r="916" spans="1:28" ht="13.5" customHeight="1" x14ac:dyDescent="0.2">
      <c r="A916" s="34"/>
      <c r="B916" s="35"/>
      <c r="C916" s="35"/>
      <c r="D916" s="35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</row>
    <row r="917" spans="1:28" ht="13.5" customHeight="1" x14ac:dyDescent="0.2">
      <c r="A917" s="34"/>
      <c r="B917" s="35"/>
      <c r="C917" s="35"/>
      <c r="D917" s="35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</row>
    <row r="918" spans="1:28" ht="13.5" customHeight="1" x14ac:dyDescent="0.2">
      <c r="A918" s="34"/>
      <c r="B918" s="35"/>
      <c r="C918" s="35"/>
      <c r="D918" s="35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</row>
    <row r="919" spans="1:28" ht="13.5" customHeight="1" x14ac:dyDescent="0.2">
      <c r="A919" s="34"/>
      <c r="B919" s="35"/>
      <c r="C919" s="35"/>
      <c r="D919" s="35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</row>
    <row r="920" spans="1:28" ht="13.5" customHeight="1" x14ac:dyDescent="0.2">
      <c r="A920" s="34"/>
      <c r="B920" s="35"/>
      <c r="C920" s="35"/>
      <c r="D920" s="35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</row>
    <row r="921" spans="1:28" ht="13.5" customHeight="1" x14ac:dyDescent="0.2">
      <c r="A921" s="34"/>
      <c r="B921" s="35"/>
      <c r="C921" s="35"/>
      <c r="D921" s="35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</row>
    <row r="922" spans="1:28" ht="13.5" customHeight="1" x14ac:dyDescent="0.2">
      <c r="A922" s="34"/>
      <c r="B922" s="35"/>
      <c r="C922" s="35"/>
      <c r="D922" s="35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</row>
    <row r="923" spans="1:28" ht="13.5" customHeight="1" x14ac:dyDescent="0.2">
      <c r="A923" s="34"/>
      <c r="B923" s="35"/>
      <c r="C923" s="35"/>
      <c r="D923" s="35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</row>
    <row r="924" spans="1:28" ht="13.5" customHeight="1" x14ac:dyDescent="0.2">
      <c r="A924" s="34"/>
      <c r="B924" s="35"/>
      <c r="C924" s="35"/>
      <c r="D924" s="35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</row>
    <row r="925" spans="1:28" ht="13.5" customHeight="1" x14ac:dyDescent="0.2">
      <c r="A925" s="34"/>
      <c r="B925" s="35"/>
      <c r="C925" s="35"/>
      <c r="D925" s="35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</row>
    <row r="926" spans="1:28" ht="13.5" customHeight="1" x14ac:dyDescent="0.2">
      <c r="A926" s="34"/>
      <c r="B926" s="35"/>
      <c r="C926" s="35"/>
      <c r="D926" s="35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</row>
    <row r="927" spans="1:28" ht="13.5" customHeight="1" x14ac:dyDescent="0.2">
      <c r="A927" s="34"/>
      <c r="B927" s="35"/>
      <c r="C927" s="35"/>
      <c r="D927" s="35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</row>
    <row r="928" spans="1:28" ht="13.5" customHeight="1" x14ac:dyDescent="0.2">
      <c r="A928" s="34"/>
      <c r="B928" s="35"/>
      <c r="C928" s="35"/>
      <c r="D928" s="35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</row>
    <row r="929" spans="1:28" ht="13.5" customHeight="1" x14ac:dyDescent="0.2">
      <c r="A929" s="34"/>
      <c r="B929" s="35"/>
      <c r="C929" s="35"/>
      <c r="D929" s="35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</row>
    <row r="930" spans="1:28" ht="13.5" customHeight="1" x14ac:dyDescent="0.2">
      <c r="A930" s="34"/>
      <c r="B930" s="35"/>
      <c r="C930" s="35"/>
      <c r="D930" s="35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</row>
    <row r="931" spans="1:28" ht="13.5" customHeight="1" x14ac:dyDescent="0.2">
      <c r="A931" s="34"/>
      <c r="B931" s="35"/>
      <c r="C931" s="35"/>
      <c r="D931" s="35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</row>
    <row r="932" spans="1:28" ht="13.5" customHeight="1" x14ac:dyDescent="0.2">
      <c r="A932" s="34"/>
      <c r="B932" s="35"/>
      <c r="C932" s="35"/>
      <c r="D932" s="35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</row>
    <row r="933" spans="1:28" ht="13.5" customHeight="1" x14ac:dyDescent="0.2">
      <c r="A933" s="34"/>
      <c r="B933" s="35"/>
      <c r="C933" s="35"/>
      <c r="D933" s="35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</row>
    <row r="934" spans="1:28" ht="13.5" customHeight="1" x14ac:dyDescent="0.2">
      <c r="A934" s="34"/>
      <c r="B934" s="35"/>
      <c r="C934" s="35"/>
      <c r="D934" s="35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</row>
    <row r="935" spans="1:28" ht="13.5" customHeight="1" x14ac:dyDescent="0.2">
      <c r="A935" s="34"/>
      <c r="B935" s="35"/>
      <c r="C935" s="35"/>
      <c r="D935" s="35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</row>
    <row r="936" spans="1:28" ht="13.5" customHeight="1" x14ac:dyDescent="0.2">
      <c r="A936" s="34"/>
      <c r="B936" s="35"/>
      <c r="C936" s="35"/>
      <c r="D936" s="35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</row>
    <row r="937" spans="1:28" ht="13.5" customHeight="1" x14ac:dyDescent="0.2">
      <c r="A937" s="34"/>
      <c r="B937" s="35"/>
      <c r="C937" s="35"/>
      <c r="D937" s="35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</row>
    <row r="938" spans="1:28" ht="13.5" customHeight="1" x14ac:dyDescent="0.2">
      <c r="A938" s="34"/>
      <c r="B938" s="35"/>
      <c r="C938" s="35"/>
      <c r="D938" s="35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</row>
    <row r="939" spans="1:28" ht="13.5" customHeight="1" x14ac:dyDescent="0.2">
      <c r="A939" s="34"/>
      <c r="B939" s="35"/>
      <c r="C939" s="35"/>
      <c r="D939" s="35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</row>
    <row r="940" spans="1:28" ht="13.5" customHeight="1" x14ac:dyDescent="0.2">
      <c r="A940" s="34"/>
      <c r="B940" s="35"/>
      <c r="C940" s="35"/>
      <c r="D940" s="35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</row>
    <row r="941" spans="1:28" ht="13.5" customHeight="1" x14ac:dyDescent="0.2">
      <c r="A941" s="34"/>
      <c r="B941" s="35"/>
      <c r="C941" s="35"/>
      <c r="D941" s="35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</row>
    <row r="942" spans="1:28" ht="13.5" customHeight="1" x14ac:dyDescent="0.2">
      <c r="A942" s="34"/>
      <c r="B942" s="35"/>
      <c r="C942" s="35"/>
      <c r="D942" s="35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</row>
    <row r="943" spans="1:28" ht="13.5" customHeight="1" x14ac:dyDescent="0.2">
      <c r="A943" s="34"/>
      <c r="B943" s="35"/>
      <c r="C943" s="35"/>
      <c r="D943" s="35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</row>
    <row r="944" spans="1:28" ht="13.5" customHeight="1" x14ac:dyDescent="0.2">
      <c r="A944" s="34"/>
      <c r="B944" s="35"/>
      <c r="C944" s="35"/>
      <c r="D944" s="35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</row>
    <row r="945" spans="1:28" ht="13.5" customHeight="1" x14ac:dyDescent="0.2">
      <c r="A945" s="34"/>
      <c r="B945" s="35"/>
      <c r="C945" s="35"/>
      <c r="D945" s="35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</row>
    <row r="946" spans="1:28" ht="13.5" customHeight="1" x14ac:dyDescent="0.2">
      <c r="A946" s="34"/>
      <c r="B946" s="35"/>
      <c r="C946" s="35"/>
      <c r="D946" s="35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</row>
    <row r="947" spans="1:28" ht="13.5" customHeight="1" x14ac:dyDescent="0.2">
      <c r="A947" s="34"/>
      <c r="B947" s="35"/>
      <c r="C947" s="35"/>
      <c r="D947" s="35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</row>
    <row r="948" spans="1:28" ht="13.5" customHeight="1" x14ac:dyDescent="0.2">
      <c r="A948" s="34"/>
      <c r="B948" s="35"/>
      <c r="C948" s="35"/>
      <c r="D948" s="35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</row>
    <row r="949" spans="1:28" ht="13.5" customHeight="1" x14ac:dyDescent="0.2">
      <c r="A949" s="34"/>
      <c r="B949" s="35"/>
      <c r="C949" s="35"/>
      <c r="D949" s="35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</row>
    <row r="950" spans="1:28" ht="13.5" customHeight="1" x14ac:dyDescent="0.2">
      <c r="A950" s="34"/>
      <c r="B950" s="35"/>
      <c r="C950" s="35"/>
      <c r="D950" s="35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</row>
    <row r="951" spans="1:28" ht="13.5" customHeight="1" x14ac:dyDescent="0.2">
      <c r="A951" s="34"/>
      <c r="B951" s="35"/>
      <c r="C951" s="35"/>
      <c r="D951" s="35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</row>
    <row r="952" spans="1:28" ht="13.5" customHeight="1" x14ac:dyDescent="0.2">
      <c r="A952" s="34"/>
      <c r="B952" s="35"/>
      <c r="C952" s="35"/>
      <c r="D952" s="35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</row>
    <row r="953" spans="1:28" ht="13.5" customHeight="1" x14ac:dyDescent="0.2">
      <c r="A953" s="34"/>
      <c r="B953" s="35"/>
      <c r="C953" s="35"/>
      <c r="D953" s="35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</row>
    <row r="954" spans="1:28" ht="13.5" customHeight="1" x14ac:dyDescent="0.2">
      <c r="A954" s="34"/>
      <c r="B954" s="35"/>
      <c r="C954" s="35"/>
      <c r="D954" s="35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</row>
    <row r="955" spans="1:28" ht="13.5" customHeight="1" x14ac:dyDescent="0.2">
      <c r="A955" s="34"/>
      <c r="B955" s="35"/>
      <c r="C955" s="35"/>
      <c r="D955" s="35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</row>
    <row r="956" spans="1:28" ht="13.5" customHeight="1" x14ac:dyDescent="0.2">
      <c r="A956" s="34"/>
      <c r="B956" s="35"/>
      <c r="C956" s="35"/>
      <c r="D956" s="35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</row>
    <row r="957" spans="1:28" ht="13.5" customHeight="1" x14ac:dyDescent="0.2">
      <c r="A957" s="34"/>
      <c r="B957" s="35"/>
      <c r="C957" s="35"/>
      <c r="D957" s="35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</row>
    <row r="958" spans="1:28" ht="13.5" customHeight="1" x14ac:dyDescent="0.2">
      <c r="A958" s="34"/>
      <c r="B958" s="35"/>
      <c r="C958" s="35"/>
      <c r="D958" s="35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</row>
    <row r="959" spans="1:28" ht="13.5" customHeight="1" x14ac:dyDescent="0.2">
      <c r="A959" s="34"/>
      <c r="B959" s="35"/>
      <c r="C959" s="35"/>
      <c r="D959" s="35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</row>
    <row r="960" spans="1:28" ht="13.5" customHeight="1" x14ac:dyDescent="0.2">
      <c r="A960" s="34"/>
      <c r="B960" s="35"/>
      <c r="C960" s="35"/>
      <c r="D960" s="35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</row>
    <row r="961" spans="1:28" ht="13.5" customHeight="1" x14ac:dyDescent="0.2">
      <c r="A961" s="34"/>
      <c r="B961" s="35"/>
      <c r="C961" s="35"/>
      <c r="D961" s="35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</row>
    <row r="962" spans="1:28" ht="13.5" customHeight="1" x14ac:dyDescent="0.2">
      <c r="A962" s="34"/>
      <c r="B962" s="35"/>
      <c r="C962" s="35"/>
      <c r="D962" s="35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</row>
    <row r="963" spans="1:28" ht="13.5" customHeight="1" x14ac:dyDescent="0.2">
      <c r="A963" s="34"/>
      <c r="B963" s="35"/>
      <c r="C963" s="35"/>
      <c r="D963" s="35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</row>
    <row r="964" spans="1:28" ht="13.5" customHeight="1" x14ac:dyDescent="0.2">
      <c r="A964" s="34"/>
      <c r="B964" s="35"/>
      <c r="C964" s="35"/>
      <c r="D964" s="35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</row>
    <row r="965" spans="1:28" ht="13.5" customHeight="1" x14ac:dyDescent="0.2">
      <c r="A965" s="34"/>
      <c r="B965" s="35"/>
      <c r="C965" s="35"/>
      <c r="D965" s="35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</row>
    <row r="966" spans="1:28" ht="13.5" customHeight="1" x14ac:dyDescent="0.2">
      <c r="A966" s="34"/>
      <c r="B966" s="35"/>
      <c r="C966" s="35"/>
      <c r="D966" s="35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</row>
    <row r="967" spans="1:28" ht="13.5" customHeight="1" x14ac:dyDescent="0.2">
      <c r="A967" s="34"/>
      <c r="B967" s="35"/>
      <c r="C967" s="35"/>
      <c r="D967" s="35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</row>
    <row r="968" spans="1:28" ht="13.5" customHeight="1" x14ac:dyDescent="0.2">
      <c r="A968" s="34"/>
      <c r="B968" s="35"/>
      <c r="C968" s="35"/>
      <c r="D968" s="35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</row>
    <row r="969" spans="1:28" ht="13.5" customHeight="1" x14ac:dyDescent="0.2">
      <c r="A969" s="34"/>
      <c r="B969" s="35"/>
      <c r="C969" s="35"/>
      <c r="D969" s="35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</row>
    <row r="970" spans="1:28" ht="13.5" customHeight="1" x14ac:dyDescent="0.2">
      <c r="A970" s="34"/>
      <c r="B970" s="35"/>
      <c r="C970" s="35"/>
      <c r="D970" s="35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</row>
    <row r="971" spans="1:28" ht="13.5" customHeight="1" x14ac:dyDescent="0.2">
      <c r="A971" s="34"/>
      <c r="B971" s="35"/>
      <c r="C971" s="35"/>
      <c r="D971" s="35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</row>
    <row r="972" spans="1:28" ht="13.5" customHeight="1" x14ac:dyDescent="0.2">
      <c r="A972" s="34"/>
      <c r="B972" s="35"/>
      <c r="C972" s="35"/>
      <c r="D972" s="35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</row>
    <row r="973" spans="1:28" ht="13.5" customHeight="1" x14ac:dyDescent="0.2">
      <c r="A973" s="34"/>
      <c r="B973" s="35"/>
      <c r="C973" s="35"/>
      <c r="D973" s="35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</row>
    <row r="974" spans="1:28" ht="13.5" customHeight="1" x14ac:dyDescent="0.2">
      <c r="A974" s="34"/>
      <c r="B974" s="35"/>
      <c r="C974" s="35"/>
      <c r="D974" s="35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</row>
    <row r="975" spans="1:28" ht="13.5" customHeight="1" x14ac:dyDescent="0.2">
      <c r="A975" s="34"/>
      <c r="B975" s="35"/>
      <c r="C975" s="35"/>
      <c r="D975" s="35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</row>
    <row r="976" spans="1:28" ht="13.5" customHeight="1" x14ac:dyDescent="0.2">
      <c r="A976" s="34"/>
      <c r="B976" s="35"/>
      <c r="C976" s="35"/>
      <c r="D976" s="35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</row>
    <row r="977" spans="1:28" ht="13.5" customHeight="1" x14ac:dyDescent="0.2">
      <c r="A977" s="34"/>
      <c r="B977" s="35"/>
      <c r="C977" s="35"/>
      <c r="D977" s="35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</row>
    <row r="978" spans="1:28" ht="13.5" customHeight="1" x14ac:dyDescent="0.2">
      <c r="A978" s="34"/>
      <c r="B978" s="35"/>
      <c r="C978" s="35"/>
      <c r="D978" s="35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</row>
    <row r="979" spans="1:28" ht="13.5" customHeight="1" x14ac:dyDescent="0.2">
      <c r="A979" s="34"/>
      <c r="B979" s="35"/>
      <c r="C979" s="35"/>
      <c r="D979" s="35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</row>
    <row r="980" spans="1:28" ht="13.5" customHeight="1" x14ac:dyDescent="0.2">
      <c r="A980" s="34"/>
      <c r="B980" s="35"/>
      <c r="C980" s="35"/>
      <c r="D980" s="35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</row>
    <row r="981" spans="1:28" ht="13.5" customHeight="1" x14ac:dyDescent="0.2">
      <c r="A981" s="34"/>
      <c r="B981" s="35"/>
      <c r="C981" s="35"/>
      <c r="D981" s="35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</row>
    <row r="982" spans="1:28" ht="13.5" customHeight="1" x14ac:dyDescent="0.2">
      <c r="A982" s="34"/>
      <c r="B982" s="35"/>
      <c r="C982" s="35"/>
      <c r="D982" s="35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</row>
    <row r="983" spans="1:28" ht="13.5" customHeight="1" x14ac:dyDescent="0.2">
      <c r="A983" s="34"/>
      <c r="B983" s="35"/>
      <c r="C983" s="35"/>
      <c r="D983" s="35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</row>
    <row r="984" spans="1:28" ht="13.5" customHeight="1" x14ac:dyDescent="0.2">
      <c r="A984" s="34"/>
      <c r="B984" s="35"/>
      <c r="C984" s="35"/>
      <c r="D984" s="35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</row>
    <row r="985" spans="1:28" ht="13.5" customHeight="1" x14ac:dyDescent="0.2">
      <c r="A985" s="34"/>
      <c r="B985" s="35"/>
      <c r="C985" s="35"/>
      <c r="D985" s="35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</row>
    <row r="986" spans="1:28" ht="13.5" customHeight="1" x14ac:dyDescent="0.2">
      <c r="A986" s="34"/>
      <c r="B986" s="35"/>
      <c r="C986" s="35"/>
      <c r="D986" s="35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</row>
    <row r="987" spans="1:28" ht="13.5" customHeight="1" x14ac:dyDescent="0.2">
      <c r="A987" s="34"/>
      <c r="B987" s="35"/>
      <c r="C987" s="35"/>
      <c r="D987" s="35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</row>
    <row r="988" spans="1:28" ht="13.5" customHeight="1" x14ac:dyDescent="0.2">
      <c r="A988" s="34"/>
      <c r="B988" s="35"/>
      <c r="C988" s="35"/>
      <c r="D988" s="35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</row>
    <row r="989" spans="1:28" ht="13.5" customHeight="1" x14ac:dyDescent="0.2">
      <c r="A989" s="34"/>
      <c r="B989" s="35"/>
      <c r="C989" s="35"/>
      <c r="D989" s="35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</row>
    <row r="990" spans="1:28" ht="13.5" customHeight="1" x14ac:dyDescent="0.2">
      <c r="A990" s="34"/>
      <c r="B990" s="35"/>
      <c r="C990" s="35"/>
      <c r="D990" s="35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</row>
    <row r="991" spans="1:28" ht="13.5" customHeight="1" x14ac:dyDescent="0.2">
      <c r="A991" s="34"/>
      <c r="B991" s="35"/>
      <c r="C991" s="35"/>
      <c r="D991" s="35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</row>
    <row r="992" spans="1:28" ht="13.5" customHeight="1" x14ac:dyDescent="0.2">
      <c r="A992" s="34"/>
      <c r="B992" s="35"/>
      <c r="C992" s="35"/>
      <c r="D992" s="35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</row>
    <row r="993" spans="1:28" ht="13.5" customHeight="1" x14ac:dyDescent="0.2">
      <c r="A993" s="34"/>
      <c r="B993" s="35"/>
      <c r="C993" s="35"/>
      <c r="D993" s="35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</row>
    <row r="994" spans="1:28" ht="13.5" customHeight="1" x14ac:dyDescent="0.2">
      <c r="A994" s="34"/>
      <c r="B994" s="35"/>
      <c r="C994" s="35"/>
      <c r="D994" s="35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</row>
    <row r="995" spans="1:28" ht="13.5" customHeight="1" x14ac:dyDescent="0.2">
      <c r="A995" s="34"/>
      <c r="B995" s="35"/>
      <c r="C995" s="35"/>
      <c r="D995" s="35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</row>
    <row r="996" spans="1:28" ht="13.5" customHeight="1" x14ac:dyDescent="0.2">
      <c r="A996" s="34"/>
      <c r="B996" s="35"/>
      <c r="C996" s="35"/>
      <c r="D996" s="35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</row>
    <row r="997" spans="1:28" ht="13.5" customHeight="1" x14ac:dyDescent="0.2">
      <c r="A997" s="34"/>
      <c r="B997" s="35"/>
      <c r="C997" s="35"/>
      <c r="D997" s="35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</row>
    <row r="998" spans="1:28" ht="13.5" customHeight="1" x14ac:dyDescent="0.2">
      <c r="A998" s="34"/>
      <c r="B998" s="35"/>
      <c r="C998" s="35"/>
      <c r="D998" s="35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</row>
    <row r="999" spans="1:28" ht="13.5" customHeight="1" x14ac:dyDescent="0.2">
      <c r="A999" s="34"/>
      <c r="B999" s="35"/>
      <c r="C999" s="35"/>
      <c r="D999" s="35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</row>
    <row r="1000" spans="1:28" ht="13.5" customHeight="1" x14ac:dyDescent="0.2">
      <c r="A1000" s="34"/>
      <c r="B1000" s="35"/>
      <c r="C1000" s="35"/>
      <c r="D1000" s="35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</row>
  </sheetData>
  <pageMargins left="0.7" right="0.7" top="0.75" bottom="0.75" header="0" footer="0"/>
  <pageSetup orientation="landscape"/>
  <headerFooter>
    <oddFooter>&amp;C_x000D_&amp;1#&amp;"Arial"&amp;8&amp;K000000 Information Security Classification -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J39" sqref="J39"/>
    </sheetView>
  </sheetViews>
  <sheetFormatPr baseColWidth="10" defaultColWidth="10.140625" defaultRowHeight="15" customHeight="1" x14ac:dyDescent="0.2"/>
  <cols>
    <col min="1" max="1" width="23.5703125" bestFit="1" customWidth="1"/>
    <col min="2" max="13" width="12.42578125" customWidth="1"/>
  </cols>
  <sheetData>
    <row r="1" spans="1:13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75" customHeight="1" x14ac:dyDescent="0.2">
      <c r="A3" s="71" t="s">
        <v>23</v>
      </c>
      <c r="B3" s="72" t="s">
        <v>531</v>
      </c>
      <c r="C3" s="73" t="s">
        <v>24</v>
      </c>
      <c r="D3" s="71" t="s">
        <v>25</v>
      </c>
      <c r="E3" s="74" t="s">
        <v>7</v>
      </c>
      <c r="F3" s="75" t="s">
        <v>532</v>
      </c>
      <c r="G3" s="75" t="s">
        <v>2</v>
      </c>
      <c r="H3" s="4" t="s">
        <v>707</v>
      </c>
      <c r="I3" s="4"/>
      <c r="J3" s="4"/>
      <c r="K3" s="4"/>
      <c r="L3" s="4"/>
      <c r="M3" s="4"/>
    </row>
    <row r="4" spans="1:13" ht="15.75" customHeight="1" x14ac:dyDescent="0.2">
      <c r="A4" s="76">
        <v>43808</v>
      </c>
      <c r="B4" s="77" t="s">
        <v>533</v>
      </c>
      <c r="C4" s="78">
        <v>11591.9</v>
      </c>
      <c r="D4" s="79" t="s">
        <v>267</v>
      </c>
      <c r="E4" s="5"/>
      <c r="F4" s="80">
        <f>C4</f>
        <v>11591.9</v>
      </c>
      <c r="G4" s="80"/>
      <c r="H4" s="4"/>
      <c r="I4" s="4"/>
      <c r="J4" s="4"/>
      <c r="K4" s="4"/>
      <c r="L4" s="4"/>
      <c r="M4" s="4"/>
    </row>
    <row r="5" spans="1:13" ht="15.75" customHeight="1" x14ac:dyDescent="0.2">
      <c r="A5" s="76">
        <v>43808</v>
      </c>
      <c r="B5" s="77" t="s">
        <v>534</v>
      </c>
      <c r="C5" s="78">
        <v>1159.0899999999999</v>
      </c>
      <c r="D5" s="79" t="s">
        <v>535</v>
      </c>
      <c r="E5" s="5"/>
      <c r="F5" s="80"/>
      <c r="G5" s="80">
        <f>C5</f>
        <v>1159.0899999999999</v>
      </c>
      <c r="H5" s="4"/>
      <c r="I5" s="4"/>
      <c r="J5" s="4"/>
      <c r="K5" s="4"/>
      <c r="L5" s="4"/>
      <c r="M5" s="4"/>
    </row>
    <row r="6" spans="1:13" ht="15.75" customHeight="1" x14ac:dyDescent="0.2">
      <c r="A6" s="76">
        <v>44279</v>
      </c>
      <c r="B6" s="77" t="s">
        <v>537</v>
      </c>
      <c r="C6" s="78">
        <v>52734.55</v>
      </c>
      <c r="D6" s="79" t="s">
        <v>439</v>
      </c>
      <c r="E6" s="5"/>
      <c r="F6" s="80">
        <f>C6</f>
        <v>52734.55</v>
      </c>
      <c r="G6" s="80"/>
      <c r="H6" s="4"/>
      <c r="I6" s="4"/>
      <c r="J6" s="4"/>
      <c r="K6" s="4"/>
      <c r="L6" s="4"/>
      <c r="M6" s="4"/>
    </row>
    <row r="7" spans="1:13" ht="15.75" customHeight="1" x14ac:dyDescent="0.2">
      <c r="A7" s="76">
        <v>44279</v>
      </c>
      <c r="B7" s="77" t="s">
        <v>537</v>
      </c>
      <c r="C7" s="78">
        <v>5273.45</v>
      </c>
      <c r="D7" s="79" t="s">
        <v>538</v>
      </c>
      <c r="E7" s="5"/>
      <c r="F7" s="80"/>
      <c r="G7" s="80">
        <f>C7</f>
        <v>5273.45</v>
      </c>
      <c r="H7" s="4"/>
      <c r="I7" s="4"/>
      <c r="J7" s="4"/>
      <c r="K7" s="4"/>
      <c r="L7" s="4"/>
      <c r="M7" s="4"/>
    </row>
    <row r="8" spans="1:13" ht="15.75" customHeight="1" x14ac:dyDescent="0.2">
      <c r="A8" s="76">
        <v>44292</v>
      </c>
      <c r="B8" s="77" t="s">
        <v>539</v>
      </c>
      <c r="C8" s="163">
        <v>49775.9</v>
      </c>
      <c r="D8" s="79" t="s">
        <v>540</v>
      </c>
      <c r="E8" s="81">
        <f>C8</f>
        <v>49775.9</v>
      </c>
      <c r="F8" s="80"/>
      <c r="G8" s="80"/>
      <c r="H8" s="4"/>
      <c r="I8" s="4"/>
      <c r="J8" s="4"/>
      <c r="K8" s="4"/>
      <c r="L8" s="4"/>
      <c r="M8" s="4"/>
    </row>
    <row r="9" spans="1:13" ht="15.75" customHeight="1" x14ac:dyDescent="0.2">
      <c r="A9" s="76">
        <v>44299</v>
      </c>
      <c r="B9" s="77" t="s">
        <v>539</v>
      </c>
      <c r="C9" s="78">
        <f>C8*0.1</f>
        <v>4977.59</v>
      </c>
      <c r="D9" s="79" t="s">
        <v>541</v>
      </c>
      <c r="E9" s="5"/>
      <c r="F9" s="80"/>
      <c r="G9" s="80">
        <f>C9</f>
        <v>4977.59</v>
      </c>
      <c r="H9" s="4"/>
      <c r="I9" s="4"/>
      <c r="J9" s="4"/>
      <c r="K9" s="4"/>
      <c r="L9" s="4"/>
      <c r="M9" s="4"/>
    </row>
    <row r="10" spans="1:13" ht="15.75" customHeight="1" x14ac:dyDescent="0.2">
      <c r="A10" s="76">
        <v>44313</v>
      </c>
      <c r="B10" s="77" t="s">
        <v>542</v>
      </c>
      <c r="C10" s="78">
        <v>91289.65</v>
      </c>
      <c r="D10" s="79" t="s">
        <v>543</v>
      </c>
      <c r="E10" s="81">
        <f>C10</f>
        <v>91289.65</v>
      </c>
      <c r="F10" s="80"/>
      <c r="G10" s="80"/>
      <c r="H10" s="4"/>
      <c r="I10" s="4"/>
      <c r="J10" s="4"/>
      <c r="K10" s="4"/>
      <c r="L10" s="4"/>
      <c r="M10" s="4"/>
    </row>
    <row r="11" spans="1:13" ht="15.75" customHeight="1" x14ac:dyDescent="0.2">
      <c r="A11" s="76">
        <v>44316</v>
      </c>
      <c r="B11" s="77" t="s">
        <v>542</v>
      </c>
      <c r="C11" s="78">
        <v>9128.9599999999991</v>
      </c>
      <c r="D11" s="79" t="s">
        <v>544</v>
      </c>
      <c r="E11" s="5"/>
      <c r="F11" s="80"/>
      <c r="G11" s="80">
        <f>C11</f>
        <v>9128.9599999999991</v>
      </c>
      <c r="H11" s="4"/>
      <c r="I11" s="4"/>
      <c r="J11" s="4"/>
      <c r="K11" s="4"/>
      <c r="L11" s="4"/>
      <c r="M11" s="4"/>
    </row>
    <row r="12" spans="1:13" ht="15.75" customHeight="1" x14ac:dyDescent="0.2">
      <c r="A12" s="76">
        <v>44367</v>
      </c>
      <c r="B12" s="77" t="s">
        <v>545</v>
      </c>
      <c r="C12" s="78">
        <v>48844.23</v>
      </c>
      <c r="D12" s="79" t="s">
        <v>546</v>
      </c>
      <c r="E12" s="81">
        <f>C12</f>
        <v>48844.23</v>
      </c>
      <c r="F12" s="80"/>
      <c r="G12" s="80"/>
      <c r="H12" s="4"/>
      <c r="I12" s="4"/>
      <c r="J12" s="4"/>
      <c r="K12" s="4"/>
      <c r="L12" s="4"/>
      <c r="M12" s="4"/>
    </row>
    <row r="13" spans="1:13" ht="15.75" customHeight="1" x14ac:dyDescent="0.2">
      <c r="A13" s="76">
        <v>44368</v>
      </c>
      <c r="B13" s="77" t="s">
        <v>545</v>
      </c>
      <c r="C13" s="78">
        <f>C12*0.1</f>
        <v>4884.4230000000007</v>
      </c>
      <c r="D13" s="79" t="s">
        <v>547</v>
      </c>
      <c r="E13" s="5"/>
      <c r="F13" s="80"/>
      <c r="G13" s="80">
        <f>C13</f>
        <v>4884.4230000000007</v>
      </c>
      <c r="H13" s="4"/>
      <c r="I13" s="4"/>
      <c r="J13" s="4"/>
      <c r="K13" s="4"/>
      <c r="L13" s="4"/>
      <c r="M13" s="4"/>
    </row>
    <row r="14" spans="1:13" ht="15.75" customHeight="1" x14ac:dyDescent="0.2">
      <c r="A14" s="76">
        <v>44440</v>
      </c>
      <c r="B14" s="77" t="s">
        <v>548</v>
      </c>
      <c r="C14" s="78">
        <v>88350.27</v>
      </c>
      <c r="D14" s="79" t="s">
        <v>549</v>
      </c>
      <c r="E14" s="81">
        <f>C14</f>
        <v>88350.27</v>
      </c>
      <c r="F14" s="80"/>
      <c r="G14" s="80"/>
      <c r="H14" s="4"/>
      <c r="I14" s="4"/>
      <c r="J14" s="4"/>
      <c r="K14" s="4"/>
      <c r="L14" s="4"/>
      <c r="M14" s="4"/>
    </row>
    <row r="15" spans="1:13" ht="15.75" customHeight="1" x14ac:dyDescent="0.2">
      <c r="A15" s="76">
        <v>44441</v>
      </c>
      <c r="B15" s="77" t="s">
        <v>548</v>
      </c>
      <c r="C15" s="78">
        <f>C14*0.1</f>
        <v>8835.027</v>
      </c>
      <c r="D15" s="79" t="s">
        <v>550</v>
      </c>
      <c r="E15" s="5"/>
      <c r="F15" s="80"/>
      <c r="G15" s="80">
        <f>C15</f>
        <v>8835.027</v>
      </c>
      <c r="H15" s="4"/>
      <c r="I15" s="4"/>
      <c r="J15" s="4"/>
      <c r="K15" s="4"/>
      <c r="L15" s="4"/>
      <c r="M15" s="4"/>
    </row>
    <row r="16" spans="1:13" ht="15.75" customHeight="1" x14ac:dyDescent="0.2">
      <c r="A16" s="76">
        <v>44582</v>
      </c>
      <c r="B16" s="77" t="s">
        <v>551</v>
      </c>
      <c r="C16" s="78">
        <v>89271.54</v>
      </c>
      <c r="D16" s="79" t="s">
        <v>552</v>
      </c>
      <c r="E16" s="81">
        <f>C16</f>
        <v>89271.54</v>
      </c>
      <c r="F16" s="80"/>
      <c r="G16" s="80"/>
      <c r="H16" s="4"/>
      <c r="I16" s="4"/>
      <c r="J16" s="4"/>
      <c r="K16" s="4"/>
      <c r="L16" s="4"/>
      <c r="M16" s="4"/>
    </row>
    <row r="17" spans="1:13" ht="15.75" customHeight="1" x14ac:dyDescent="0.2">
      <c r="A17" s="76">
        <v>44582</v>
      </c>
      <c r="B17" s="77" t="s">
        <v>551</v>
      </c>
      <c r="C17" s="78">
        <v>8927.15</v>
      </c>
      <c r="D17" s="79" t="s">
        <v>553</v>
      </c>
      <c r="E17" s="5"/>
      <c r="F17" s="80"/>
      <c r="G17" s="80">
        <f>C17</f>
        <v>8927.15</v>
      </c>
      <c r="H17" s="4"/>
      <c r="I17" s="4"/>
      <c r="J17" s="4"/>
      <c r="K17" s="4"/>
      <c r="L17" s="4"/>
      <c r="M17" s="4"/>
    </row>
    <row r="18" spans="1:13" ht="15.75" customHeight="1" x14ac:dyDescent="0.2">
      <c r="A18" s="82" t="s">
        <v>554</v>
      </c>
      <c r="B18" s="77" t="s">
        <v>555</v>
      </c>
      <c r="C18" s="78">
        <v>61813.86</v>
      </c>
      <c r="D18" s="79" t="s">
        <v>556</v>
      </c>
      <c r="E18" s="81">
        <f>C18</f>
        <v>61813.86</v>
      </c>
      <c r="F18" s="80"/>
      <c r="G18" s="80"/>
      <c r="H18" s="4"/>
      <c r="I18" s="4"/>
      <c r="J18" s="4"/>
      <c r="K18" s="4"/>
      <c r="L18" s="4"/>
      <c r="M18" s="4"/>
    </row>
    <row r="19" spans="1:13" ht="15.75" customHeight="1" x14ac:dyDescent="0.2">
      <c r="A19" s="82" t="s">
        <v>554</v>
      </c>
      <c r="B19" s="77" t="s">
        <v>555</v>
      </c>
      <c r="C19" s="78">
        <v>6181.39</v>
      </c>
      <c r="D19" s="79" t="s">
        <v>557</v>
      </c>
      <c r="E19" s="5"/>
      <c r="F19" s="80"/>
      <c r="G19" s="80">
        <f>C19</f>
        <v>6181.39</v>
      </c>
      <c r="H19" s="4"/>
      <c r="I19" s="4"/>
      <c r="J19" s="4"/>
      <c r="K19" s="4"/>
      <c r="L19" s="4"/>
      <c r="M19" s="4"/>
    </row>
    <row r="20" spans="1:13" ht="15.75" customHeight="1" x14ac:dyDescent="0.2">
      <c r="A20" s="70"/>
      <c r="B20" s="77"/>
      <c r="C20" s="78"/>
      <c r="D20" s="83"/>
      <c r="E20" s="84"/>
      <c r="F20" s="85"/>
      <c r="G20" s="80"/>
      <c r="H20" s="4"/>
      <c r="I20" s="4"/>
      <c r="J20" s="4"/>
      <c r="K20" s="4"/>
      <c r="L20" s="4"/>
      <c r="M20" s="4"/>
    </row>
    <row r="21" spans="1:13" ht="15.75" customHeight="1" x14ac:dyDescent="0.2">
      <c r="A21" s="86" t="s">
        <v>0</v>
      </c>
      <c r="B21" s="87"/>
      <c r="C21" s="88">
        <f>SUM(C4:C20)</f>
        <v>543038.9800000001</v>
      </c>
      <c r="D21" s="86"/>
      <c r="E21" s="89">
        <f>SUM(E6:E20)</f>
        <v>429345.44999999995</v>
      </c>
      <c r="F21" s="90">
        <f>SUM(F4:F20)</f>
        <v>64326.450000000004</v>
      </c>
      <c r="G21" s="91">
        <f>SUBTOTAL(9,G5:G19)</f>
        <v>49367.08</v>
      </c>
      <c r="H21" s="4"/>
      <c r="I21" s="4"/>
      <c r="J21" s="4"/>
      <c r="K21" s="4"/>
      <c r="L21" s="4"/>
      <c r="M21" s="4"/>
    </row>
    <row r="22" spans="1:13" ht="15.75" customHeight="1" x14ac:dyDescent="0.2">
      <c r="A22" s="86" t="s">
        <v>2</v>
      </c>
      <c r="B22" s="87"/>
      <c r="C22" s="92">
        <f>C21/11</f>
        <v>49367.180000000008</v>
      </c>
      <c r="D22" s="93"/>
      <c r="E22" s="94"/>
      <c r="F22" s="95"/>
      <c r="G22" s="91"/>
      <c r="H22" s="4"/>
      <c r="I22" s="4"/>
      <c r="J22" s="4"/>
      <c r="K22" s="4"/>
      <c r="L22" s="4"/>
      <c r="M22" s="4"/>
    </row>
    <row r="23" spans="1:13" ht="15.75" customHeight="1" x14ac:dyDescent="0.2">
      <c r="A23" s="86" t="s">
        <v>558</v>
      </c>
      <c r="B23" s="87"/>
      <c r="C23" s="92">
        <f>C21-C22</f>
        <v>493671.8000000001</v>
      </c>
      <c r="D23" s="96"/>
      <c r="E23" s="5"/>
      <c r="F23" s="6"/>
      <c r="G23" s="6"/>
      <c r="H23" s="4"/>
      <c r="I23" s="4"/>
      <c r="J23" s="4"/>
      <c r="K23" s="4"/>
      <c r="L23" s="4"/>
      <c r="M23" s="4"/>
    </row>
    <row r="24" spans="1:13" ht="15.75" customHeight="1" x14ac:dyDescent="0.2">
      <c r="A24" s="7"/>
      <c r="B24" s="7"/>
      <c r="C24" s="7"/>
      <c r="D24" s="7"/>
      <c r="E24" s="7"/>
      <c r="F24" s="7"/>
      <c r="G24" s="7"/>
      <c r="H24" s="4"/>
      <c r="I24" s="4"/>
      <c r="J24" s="4"/>
      <c r="K24" s="4"/>
      <c r="L24" s="4"/>
      <c r="M24" s="4"/>
    </row>
    <row r="25" spans="1:13" ht="15.75" customHeight="1" x14ac:dyDescent="0.2">
      <c r="A25" s="7" t="s">
        <v>536</v>
      </c>
      <c r="B25" s="7"/>
      <c r="C25" s="7"/>
      <c r="D25" s="7"/>
      <c r="E25" s="7"/>
      <c r="F25" s="7"/>
      <c r="G25" s="7"/>
      <c r="H25" s="4"/>
      <c r="I25" s="4"/>
      <c r="J25" s="4"/>
      <c r="K25" s="4"/>
      <c r="L25" s="4"/>
      <c r="M25" s="4"/>
    </row>
    <row r="26" spans="1:13" ht="15.75" customHeight="1" x14ac:dyDescent="0.2">
      <c r="A26" s="164">
        <v>44279</v>
      </c>
      <c r="B26" s="146"/>
      <c r="C26" s="151">
        <v>14411.1</v>
      </c>
      <c r="D26" s="146"/>
      <c r="E26" s="146"/>
      <c r="F26" s="151">
        <f>C26</f>
        <v>14411.1</v>
      </c>
      <c r="G26" s="146">
        <f>F26/11</f>
        <v>1310.1000000000001</v>
      </c>
      <c r="H26" s="4"/>
      <c r="I26" s="4"/>
      <c r="J26" s="4"/>
      <c r="K26" s="4"/>
      <c r="L26" s="4"/>
      <c r="M26" s="4"/>
    </row>
    <row r="27" spans="1:13" ht="15.75" customHeight="1" x14ac:dyDescent="0.2">
      <c r="A27" s="164">
        <v>44279</v>
      </c>
      <c r="B27" s="146"/>
      <c r="C27" s="151">
        <v>1667.32</v>
      </c>
      <c r="D27" s="146"/>
      <c r="E27" s="146"/>
      <c r="F27" s="151">
        <f>C27</f>
        <v>1667.32</v>
      </c>
      <c r="G27" s="146">
        <f>F27/11</f>
        <v>151.57454545454544</v>
      </c>
      <c r="H27" s="4"/>
      <c r="I27" s="4"/>
      <c r="J27" s="4"/>
      <c r="K27" s="4"/>
      <c r="L27" s="4"/>
      <c r="M27" s="4"/>
    </row>
    <row r="28" spans="1:13" ht="15.75" customHeight="1" x14ac:dyDescent="0.2">
      <c r="A28" s="7" t="s">
        <v>559</v>
      </c>
      <c r="B28" s="7"/>
      <c r="C28" s="7"/>
      <c r="D28" s="7"/>
      <c r="E28" s="7"/>
      <c r="F28" s="7"/>
      <c r="G28" s="7"/>
      <c r="H28" s="4"/>
      <c r="I28" s="4"/>
      <c r="J28" s="4"/>
      <c r="K28" s="4"/>
      <c r="L28" s="4"/>
      <c r="M28" s="4"/>
    </row>
    <row r="29" spans="1:13" ht="15.75" customHeight="1" x14ac:dyDescent="0.2">
      <c r="A29" s="12">
        <v>44368</v>
      </c>
      <c r="B29" s="146"/>
      <c r="C29" s="146">
        <v>10767.27</v>
      </c>
      <c r="D29" s="141"/>
      <c r="E29" s="146">
        <f>C29</f>
        <v>10767.27</v>
      </c>
      <c r="F29" s="146"/>
      <c r="G29" s="146"/>
      <c r="H29" s="4"/>
      <c r="I29" s="4"/>
      <c r="J29" s="4"/>
      <c r="K29" s="4"/>
      <c r="L29" s="4"/>
      <c r="M29" s="4"/>
    </row>
    <row r="30" spans="1:13" ht="15.75" customHeight="1" x14ac:dyDescent="0.2">
      <c r="A30" s="12">
        <v>44368</v>
      </c>
      <c r="B30" s="146"/>
      <c r="C30" s="146">
        <v>1076.72</v>
      </c>
      <c r="D30" s="146"/>
      <c r="E30" s="146"/>
      <c r="F30" s="146"/>
      <c r="G30" s="146">
        <f>C30</f>
        <v>1076.72</v>
      </c>
      <c r="H30" s="4"/>
      <c r="I30" s="4"/>
      <c r="J30" s="4"/>
      <c r="K30" s="4"/>
      <c r="L30" s="4"/>
      <c r="M30" s="4"/>
    </row>
    <row r="31" spans="1:13" ht="15.75" customHeight="1" x14ac:dyDescent="0.2">
      <c r="A31" s="7"/>
      <c r="B31" s="7"/>
      <c r="C31" s="7"/>
      <c r="D31" s="7"/>
      <c r="E31" s="7"/>
      <c r="F31" s="7"/>
      <c r="G31" s="7"/>
      <c r="H31" s="4"/>
      <c r="I31" s="4"/>
      <c r="J31" s="4"/>
      <c r="K31" s="4"/>
      <c r="L31" s="4"/>
      <c r="M31" s="4"/>
    </row>
    <row r="32" spans="1:13" ht="15.75" customHeight="1" x14ac:dyDescent="0.2">
      <c r="A32" s="165" t="s">
        <v>705</v>
      </c>
      <c r="B32" s="166"/>
      <c r="C32" s="167">
        <f>C21+C26+C27+C29+C30</f>
        <v>570961.39</v>
      </c>
      <c r="D32" s="146"/>
      <c r="E32" s="146"/>
      <c r="F32" s="146"/>
      <c r="G32" s="146"/>
      <c r="H32" s="4"/>
      <c r="I32" s="4"/>
      <c r="J32" s="4"/>
      <c r="K32" s="4"/>
      <c r="L32" s="4"/>
      <c r="M32" s="4"/>
    </row>
    <row r="33" spans="1:13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5.75" customHeight="1" x14ac:dyDescent="0.2">
      <c r="A34" s="152" t="s">
        <v>706</v>
      </c>
      <c r="B34" s="152"/>
      <c r="C34" s="152"/>
      <c r="D34" s="152"/>
      <c r="E34" s="152"/>
      <c r="F34" s="152"/>
      <c r="G34" s="152"/>
      <c r="H34" s="4"/>
      <c r="I34" s="4"/>
      <c r="J34" s="4"/>
      <c r="K34" s="4"/>
      <c r="L34" s="4"/>
      <c r="M34" s="4"/>
    </row>
    <row r="35" spans="1:13" ht="15.75" customHeight="1" x14ac:dyDescent="0.2">
      <c r="A35" s="154">
        <v>44267</v>
      </c>
      <c r="B35" s="151"/>
      <c r="C35" s="146">
        <v>12500</v>
      </c>
      <c r="D35" s="141"/>
      <c r="E35" s="141">
        <f>C35</f>
        <v>12500</v>
      </c>
      <c r="F35" s="146"/>
      <c r="G35" s="146"/>
      <c r="H35" s="4"/>
      <c r="I35" s="4"/>
      <c r="J35" s="4"/>
      <c r="K35" s="4"/>
      <c r="L35" s="4"/>
      <c r="M35" s="4"/>
    </row>
    <row r="36" spans="1:13" ht="15.75" customHeight="1" x14ac:dyDescent="0.2">
      <c r="A36" s="154">
        <v>44267</v>
      </c>
      <c r="B36" s="146"/>
      <c r="C36" s="146">
        <v>1250</v>
      </c>
      <c r="D36" s="146"/>
      <c r="E36" s="141"/>
      <c r="F36" s="146"/>
      <c r="G36" s="146">
        <f>C36</f>
        <v>1250</v>
      </c>
      <c r="H36" s="4"/>
      <c r="I36" s="4"/>
      <c r="J36" s="4"/>
      <c r="K36" s="4"/>
      <c r="L36" s="4"/>
      <c r="M36" s="4"/>
    </row>
    <row r="37" spans="1:13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5.75" customHeight="1" x14ac:dyDescent="0.2">
      <c r="A39" s="76">
        <v>44251</v>
      </c>
      <c r="B39" s="77"/>
      <c r="C39" s="78">
        <v>2272.73</v>
      </c>
      <c r="D39" s="70" t="s">
        <v>560</v>
      </c>
      <c r="E39" s="5"/>
      <c r="F39" s="80">
        <f>C39</f>
        <v>2272.73</v>
      </c>
      <c r="G39" s="80"/>
      <c r="H39" s="4"/>
      <c r="I39" s="4"/>
      <c r="J39" s="4"/>
      <c r="K39" s="4"/>
      <c r="L39" s="4"/>
      <c r="M39" s="4"/>
    </row>
    <row r="40" spans="1:13" ht="15.75" customHeight="1" x14ac:dyDescent="0.2">
      <c r="A40" s="76">
        <v>44251</v>
      </c>
      <c r="B40" s="77"/>
      <c r="C40" s="78">
        <v>227.27</v>
      </c>
      <c r="D40" s="79" t="s">
        <v>561</v>
      </c>
      <c r="E40" s="5"/>
      <c r="F40" s="80"/>
      <c r="G40" s="80">
        <f>C40</f>
        <v>227.27</v>
      </c>
      <c r="H40" s="4"/>
      <c r="I40" s="4"/>
      <c r="J40" s="4"/>
      <c r="K40" s="4"/>
      <c r="L40" s="4"/>
      <c r="M40" s="4"/>
    </row>
    <row r="41" spans="1:13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spans="1:13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spans="1:13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spans="1:13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spans="1:13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spans="1:13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spans="1:13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spans="1:13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spans="1:13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spans="1:13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spans="1:13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spans="1:13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spans="1:13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spans="1:13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spans="1:13" ht="15.75" customHeight="1" x14ac:dyDescent="0.2">
      <c r="H996" s="4"/>
      <c r="I996" s="4"/>
      <c r="J996" s="4"/>
      <c r="K996" s="4"/>
      <c r="L996" s="4"/>
      <c r="M996" s="4"/>
    </row>
    <row r="997" spans="1:13" ht="15.75" customHeight="1" x14ac:dyDescent="0.2">
      <c r="H997" s="4"/>
      <c r="I997" s="4"/>
      <c r="J997" s="4"/>
      <c r="K997" s="4"/>
      <c r="L997" s="4"/>
      <c r="M997" s="4"/>
    </row>
    <row r="998" spans="1:13" ht="15.75" customHeight="1" x14ac:dyDescent="0.2">
      <c r="H998" s="4"/>
      <c r="I998" s="4"/>
      <c r="J998" s="4"/>
      <c r="K998" s="4"/>
      <c r="L998" s="4"/>
      <c r="M998" s="4"/>
    </row>
    <row r="999" spans="1:13" ht="15.75" customHeight="1" x14ac:dyDescent="0.2">
      <c r="H999" s="4"/>
      <c r="I999" s="4"/>
      <c r="J999" s="4"/>
      <c r="K999" s="4"/>
      <c r="L999" s="4"/>
      <c r="M999" s="4"/>
    </row>
    <row r="1000" spans="1:13" ht="15.75" customHeight="1" x14ac:dyDescent="0.2">
      <c r="H1000" s="4"/>
      <c r="I1000" s="4"/>
      <c r="J1000" s="4"/>
      <c r="K1000" s="4"/>
      <c r="L1000" s="4"/>
      <c r="M1000" s="4"/>
    </row>
  </sheetData>
  <pageMargins left="0.7" right="0.7" top="0.75" bottom="0.75" header="0" footer="0"/>
  <pageSetup orientation="landscape"/>
  <headerFooter>
    <oddFooter>&amp;C_x000D_&amp;1#&amp;"Arial"&amp;8&amp;K000000 Information Security Classification -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94"/>
  <sheetViews>
    <sheetView topLeftCell="B1" workbookViewId="0">
      <selection activeCell="N33" sqref="N33"/>
    </sheetView>
  </sheetViews>
  <sheetFormatPr baseColWidth="10" defaultColWidth="10.140625" defaultRowHeight="15" customHeight="1" x14ac:dyDescent="0.2"/>
  <cols>
    <col min="1" max="2" width="10.42578125" customWidth="1"/>
    <col min="3" max="3" width="34.7109375" hidden="1" customWidth="1"/>
    <col min="4" max="4" width="19.42578125" hidden="1" customWidth="1"/>
    <col min="5" max="5" width="16.42578125" hidden="1" customWidth="1"/>
    <col min="6" max="6" width="17.140625" hidden="1" customWidth="1"/>
    <col min="7" max="7" width="39.28515625" bestFit="1" customWidth="1"/>
    <col min="8" max="8" width="22.28515625" customWidth="1"/>
    <col min="9" max="10" width="19.42578125" customWidth="1"/>
    <col min="11" max="11" width="16.42578125" customWidth="1"/>
    <col min="12" max="12" width="17.140625" customWidth="1"/>
    <col min="13" max="23" width="10.42578125" customWidth="1"/>
  </cols>
  <sheetData>
    <row r="1" spans="1:12" ht="15.75" customHeight="1" x14ac:dyDescent="0.2">
      <c r="A1" s="97"/>
      <c r="D1" s="23"/>
      <c r="E1" s="23"/>
      <c r="H1" s="7"/>
      <c r="I1" s="98"/>
      <c r="J1" s="98"/>
      <c r="K1" s="98"/>
      <c r="L1" s="7"/>
    </row>
    <row r="2" spans="1:12" ht="15.75" customHeight="1" x14ac:dyDescent="0.2">
      <c r="A2" s="99">
        <v>44835</v>
      </c>
      <c r="C2" s="100" t="s">
        <v>562</v>
      </c>
      <c r="D2" s="101" t="s">
        <v>423</v>
      </c>
      <c r="E2" s="101" t="s">
        <v>563</v>
      </c>
      <c r="F2" s="101" t="s">
        <v>564</v>
      </c>
      <c r="H2" s="102" t="s">
        <v>565</v>
      </c>
      <c r="I2" s="102" t="s">
        <v>423</v>
      </c>
      <c r="J2" s="102" t="s">
        <v>686</v>
      </c>
      <c r="K2" s="102" t="s">
        <v>563</v>
      </c>
      <c r="L2" s="102" t="s">
        <v>564</v>
      </c>
    </row>
    <row r="3" spans="1:12" ht="15.75" customHeight="1" x14ac:dyDescent="0.2">
      <c r="A3" s="99">
        <v>44866</v>
      </c>
      <c r="C3" s="5" t="s">
        <v>566</v>
      </c>
      <c r="D3" s="103">
        <v>150000</v>
      </c>
      <c r="E3" s="103">
        <v>135000</v>
      </c>
      <c r="F3" s="103">
        <f t="shared" ref="F3:F4" si="0">E3-D3</f>
        <v>-15000</v>
      </c>
      <c r="G3" s="5" t="s">
        <v>566</v>
      </c>
      <c r="H3" s="104">
        <v>162000</v>
      </c>
      <c r="I3" s="104">
        <v>140000</v>
      </c>
      <c r="J3" s="104">
        <f>I3*0.25</f>
        <v>35000</v>
      </c>
      <c r="K3" s="104">
        <v>135000</v>
      </c>
      <c r="L3" s="104">
        <f>K3-I3</f>
        <v>-5000</v>
      </c>
    </row>
    <row r="4" spans="1:12" ht="15.75" customHeight="1" x14ac:dyDescent="0.2">
      <c r="A4" s="105" t="s">
        <v>567</v>
      </c>
      <c r="C4" s="5" t="s">
        <v>568</v>
      </c>
      <c r="D4" s="103">
        <v>2500</v>
      </c>
      <c r="E4" s="103">
        <v>9663</v>
      </c>
      <c r="F4" s="103">
        <f t="shared" si="0"/>
        <v>7163</v>
      </c>
      <c r="G4" s="5" t="s">
        <v>568</v>
      </c>
      <c r="H4" s="106">
        <v>2500</v>
      </c>
      <c r="I4" s="104">
        <v>2500</v>
      </c>
      <c r="J4" s="104">
        <f t="shared" ref="J4:J27" si="1">I4*0.25</f>
        <v>625</v>
      </c>
      <c r="K4" s="104">
        <v>9663</v>
      </c>
      <c r="L4" s="104">
        <f>K4-I4</f>
        <v>7163</v>
      </c>
    </row>
    <row r="5" spans="1:12" ht="15.75" customHeight="1" x14ac:dyDescent="0.2">
      <c r="A5" s="5" t="s">
        <v>569</v>
      </c>
      <c r="C5" s="5" t="s">
        <v>570</v>
      </c>
      <c r="D5" s="103">
        <v>36295</v>
      </c>
      <c r="E5" s="253">
        <v>34000</v>
      </c>
      <c r="F5" s="5"/>
      <c r="G5" s="5" t="s">
        <v>570</v>
      </c>
      <c r="H5" s="106">
        <v>36295</v>
      </c>
      <c r="I5" s="107">
        <v>36295</v>
      </c>
      <c r="J5" s="104">
        <f t="shared" si="1"/>
        <v>9073.75</v>
      </c>
      <c r="K5" s="255">
        <v>34000</v>
      </c>
      <c r="L5" s="9"/>
    </row>
    <row r="6" spans="1:12" ht="15.75" customHeight="1" x14ac:dyDescent="0.2">
      <c r="A6" s="5" t="s">
        <v>571</v>
      </c>
      <c r="C6" s="5" t="s">
        <v>572</v>
      </c>
      <c r="D6" s="103">
        <v>2101.29</v>
      </c>
      <c r="E6" s="254"/>
      <c r="F6" s="103">
        <f>E5-D5-D6</f>
        <v>-4396.29</v>
      </c>
      <c r="G6" s="5" t="s">
        <v>572</v>
      </c>
      <c r="H6" s="106">
        <v>2101.29</v>
      </c>
      <c r="I6" s="107">
        <v>2101.29</v>
      </c>
      <c r="J6" s="104">
        <f t="shared" si="1"/>
        <v>525.32249999999999</v>
      </c>
      <c r="K6" s="254"/>
      <c r="L6" s="107">
        <f>K5-I5-I6</f>
        <v>-4396.29</v>
      </c>
    </row>
    <row r="7" spans="1:12" ht="15.75" customHeight="1" x14ac:dyDescent="0.2">
      <c r="A7" s="5" t="s">
        <v>573</v>
      </c>
      <c r="C7" s="108" t="s">
        <v>574</v>
      </c>
      <c r="D7" s="109">
        <v>160000</v>
      </c>
      <c r="E7" s="109">
        <f>95000</f>
        <v>95000</v>
      </c>
      <c r="F7" s="109">
        <f t="shared" ref="F7:F12" si="2">E7-D7</f>
        <v>-65000</v>
      </c>
      <c r="G7" s="5" t="s">
        <v>574</v>
      </c>
      <c r="H7" s="110">
        <v>172000</v>
      </c>
      <c r="I7" s="111">
        <v>145000</v>
      </c>
      <c r="J7" s="104">
        <f t="shared" si="1"/>
        <v>36250</v>
      </c>
      <c r="K7" s="111">
        <f>95000</f>
        <v>95000</v>
      </c>
      <c r="L7" s="111">
        <f t="shared" ref="L7:L12" si="3">K7-I7</f>
        <v>-50000</v>
      </c>
    </row>
    <row r="8" spans="1:12" ht="15.75" customHeight="1" x14ac:dyDescent="0.2">
      <c r="A8" s="112" t="s">
        <v>575</v>
      </c>
      <c r="C8" s="108" t="s">
        <v>576</v>
      </c>
      <c r="D8" s="109">
        <v>60650</v>
      </c>
      <c r="E8" s="109">
        <v>49000</v>
      </c>
      <c r="F8" s="109">
        <f t="shared" si="2"/>
        <v>-11650</v>
      </c>
      <c r="G8" s="5" t="s">
        <v>576</v>
      </c>
      <c r="H8" s="110">
        <v>60650</v>
      </c>
      <c r="I8" s="111">
        <v>60650</v>
      </c>
      <c r="J8" s="104">
        <f t="shared" si="1"/>
        <v>15162.5</v>
      </c>
      <c r="K8" s="111">
        <v>49000</v>
      </c>
      <c r="L8" s="111">
        <f t="shared" si="3"/>
        <v>-11650</v>
      </c>
    </row>
    <row r="9" spans="1:12" ht="15.75" customHeight="1" x14ac:dyDescent="0.2">
      <c r="A9" s="113">
        <v>45047</v>
      </c>
      <c r="C9" s="5" t="s">
        <v>577</v>
      </c>
      <c r="D9" s="103">
        <v>9100</v>
      </c>
      <c r="E9" s="103">
        <v>8700</v>
      </c>
      <c r="F9" s="103">
        <f t="shared" si="2"/>
        <v>-400</v>
      </c>
      <c r="G9" s="5" t="s">
        <v>577</v>
      </c>
      <c r="H9" s="106">
        <v>9100</v>
      </c>
      <c r="I9" s="107">
        <v>9100</v>
      </c>
      <c r="J9" s="104">
        <f t="shared" si="1"/>
        <v>2275</v>
      </c>
      <c r="K9" s="107">
        <v>8700</v>
      </c>
      <c r="L9" s="107">
        <f t="shared" si="3"/>
        <v>-400</v>
      </c>
    </row>
    <row r="10" spans="1:12" ht="15.75" customHeight="1" x14ac:dyDescent="0.2">
      <c r="A10" s="114" t="s">
        <v>578</v>
      </c>
      <c r="C10" s="108" t="s">
        <v>579</v>
      </c>
      <c r="D10" s="109">
        <v>74000</v>
      </c>
      <c r="E10" s="109">
        <v>65200</v>
      </c>
      <c r="F10" s="109">
        <f t="shared" si="2"/>
        <v>-8800</v>
      </c>
      <c r="G10" s="5" t="s">
        <v>579</v>
      </c>
      <c r="H10" s="106">
        <v>74000</v>
      </c>
      <c r="I10" s="107">
        <v>64000</v>
      </c>
      <c r="J10" s="104">
        <f t="shared" si="1"/>
        <v>16000</v>
      </c>
      <c r="K10" s="107">
        <v>65200</v>
      </c>
      <c r="L10" s="107">
        <f t="shared" si="3"/>
        <v>1200</v>
      </c>
    </row>
    <row r="11" spans="1:12" ht="15.75" customHeight="1" x14ac:dyDescent="0.2">
      <c r="A11" s="114" t="s">
        <v>580</v>
      </c>
      <c r="C11" s="5" t="s">
        <v>581</v>
      </c>
      <c r="D11" s="103">
        <v>58760</v>
      </c>
      <c r="E11" s="103">
        <v>60000</v>
      </c>
      <c r="F11" s="103">
        <f t="shared" si="2"/>
        <v>1240</v>
      </c>
      <c r="G11" s="5" t="s">
        <v>581</v>
      </c>
      <c r="H11" s="106">
        <v>68760</v>
      </c>
      <c r="I11" s="107">
        <v>58760</v>
      </c>
      <c r="J11" s="104">
        <f t="shared" si="1"/>
        <v>14690</v>
      </c>
      <c r="K11" s="107">
        <v>60000</v>
      </c>
      <c r="L11" s="107">
        <f t="shared" si="3"/>
        <v>1240</v>
      </c>
    </row>
    <row r="12" spans="1:12" ht="15.75" customHeight="1" x14ac:dyDescent="0.2">
      <c r="A12" s="3" t="s">
        <v>0</v>
      </c>
      <c r="C12" s="5" t="s">
        <v>582</v>
      </c>
      <c r="D12" s="103">
        <v>41000</v>
      </c>
      <c r="E12" s="103">
        <v>36000</v>
      </c>
      <c r="F12" s="103">
        <f t="shared" si="2"/>
        <v>-5000</v>
      </c>
      <c r="G12" s="5" t="s">
        <v>582</v>
      </c>
      <c r="H12" s="115">
        <v>74000</v>
      </c>
      <c r="I12" s="116">
        <v>41000</v>
      </c>
      <c r="J12" s="104">
        <f t="shared" si="1"/>
        <v>10250</v>
      </c>
      <c r="K12" s="107">
        <v>36000</v>
      </c>
      <c r="L12" s="107">
        <f t="shared" si="3"/>
        <v>-5000</v>
      </c>
    </row>
    <row r="13" spans="1:12" ht="15.75" customHeight="1" x14ac:dyDescent="0.2">
      <c r="C13" s="5" t="s">
        <v>583</v>
      </c>
      <c r="D13" s="103">
        <v>114598.31</v>
      </c>
      <c r="E13" s="253">
        <v>136072</v>
      </c>
      <c r="F13" s="253">
        <f>E13-D13-D14</f>
        <v>4801.2300000000032</v>
      </c>
      <c r="G13" s="5" t="s">
        <v>583</v>
      </c>
      <c r="H13" s="106">
        <v>114598.31</v>
      </c>
      <c r="I13" s="107">
        <v>109598.31</v>
      </c>
      <c r="J13" s="104">
        <f t="shared" si="1"/>
        <v>27399.577499999999</v>
      </c>
      <c r="K13" s="255">
        <v>136072</v>
      </c>
      <c r="L13" s="255">
        <f>K13-I13-I14</f>
        <v>9801.2300000000032</v>
      </c>
    </row>
    <row r="14" spans="1:12" ht="15.75" customHeight="1" x14ac:dyDescent="0.2">
      <c r="C14" s="5" t="s">
        <v>584</v>
      </c>
      <c r="D14" s="103">
        <v>16672.46</v>
      </c>
      <c r="E14" s="254"/>
      <c r="F14" s="254"/>
      <c r="G14" s="5" t="s">
        <v>584</v>
      </c>
      <c r="H14" s="106">
        <v>16672.46</v>
      </c>
      <c r="I14" s="107">
        <v>16672.46</v>
      </c>
      <c r="J14" s="104">
        <f t="shared" si="1"/>
        <v>4168.1149999999998</v>
      </c>
      <c r="K14" s="254"/>
      <c r="L14" s="254"/>
    </row>
    <row r="15" spans="1:12" ht="15.75" customHeight="1" x14ac:dyDescent="0.2">
      <c r="C15" s="5" t="s">
        <v>585</v>
      </c>
      <c r="D15" s="103">
        <v>30035.5</v>
      </c>
      <c r="E15" s="253">
        <v>50385</v>
      </c>
      <c r="F15" s="253">
        <f>E15-D15-D16</f>
        <v>2950</v>
      </c>
      <c r="G15" s="5" t="s">
        <v>585</v>
      </c>
      <c r="H15" s="106">
        <v>30035.5</v>
      </c>
      <c r="I15" s="107">
        <v>30035.5</v>
      </c>
      <c r="J15" s="104">
        <f t="shared" si="1"/>
        <v>7508.875</v>
      </c>
      <c r="K15" s="255">
        <v>50385</v>
      </c>
      <c r="L15" s="255">
        <f>K15-I15-I16</f>
        <v>2950</v>
      </c>
    </row>
    <row r="16" spans="1:12" ht="15.75" customHeight="1" x14ac:dyDescent="0.2">
      <c r="C16" s="5" t="s">
        <v>586</v>
      </c>
      <c r="D16" s="103">
        <v>17399.5</v>
      </c>
      <c r="E16" s="254"/>
      <c r="F16" s="254"/>
      <c r="G16" s="5" t="s">
        <v>586</v>
      </c>
      <c r="H16" s="106">
        <v>17399.5</v>
      </c>
      <c r="I16" s="107">
        <v>17399.5</v>
      </c>
      <c r="J16" s="104">
        <f t="shared" si="1"/>
        <v>4349.875</v>
      </c>
      <c r="K16" s="254"/>
      <c r="L16" s="254"/>
    </row>
    <row r="17" spans="3:12" ht="15.75" customHeight="1" x14ac:dyDescent="0.2">
      <c r="C17" s="108" t="s">
        <v>587</v>
      </c>
      <c r="D17" s="109">
        <v>54979.33</v>
      </c>
      <c r="E17" s="109">
        <v>28760</v>
      </c>
      <c r="F17" s="109">
        <f t="shared" ref="F17:F18" si="4">E17-D17</f>
        <v>-26219.33</v>
      </c>
      <c r="G17" s="5" t="s">
        <v>587</v>
      </c>
      <c r="H17" s="110">
        <v>54979.33</v>
      </c>
      <c r="I17" s="111">
        <v>54979.33</v>
      </c>
      <c r="J17" s="104">
        <f t="shared" si="1"/>
        <v>13744.8325</v>
      </c>
      <c r="K17" s="111">
        <v>28760</v>
      </c>
      <c r="L17" s="111">
        <f>K17-I17</f>
        <v>-26219.33</v>
      </c>
    </row>
    <row r="18" spans="3:12" ht="15.75" customHeight="1" x14ac:dyDescent="0.2">
      <c r="C18" s="5" t="s">
        <v>588</v>
      </c>
      <c r="D18" s="103">
        <v>26090</v>
      </c>
      <c r="E18" s="103">
        <v>22000</v>
      </c>
      <c r="F18" s="103">
        <f t="shared" si="4"/>
        <v>-4090</v>
      </c>
      <c r="G18" s="5" t="s">
        <v>588</v>
      </c>
      <c r="H18" s="106">
        <v>42900</v>
      </c>
      <c r="I18" s="107">
        <v>26090</v>
      </c>
      <c r="J18" s="104">
        <f t="shared" si="1"/>
        <v>6522.5</v>
      </c>
      <c r="K18" s="107">
        <v>22000</v>
      </c>
      <c r="L18" s="107">
        <f>K18-I18</f>
        <v>-4090</v>
      </c>
    </row>
    <row r="19" spans="3:12" ht="15.75" customHeight="1" x14ac:dyDescent="0.2">
      <c r="C19" s="108" t="s">
        <v>589</v>
      </c>
      <c r="D19" s="109">
        <v>9313.2000000000007</v>
      </c>
      <c r="E19" s="256">
        <v>23200</v>
      </c>
      <c r="F19" s="256">
        <f>E19-D20-D19</f>
        <v>-11613.2</v>
      </c>
      <c r="G19" s="5" t="s">
        <v>589</v>
      </c>
      <c r="H19" s="106">
        <v>9313.2000000000007</v>
      </c>
      <c r="I19" s="107">
        <v>9313.2000000000007</v>
      </c>
      <c r="J19" s="104">
        <f t="shared" si="1"/>
        <v>2328.3000000000002</v>
      </c>
      <c r="K19" s="255">
        <v>23200</v>
      </c>
      <c r="L19" s="255">
        <f>K19-I20-I19</f>
        <v>-11613.2</v>
      </c>
    </row>
    <row r="20" spans="3:12" ht="15.75" customHeight="1" x14ac:dyDescent="0.2">
      <c r="C20" s="108" t="s">
        <v>590</v>
      </c>
      <c r="D20" s="109">
        <v>25500</v>
      </c>
      <c r="E20" s="254"/>
      <c r="F20" s="254"/>
      <c r="G20" s="5" t="s">
        <v>590</v>
      </c>
      <c r="H20" s="106">
        <v>25500</v>
      </c>
      <c r="I20" s="107">
        <v>25500</v>
      </c>
      <c r="J20" s="104">
        <f t="shared" si="1"/>
        <v>6375</v>
      </c>
      <c r="K20" s="254"/>
      <c r="L20" s="254"/>
    </row>
    <row r="21" spans="3:12" ht="15.75" customHeight="1" x14ac:dyDescent="0.2">
      <c r="C21" s="5" t="s">
        <v>591</v>
      </c>
      <c r="D21" s="103">
        <v>105800</v>
      </c>
      <c r="E21" s="253">
        <v>100000</v>
      </c>
      <c r="F21" s="253">
        <f>E21-D21-D22</f>
        <v>-32200</v>
      </c>
      <c r="G21" s="5" t="s">
        <v>591</v>
      </c>
      <c r="H21" s="106">
        <v>105800</v>
      </c>
      <c r="I21" s="107"/>
      <c r="J21" s="104">
        <f t="shared" si="1"/>
        <v>0</v>
      </c>
      <c r="K21" s="255">
        <v>100000</v>
      </c>
      <c r="L21" s="255">
        <f>K21-I21-I22</f>
        <v>100000</v>
      </c>
    </row>
    <row r="22" spans="3:12" ht="15.75" customHeight="1" x14ac:dyDescent="0.2">
      <c r="C22" s="5" t="s">
        <v>592</v>
      </c>
      <c r="D22" s="103">
        <v>26400</v>
      </c>
      <c r="E22" s="254"/>
      <c r="F22" s="254"/>
      <c r="G22" s="5" t="s">
        <v>592</v>
      </c>
      <c r="H22" s="106">
        <v>26400</v>
      </c>
      <c r="I22" s="107"/>
      <c r="J22" s="104">
        <f t="shared" si="1"/>
        <v>0</v>
      </c>
      <c r="K22" s="254"/>
      <c r="L22" s="254"/>
    </row>
    <row r="23" spans="3:12" ht="15.75" customHeight="1" x14ac:dyDescent="0.2">
      <c r="C23" s="5" t="s">
        <v>593</v>
      </c>
      <c r="D23" s="103">
        <v>79703</v>
      </c>
      <c r="E23" s="103">
        <v>79703</v>
      </c>
      <c r="F23" s="103">
        <f t="shared" ref="F23:F25" si="5">E23-D23</f>
        <v>0</v>
      </c>
      <c r="G23" s="5" t="s">
        <v>593</v>
      </c>
      <c r="H23" s="106">
        <v>79703</v>
      </c>
      <c r="I23" s="107">
        <v>79703</v>
      </c>
      <c r="J23" s="104">
        <f t="shared" si="1"/>
        <v>19925.75</v>
      </c>
      <c r="K23" s="107">
        <v>79703</v>
      </c>
      <c r="L23" s="107">
        <f>K23-I23</f>
        <v>0</v>
      </c>
    </row>
    <row r="24" spans="3:12" ht="15.75" customHeight="1" x14ac:dyDescent="0.2">
      <c r="C24" s="5" t="s">
        <v>594</v>
      </c>
      <c r="D24" s="103">
        <v>47905</v>
      </c>
      <c r="E24" s="103">
        <v>85000</v>
      </c>
      <c r="F24" s="103">
        <f t="shared" si="5"/>
        <v>37095</v>
      </c>
      <c r="G24" s="5" t="s">
        <v>594</v>
      </c>
      <c r="H24" s="106">
        <v>47905</v>
      </c>
      <c r="I24" s="107">
        <v>47905</v>
      </c>
      <c r="J24" s="104">
        <f t="shared" si="1"/>
        <v>11976.25</v>
      </c>
      <c r="K24" s="107">
        <v>85000</v>
      </c>
      <c r="L24" s="107">
        <f>K24-I24</f>
        <v>37095</v>
      </c>
    </row>
    <row r="25" spans="3:12" ht="15.75" customHeight="1" x14ac:dyDescent="0.2">
      <c r="C25" s="5" t="s">
        <v>595</v>
      </c>
      <c r="D25" s="103">
        <v>15069</v>
      </c>
      <c r="E25" s="103">
        <v>14696</v>
      </c>
      <c r="F25" s="103">
        <f t="shared" si="5"/>
        <v>-373</v>
      </c>
      <c r="G25" s="5" t="s">
        <v>595</v>
      </c>
      <c r="H25" s="106">
        <v>15069</v>
      </c>
      <c r="I25" s="107">
        <v>15069</v>
      </c>
      <c r="J25" s="104">
        <f t="shared" si="1"/>
        <v>3767.25</v>
      </c>
      <c r="K25" s="107">
        <v>14696</v>
      </c>
      <c r="L25" s="107">
        <f>K25-I25</f>
        <v>-373</v>
      </c>
    </row>
    <row r="26" spans="3:12" ht="15.75" customHeight="1" x14ac:dyDescent="0.2">
      <c r="C26" s="5" t="s">
        <v>289</v>
      </c>
      <c r="D26" s="103">
        <v>0</v>
      </c>
      <c r="E26" s="103">
        <v>0</v>
      </c>
      <c r="F26" s="103">
        <v>0</v>
      </c>
      <c r="G26" s="5" t="s">
        <v>289</v>
      </c>
      <c r="H26" s="115">
        <v>10890</v>
      </c>
      <c r="I26" s="116">
        <v>0</v>
      </c>
      <c r="J26" s="104">
        <f t="shared" si="1"/>
        <v>0</v>
      </c>
      <c r="K26" s="107">
        <v>0</v>
      </c>
      <c r="L26" s="107">
        <f>N29</f>
        <v>0</v>
      </c>
    </row>
    <row r="27" spans="3:12" ht="15.75" customHeight="1" x14ac:dyDescent="0.2">
      <c r="C27" s="5" t="s">
        <v>596</v>
      </c>
      <c r="D27" s="103">
        <v>0</v>
      </c>
      <c r="E27" s="103">
        <v>0</v>
      </c>
      <c r="F27" s="103">
        <v>0</v>
      </c>
      <c r="G27" s="5" t="s">
        <v>596</v>
      </c>
      <c r="H27" s="115">
        <v>55698</v>
      </c>
      <c r="I27" s="116">
        <v>0</v>
      </c>
      <c r="J27" s="104">
        <f t="shared" si="1"/>
        <v>0</v>
      </c>
      <c r="K27" s="107">
        <v>0</v>
      </c>
      <c r="L27" s="107">
        <v>0</v>
      </c>
    </row>
    <row r="28" spans="3:12" ht="15.75" customHeight="1" x14ac:dyDescent="0.2">
      <c r="C28" s="5"/>
      <c r="D28" s="103"/>
      <c r="E28" s="103"/>
      <c r="F28" s="5"/>
      <c r="G28" s="5"/>
      <c r="H28" s="106"/>
      <c r="I28" s="107"/>
      <c r="J28" s="107"/>
      <c r="K28" s="107"/>
      <c r="L28" s="9"/>
    </row>
    <row r="29" spans="3:12" ht="15.75" customHeight="1" x14ac:dyDescent="0.2">
      <c r="C29" s="3" t="s">
        <v>597</v>
      </c>
      <c r="D29" s="103"/>
      <c r="E29" s="103"/>
      <c r="F29" s="5"/>
      <c r="G29" s="3" t="s">
        <v>597</v>
      </c>
      <c r="H29" s="106"/>
      <c r="I29" s="107"/>
      <c r="J29" s="107"/>
      <c r="K29" s="107"/>
      <c r="L29" s="9"/>
    </row>
    <row r="30" spans="3:12" ht="15.75" customHeight="1" x14ac:dyDescent="0.2">
      <c r="C30" s="5" t="s">
        <v>598</v>
      </c>
      <c r="D30" s="103">
        <v>200000</v>
      </c>
      <c r="E30" s="103">
        <v>200000</v>
      </c>
      <c r="F30" s="103">
        <f t="shared" ref="F30:F32" si="6">E30-D30</f>
        <v>0</v>
      </c>
      <c r="G30" s="5" t="s">
        <v>598</v>
      </c>
      <c r="H30" s="106">
        <v>44100</v>
      </c>
      <c r="I30" s="107">
        <v>240000</v>
      </c>
      <c r="J30" s="107"/>
      <c r="K30" s="107">
        <v>200000</v>
      </c>
      <c r="L30" s="107">
        <f>K30-I30</f>
        <v>-40000</v>
      </c>
    </row>
    <row r="31" spans="3:12" ht="15.75" customHeight="1" x14ac:dyDescent="0.2">
      <c r="C31" s="5" t="s">
        <v>599</v>
      </c>
      <c r="D31" s="103">
        <v>12000</v>
      </c>
      <c r="E31" s="103">
        <v>12000</v>
      </c>
      <c r="F31" s="103">
        <f t="shared" si="6"/>
        <v>0</v>
      </c>
      <c r="G31" s="5" t="s">
        <v>599</v>
      </c>
      <c r="H31" s="106">
        <v>0</v>
      </c>
      <c r="I31" s="107">
        <v>12000</v>
      </c>
      <c r="J31" s="107"/>
      <c r="K31" s="107">
        <v>12000</v>
      </c>
      <c r="L31" s="107">
        <f>K31-I31</f>
        <v>0</v>
      </c>
    </row>
    <row r="32" spans="3:12" ht="15.75" customHeight="1" x14ac:dyDescent="0.2">
      <c r="C32" s="5" t="s">
        <v>600</v>
      </c>
      <c r="D32" s="103">
        <v>27208.5</v>
      </c>
      <c r="E32" s="103">
        <v>30000</v>
      </c>
      <c r="F32" s="103">
        <f t="shared" si="6"/>
        <v>2791.5</v>
      </c>
      <c r="G32" s="5" t="s">
        <v>600</v>
      </c>
      <c r="H32" s="106">
        <v>27208.5</v>
      </c>
      <c r="I32" s="107">
        <v>27208.5</v>
      </c>
      <c r="J32" s="107"/>
      <c r="K32" s="107">
        <v>30000</v>
      </c>
      <c r="L32" s="107">
        <f>K32-I32</f>
        <v>2791.5</v>
      </c>
    </row>
    <row r="33" spans="3:12" ht="15.75" customHeight="1" x14ac:dyDescent="0.2">
      <c r="C33" s="5"/>
      <c r="D33" s="103"/>
      <c r="E33" s="103"/>
      <c r="F33" s="5"/>
      <c r="G33" s="5" t="s">
        <v>601</v>
      </c>
      <c r="H33" s="106"/>
      <c r="I33" s="107">
        <v>101500</v>
      </c>
      <c r="J33" s="107"/>
      <c r="K33" s="107"/>
      <c r="L33" s="9"/>
    </row>
    <row r="34" spans="3:12" ht="15.75" customHeight="1" x14ac:dyDescent="0.2">
      <c r="C34" s="5"/>
      <c r="D34" s="103"/>
      <c r="E34" s="103"/>
      <c r="F34" s="5"/>
      <c r="G34" s="5" t="s">
        <v>592</v>
      </c>
      <c r="H34" s="106"/>
      <c r="I34" s="107">
        <v>24500</v>
      </c>
      <c r="J34" s="107"/>
      <c r="K34" s="107"/>
      <c r="L34" s="9"/>
    </row>
    <row r="35" spans="3:12" ht="15.75" customHeight="1" x14ac:dyDescent="0.2">
      <c r="C35" s="5"/>
      <c r="D35" s="103"/>
      <c r="E35" s="103"/>
      <c r="F35" s="5"/>
      <c r="G35" s="5"/>
      <c r="H35" s="106"/>
      <c r="I35" s="107"/>
      <c r="J35" s="107"/>
      <c r="K35" s="107"/>
      <c r="L35" s="9"/>
    </row>
    <row r="36" spans="3:12" ht="15.75" customHeight="1" x14ac:dyDescent="0.2">
      <c r="C36" s="5" t="s">
        <v>602</v>
      </c>
      <c r="D36" s="103">
        <v>1396880.09</v>
      </c>
      <c r="E36" s="103">
        <f>SUM(E3:E32)</f>
        <v>1274379</v>
      </c>
      <c r="F36" s="103">
        <f t="shared" ref="F36:F39" si="7">E36-D36</f>
        <v>-122501.09000000008</v>
      </c>
      <c r="G36" s="5" t="s">
        <v>602</v>
      </c>
      <c r="H36" s="106">
        <v>1385578.09</v>
      </c>
      <c r="I36" s="107">
        <f>SUM(I3:I34)</f>
        <v>1396880.0899999999</v>
      </c>
      <c r="J36" s="107"/>
      <c r="K36" s="107">
        <f>SUM(K3:K32)</f>
        <v>1274379</v>
      </c>
      <c r="L36" s="107">
        <f>K36-I36</f>
        <v>-122501.08999999985</v>
      </c>
    </row>
    <row r="37" spans="3:12" ht="15.75" customHeight="1" x14ac:dyDescent="0.2">
      <c r="C37" s="5" t="s">
        <v>603</v>
      </c>
      <c r="D37" s="103">
        <v>251438.42</v>
      </c>
      <c r="E37" s="103">
        <f>E36*0.2</f>
        <v>254875.80000000002</v>
      </c>
      <c r="F37" s="103">
        <f t="shared" si="7"/>
        <v>3437.3800000000047</v>
      </c>
      <c r="G37" s="5" t="s">
        <v>604</v>
      </c>
      <c r="H37" s="106">
        <v>249404.06</v>
      </c>
      <c r="I37" s="107">
        <v>251438.42</v>
      </c>
      <c r="J37" s="107"/>
      <c r="K37" s="107">
        <f>K36*0.2</f>
        <v>254875.80000000002</v>
      </c>
      <c r="L37" s="107">
        <f>K37-I37</f>
        <v>3437.3800000000047</v>
      </c>
    </row>
    <row r="38" spans="3:12" ht="15.75" customHeight="1" x14ac:dyDescent="0.2">
      <c r="C38" s="5" t="s">
        <v>2</v>
      </c>
      <c r="D38" s="103">
        <v>164831.85</v>
      </c>
      <c r="E38" s="103">
        <f>(E36+E37)*0.1</f>
        <v>152925.48000000001</v>
      </c>
      <c r="F38" s="103">
        <f t="shared" si="7"/>
        <v>-11906.369999999995</v>
      </c>
      <c r="G38" s="5" t="s">
        <v>2</v>
      </c>
      <c r="H38" s="106">
        <v>163498.21</v>
      </c>
      <c r="I38" s="107">
        <v>164831.85</v>
      </c>
      <c r="J38" s="107"/>
      <c r="K38" s="107">
        <f>(K36+K37)*0.1</f>
        <v>152925.48000000001</v>
      </c>
      <c r="L38" s="107">
        <f>K38-I38</f>
        <v>-11906.369999999995</v>
      </c>
    </row>
    <row r="39" spans="3:12" ht="15.75" customHeight="1" x14ac:dyDescent="0.2">
      <c r="C39" s="5" t="s">
        <v>0</v>
      </c>
      <c r="D39" s="103">
        <v>1813150.36</v>
      </c>
      <c r="E39" s="103">
        <f>SUM(E36:E38)</f>
        <v>1682180.28</v>
      </c>
      <c r="F39" s="103">
        <f t="shared" si="7"/>
        <v>-130970.08000000007</v>
      </c>
      <c r="G39" s="5" t="s">
        <v>0</v>
      </c>
      <c r="H39" s="106">
        <v>1798480.36</v>
      </c>
      <c r="I39" s="107">
        <f t="shared" ref="I39" si="8">SUM(I36:I38)</f>
        <v>1813150.3599999999</v>
      </c>
      <c r="J39" s="107"/>
      <c r="K39" s="107">
        <f>SUM(K36:K38)</f>
        <v>1682180.28</v>
      </c>
      <c r="L39" s="107">
        <f>K39-I39</f>
        <v>-130970.07999999984</v>
      </c>
    </row>
    <row r="40" spans="3:12" ht="15.75" customHeight="1" x14ac:dyDescent="0.2">
      <c r="D40" s="23"/>
      <c r="E40" s="23"/>
      <c r="H40" s="7"/>
      <c r="I40" s="98"/>
      <c r="J40" s="98"/>
      <c r="K40" s="98"/>
      <c r="L40" s="7"/>
    </row>
    <row r="41" spans="3:12" ht="15" customHeight="1" x14ac:dyDescent="0.2">
      <c r="D41" s="23"/>
      <c r="E41" s="23"/>
      <c r="H41" s="7"/>
      <c r="I41" s="98"/>
      <c r="J41" s="98"/>
      <c r="K41" s="98"/>
      <c r="L41" s="7"/>
    </row>
    <row r="42" spans="3:12" ht="15.75" customHeight="1" x14ac:dyDescent="0.2">
      <c r="D42" s="23"/>
      <c r="E42" s="23"/>
      <c r="H42" s="7"/>
      <c r="I42" s="98"/>
      <c r="J42" s="98"/>
      <c r="K42" s="98"/>
      <c r="L42" s="7"/>
    </row>
    <row r="43" spans="3:12" ht="15.75" customHeight="1" x14ac:dyDescent="0.2">
      <c r="D43" s="23"/>
      <c r="E43" s="23"/>
      <c r="H43" s="7"/>
      <c r="I43" s="98"/>
      <c r="J43" s="98"/>
      <c r="K43" s="98"/>
      <c r="L43" s="7"/>
    </row>
    <row r="44" spans="3:12" ht="15.75" customHeight="1" x14ac:dyDescent="0.2">
      <c r="D44" s="23"/>
      <c r="E44" s="23"/>
      <c r="H44" s="7"/>
      <c r="I44" s="98"/>
      <c r="J44" s="98"/>
      <c r="K44" s="98"/>
      <c r="L44" s="7"/>
    </row>
    <row r="45" spans="3:12" ht="15.75" customHeight="1" x14ac:dyDescent="0.2">
      <c r="D45" s="23"/>
      <c r="E45" s="23"/>
      <c r="H45" s="7"/>
      <c r="I45" s="98"/>
      <c r="J45" s="98"/>
      <c r="K45" s="98"/>
      <c r="L45" s="7"/>
    </row>
    <row r="46" spans="3:12" ht="15.75" customHeight="1" x14ac:dyDescent="0.2">
      <c r="D46" s="23"/>
      <c r="E46" s="23"/>
      <c r="H46" s="7"/>
      <c r="I46" s="98"/>
      <c r="J46" s="98"/>
      <c r="K46" s="98"/>
      <c r="L46" s="7"/>
    </row>
    <row r="47" spans="3:12" ht="15.75" customHeight="1" x14ac:dyDescent="0.2">
      <c r="D47" s="23"/>
      <c r="E47" s="23"/>
      <c r="H47" s="7"/>
      <c r="I47" s="98"/>
      <c r="J47" s="98"/>
      <c r="K47" s="98"/>
      <c r="L47" s="7"/>
    </row>
    <row r="48" spans="3:12" ht="15.75" customHeight="1" x14ac:dyDescent="0.2">
      <c r="D48" s="23"/>
      <c r="E48" s="23"/>
      <c r="H48" s="7"/>
      <c r="I48" s="98"/>
      <c r="J48" s="98"/>
      <c r="K48" s="98"/>
      <c r="L48" s="7"/>
    </row>
    <row r="49" spans="4:12" ht="15.75" customHeight="1" x14ac:dyDescent="0.2">
      <c r="D49" s="23"/>
      <c r="E49" s="23"/>
      <c r="H49" s="7"/>
      <c r="I49" s="98"/>
      <c r="J49" s="98"/>
      <c r="K49" s="98"/>
      <c r="L49" s="7"/>
    </row>
    <row r="50" spans="4:12" ht="15.75" customHeight="1" x14ac:dyDescent="0.2">
      <c r="D50" s="23"/>
      <c r="E50" s="23"/>
      <c r="H50" s="7"/>
      <c r="I50" s="98"/>
      <c r="J50" s="98"/>
      <c r="K50" s="98"/>
      <c r="L50" s="7"/>
    </row>
    <row r="51" spans="4:12" ht="15.75" customHeight="1" x14ac:dyDescent="0.2">
      <c r="D51" s="23"/>
      <c r="E51" s="23"/>
      <c r="H51" s="7"/>
      <c r="I51" s="98"/>
      <c r="J51" s="98"/>
      <c r="K51" s="98"/>
      <c r="L51" s="7"/>
    </row>
    <row r="52" spans="4:12" ht="15.75" customHeight="1" x14ac:dyDescent="0.2">
      <c r="D52" s="23"/>
      <c r="E52" s="23"/>
      <c r="H52" s="7"/>
      <c r="I52" s="98"/>
      <c r="J52" s="98"/>
      <c r="K52" s="98"/>
      <c r="L52" s="7"/>
    </row>
    <row r="53" spans="4:12" ht="15.75" customHeight="1" x14ac:dyDescent="0.2">
      <c r="D53" s="23"/>
      <c r="E53" s="23"/>
      <c r="H53" s="7"/>
      <c r="I53" s="98"/>
      <c r="J53" s="98"/>
      <c r="K53" s="98"/>
      <c r="L53" s="7"/>
    </row>
    <row r="54" spans="4:12" ht="15.75" customHeight="1" x14ac:dyDescent="0.2">
      <c r="D54" s="23"/>
      <c r="E54" s="23"/>
      <c r="H54" s="7"/>
      <c r="I54" s="98"/>
      <c r="J54" s="98"/>
      <c r="K54" s="98"/>
      <c r="L54" s="7"/>
    </row>
    <row r="55" spans="4:12" ht="15.75" customHeight="1" x14ac:dyDescent="0.2">
      <c r="D55" s="23"/>
      <c r="E55" s="23"/>
      <c r="H55" s="7"/>
      <c r="I55" s="98"/>
      <c r="J55" s="98"/>
      <c r="K55" s="98"/>
      <c r="L55" s="7"/>
    </row>
    <row r="56" spans="4:12" ht="15.75" customHeight="1" x14ac:dyDescent="0.2">
      <c r="D56" s="23"/>
      <c r="E56" s="23"/>
      <c r="H56" s="7"/>
      <c r="I56" s="98"/>
      <c r="J56" s="98"/>
      <c r="K56" s="98"/>
      <c r="L56" s="7"/>
    </row>
    <row r="57" spans="4:12" ht="15.75" customHeight="1" x14ac:dyDescent="0.2">
      <c r="D57" s="23"/>
      <c r="E57" s="23"/>
      <c r="H57" s="7"/>
      <c r="I57" s="98"/>
      <c r="J57" s="98"/>
      <c r="K57" s="98"/>
      <c r="L57" s="7"/>
    </row>
    <row r="58" spans="4:12" ht="15.75" customHeight="1" x14ac:dyDescent="0.2">
      <c r="D58" s="23"/>
      <c r="E58" s="23"/>
      <c r="H58" s="7"/>
      <c r="I58" s="98"/>
      <c r="J58" s="98"/>
      <c r="K58" s="98"/>
      <c r="L58" s="7"/>
    </row>
    <row r="59" spans="4:12" ht="15.75" customHeight="1" x14ac:dyDescent="0.2">
      <c r="D59" s="23"/>
      <c r="E59" s="23"/>
      <c r="H59" s="7"/>
      <c r="I59" s="98"/>
      <c r="J59" s="98"/>
      <c r="K59" s="98"/>
      <c r="L59" s="7"/>
    </row>
    <row r="60" spans="4:12" ht="15.75" customHeight="1" x14ac:dyDescent="0.2">
      <c r="D60" s="23"/>
      <c r="E60" s="23"/>
      <c r="H60" s="7"/>
      <c r="I60" s="98"/>
      <c r="J60" s="98"/>
      <c r="K60" s="98"/>
      <c r="L60" s="7"/>
    </row>
    <row r="61" spans="4:12" ht="15.75" customHeight="1" x14ac:dyDescent="0.2">
      <c r="D61" s="23"/>
      <c r="E61" s="23"/>
      <c r="H61" s="7"/>
      <c r="I61" s="98"/>
      <c r="J61" s="98"/>
      <c r="K61" s="98"/>
      <c r="L61" s="7"/>
    </row>
    <row r="62" spans="4:12" ht="15.75" customHeight="1" x14ac:dyDescent="0.2">
      <c r="D62" s="23"/>
      <c r="E62" s="23"/>
      <c r="H62" s="7"/>
      <c r="I62" s="98"/>
      <c r="J62" s="98"/>
      <c r="K62" s="98"/>
      <c r="L62" s="7"/>
    </row>
    <row r="63" spans="4:12" ht="15.75" customHeight="1" x14ac:dyDescent="0.2">
      <c r="D63" s="23"/>
      <c r="E63" s="23"/>
      <c r="H63" s="7"/>
      <c r="I63" s="98"/>
      <c r="J63" s="98"/>
      <c r="K63" s="98"/>
      <c r="L63" s="7"/>
    </row>
    <row r="64" spans="4:12" ht="15.75" customHeight="1" x14ac:dyDescent="0.2">
      <c r="D64" s="23"/>
      <c r="E64" s="23"/>
      <c r="H64" s="7"/>
      <c r="I64" s="98"/>
      <c r="J64" s="98"/>
      <c r="K64" s="98"/>
      <c r="L64" s="7"/>
    </row>
    <row r="65" spans="4:12" ht="15.75" customHeight="1" x14ac:dyDescent="0.2">
      <c r="D65" s="23"/>
      <c r="E65" s="23"/>
      <c r="H65" s="7"/>
      <c r="I65" s="98"/>
      <c r="J65" s="98"/>
      <c r="K65" s="98"/>
      <c r="L65" s="7"/>
    </row>
    <row r="66" spans="4:12" ht="15.75" customHeight="1" x14ac:dyDescent="0.2">
      <c r="D66" s="23"/>
      <c r="E66" s="23"/>
      <c r="H66" s="7"/>
      <c r="I66" s="98"/>
      <c r="J66" s="98"/>
      <c r="K66" s="98"/>
      <c r="L66" s="7"/>
    </row>
    <row r="67" spans="4:12" ht="15.75" customHeight="1" x14ac:dyDescent="0.2">
      <c r="D67" s="23"/>
      <c r="E67" s="23"/>
      <c r="H67" s="7"/>
      <c r="I67" s="98"/>
      <c r="J67" s="98"/>
      <c r="K67" s="98"/>
      <c r="L67" s="7"/>
    </row>
    <row r="68" spans="4:12" ht="15.75" customHeight="1" x14ac:dyDescent="0.2">
      <c r="D68" s="23"/>
      <c r="E68" s="23"/>
      <c r="H68" s="7"/>
      <c r="I68" s="98"/>
      <c r="J68" s="98"/>
      <c r="K68" s="98"/>
      <c r="L68" s="7"/>
    </row>
    <row r="69" spans="4:12" ht="15.75" customHeight="1" x14ac:dyDescent="0.2">
      <c r="D69" s="23"/>
      <c r="E69" s="23"/>
      <c r="H69" s="7"/>
      <c r="I69" s="98"/>
      <c r="J69" s="98"/>
      <c r="K69" s="98"/>
      <c r="L69" s="7"/>
    </row>
    <row r="70" spans="4:12" ht="15.75" customHeight="1" x14ac:dyDescent="0.2">
      <c r="D70" s="23"/>
      <c r="E70" s="23"/>
      <c r="H70" s="7"/>
      <c r="I70" s="98"/>
      <c r="J70" s="98"/>
      <c r="K70" s="98"/>
      <c r="L70" s="7"/>
    </row>
    <row r="71" spans="4:12" ht="15.75" customHeight="1" x14ac:dyDescent="0.2">
      <c r="D71" s="23"/>
      <c r="E71" s="23"/>
      <c r="H71" s="7"/>
      <c r="I71" s="98"/>
      <c r="J71" s="98"/>
      <c r="K71" s="98"/>
      <c r="L71" s="7"/>
    </row>
    <row r="72" spans="4:12" ht="15.75" customHeight="1" x14ac:dyDescent="0.2">
      <c r="D72" s="23"/>
      <c r="E72" s="23"/>
      <c r="H72" s="7"/>
      <c r="I72" s="98"/>
      <c r="J72" s="98"/>
      <c r="K72" s="98"/>
      <c r="L72" s="7"/>
    </row>
    <row r="73" spans="4:12" ht="15.75" customHeight="1" x14ac:dyDescent="0.2">
      <c r="D73" s="23"/>
      <c r="E73" s="23"/>
      <c r="H73" s="7"/>
      <c r="I73" s="98"/>
      <c r="J73" s="98"/>
      <c r="K73" s="98"/>
      <c r="L73" s="7"/>
    </row>
    <row r="74" spans="4:12" ht="15.75" customHeight="1" x14ac:dyDescent="0.2">
      <c r="D74" s="23"/>
      <c r="E74" s="23"/>
      <c r="H74" s="7"/>
      <c r="I74" s="98"/>
      <c r="J74" s="98"/>
      <c r="K74" s="98"/>
      <c r="L74" s="7"/>
    </row>
    <row r="75" spans="4:12" ht="15.75" customHeight="1" x14ac:dyDescent="0.2">
      <c r="D75" s="23"/>
      <c r="E75" s="23"/>
      <c r="H75" s="7"/>
      <c r="I75" s="98"/>
      <c r="J75" s="98"/>
      <c r="K75" s="98"/>
      <c r="L75" s="7"/>
    </row>
    <row r="76" spans="4:12" ht="15.75" customHeight="1" x14ac:dyDescent="0.2">
      <c r="D76" s="23"/>
      <c r="E76" s="23"/>
      <c r="H76" s="7"/>
      <c r="I76" s="98"/>
      <c r="J76" s="98"/>
      <c r="K76" s="98"/>
      <c r="L76" s="7"/>
    </row>
    <row r="77" spans="4:12" ht="15.75" customHeight="1" x14ac:dyDescent="0.2">
      <c r="D77" s="23"/>
      <c r="E77" s="23"/>
      <c r="H77" s="7"/>
      <c r="I77" s="98"/>
      <c r="J77" s="98"/>
      <c r="K77" s="98"/>
      <c r="L77" s="7"/>
    </row>
    <row r="78" spans="4:12" ht="15.75" customHeight="1" x14ac:dyDescent="0.2">
      <c r="D78" s="23"/>
      <c r="E78" s="23"/>
      <c r="H78" s="7"/>
      <c r="I78" s="98"/>
      <c r="J78" s="98"/>
      <c r="K78" s="98"/>
      <c r="L78" s="7"/>
    </row>
    <row r="79" spans="4:12" ht="15.75" customHeight="1" x14ac:dyDescent="0.2">
      <c r="D79" s="23"/>
      <c r="E79" s="23"/>
      <c r="H79" s="7"/>
      <c r="I79" s="98"/>
      <c r="J79" s="98"/>
      <c r="K79" s="98"/>
      <c r="L79" s="7"/>
    </row>
    <row r="80" spans="4:12" ht="15.75" customHeight="1" x14ac:dyDescent="0.2">
      <c r="D80" s="23"/>
      <c r="E80" s="23"/>
      <c r="H80" s="7"/>
      <c r="I80" s="98"/>
      <c r="J80" s="98"/>
      <c r="K80" s="98"/>
      <c r="L80" s="7"/>
    </row>
    <row r="81" spans="4:12" ht="15.75" customHeight="1" x14ac:dyDescent="0.2">
      <c r="D81" s="23"/>
      <c r="E81" s="23"/>
      <c r="H81" s="7"/>
      <c r="I81" s="98"/>
      <c r="J81" s="98"/>
      <c r="K81" s="98"/>
      <c r="L81" s="7"/>
    </row>
    <row r="82" spans="4:12" ht="15.75" customHeight="1" x14ac:dyDescent="0.2">
      <c r="D82" s="23"/>
      <c r="E82" s="23"/>
      <c r="H82" s="7"/>
      <c r="I82" s="98"/>
      <c r="J82" s="98"/>
      <c r="K82" s="98"/>
      <c r="L82" s="7"/>
    </row>
    <row r="83" spans="4:12" ht="15.75" customHeight="1" x14ac:dyDescent="0.2">
      <c r="D83" s="23"/>
      <c r="E83" s="23"/>
      <c r="H83" s="7"/>
      <c r="I83" s="98"/>
      <c r="J83" s="98"/>
      <c r="K83" s="98"/>
      <c r="L83" s="7"/>
    </row>
    <row r="84" spans="4:12" ht="15.75" customHeight="1" x14ac:dyDescent="0.2">
      <c r="D84" s="23"/>
      <c r="E84" s="23"/>
      <c r="H84" s="7"/>
      <c r="I84" s="98"/>
      <c r="J84" s="98"/>
      <c r="K84" s="98"/>
      <c r="L84" s="7"/>
    </row>
    <row r="85" spans="4:12" ht="15.75" customHeight="1" x14ac:dyDescent="0.2">
      <c r="D85" s="23"/>
      <c r="E85" s="23"/>
      <c r="H85" s="7"/>
      <c r="I85" s="98"/>
      <c r="J85" s="98"/>
      <c r="K85" s="98"/>
      <c r="L85" s="7"/>
    </row>
    <row r="86" spans="4:12" ht="15.75" customHeight="1" x14ac:dyDescent="0.2">
      <c r="D86" s="23"/>
      <c r="E86" s="23"/>
      <c r="H86" s="7"/>
      <c r="I86" s="98"/>
      <c r="J86" s="98"/>
      <c r="K86" s="98"/>
      <c r="L86" s="7"/>
    </row>
    <row r="87" spans="4:12" ht="15.75" customHeight="1" x14ac:dyDescent="0.2">
      <c r="D87" s="23"/>
      <c r="E87" s="23"/>
      <c r="H87" s="7"/>
      <c r="I87" s="98"/>
      <c r="J87" s="98"/>
      <c r="K87" s="98"/>
      <c r="L87" s="7"/>
    </row>
    <row r="88" spans="4:12" ht="15.75" customHeight="1" x14ac:dyDescent="0.2">
      <c r="D88" s="23"/>
      <c r="E88" s="23"/>
      <c r="H88" s="7"/>
      <c r="I88" s="98"/>
      <c r="J88" s="98"/>
      <c r="K88" s="98"/>
      <c r="L88" s="7"/>
    </row>
    <row r="89" spans="4:12" ht="15.75" customHeight="1" x14ac:dyDescent="0.2">
      <c r="D89" s="23"/>
      <c r="E89" s="23"/>
      <c r="H89" s="7"/>
      <c r="I89" s="98"/>
      <c r="J89" s="98"/>
      <c r="K89" s="98"/>
      <c r="L89" s="7"/>
    </row>
    <row r="90" spans="4:12" ht="15.75" customHeight="1" x14ac:dyDescent="0.2">
      <c r="D90" s="23"/>
      <c r="E90" s="23"/>
      <c r="H90" s="7"/>
      <c r="I90" s="98"/>
      <c r="J90" s="98"/>
      <c r="K90" s="98"/>
      <c r="L90" s="7"/>
    </row>
    <row r="91" spans="4:12" ht="15.75" customHeight="1" x14ac:dyDescent="0.2">
      <c r="D91" s="23"/>
      <c r="E91" s="23"/>
      <c r="H91" s="7"/>
      <c r="I91" s="98"/>
      <c r="J91" s="98"/>
      <c r="K91" s="98"/>
      <c r="L91" s="7"/>
    </row>
    <row r="92" spans="4:12" ht="15.75" customHeight="1" x14ac:dyDescent="0.2">
      <c r="D92" s="23"/>
      <c r="E92" s="23"/>
      <c r="H92" s="7"/>
      <c r="I92" s="98"/>
      <c r="J92" s="98"/>
      <c r="K92" s="98"/>
      <c r="L92" s="7"/>
    </row>
    <row r="93" spans="4:12" ht="15.75" customHeight="1" x14ac:dyDescent="0.2">
      <c r="D93" s="23"/>
      <c r="E93" s="23"/>
      <c r="H93" s="7"/>
      <c r="I93" s="98"/>
      <c r="J93" s="98"/>
      <c r="K93" s="98"/>
      <c r="L93" s="7"/>
    </row>
    <row r="94" spans="4:12" ht="15.75" customHeight="1" x14ac:dyDescent="0.2">
      <c r="D94" s="23"/>
      <c r="E94" s="23"/>
      <c r="H94" s="7"/>
      <c r="I94" s="98"/>
      <c r="J94" s="98"/>
      <c r="K94" s="98"/>
      <c r="L94" s="7"/>
    </row>
    <row r="95" spans="4:12" ht="15.75" customHeight="1" x14ac:dyDescent="0.2">
      <c r="D95" s="23"/>
      <c r="E95" s="23"/>
      <c r="H95" s="7"/>
      <c r="I95" s="98"/>
      <c r="J95" s="98"/>
      <c r="K95" s="98"/>
      <c r="L95" s="7"/>
    </row>
    <row r="96" spans="4:12" ht="15.75" customHeight="1" x14ac:dyDescent="0.2">
      <c r="D96" s="23"/>
      <c r="E96" s="23"/>
      <c r="H96" s="7"/>
      <c r="I96" s="98"/>
      <c r="J96" s="98"/>
      <c r="K96" s="98"/>
      <c r="L96" s="7"/>
    </row>
    <row r="97" spans="4:12" ht="15.75" customHeight="1" x14ac:dyDescent="0.2">
      <c r="D97" s="23"/>
      <c r="E97" s="23"/>
      <c r="H97" s="7"/>
      <c r="I97" s="98"/>
      <c r="J97" s="98"/>
      <c r="K97" s="98"/>
      <c r="L97" s="7"/>
    </row>
    <row r="98" spans="4:12" ht="15.75" customHeight="1" x14ac:dyDescent="0.2">
      <c r="D98" s="23"/>
      <c r="E98" s="23"/>
      <c r="H98" s="7"/>
      <c r="I98" s="98"/>
      <c r="J98" s="98"/>
      <c r="K98" s="98"/>
      <c r="L98" s="7"/>
    </row>
    <row r="99" spans="4:12" ht="15.75" customHeight="1" x14ac:dyDescent="0.2">
      <c r="D99" s="23"/>
      <c r="E99" s="23"/>
      <c r="H99" s="7"/>
      <c r="I99" s="98"/>
      <c r="J99" s="98"/>
      <c r="K99" s="98"/>
      <c r="L99" s="7"/>
    </row>
    <row r="100" spans="4:12" ht="15.75" customHeight="1" x14ac:dyDescent="0.2">
      <c r="D100" s="23"/>
      <c r="E100" s="23"/>
      <c r="H100" s="7"/>
      <c r="I100" s="98"/>
      <c r="J100" s="98"/>
      <c r="K100" s="98"/>
      <c r="L100" s="7"/>
    </row>
    <row r="101" spans="4:12" ht="15.75" customHeight="1" x14ac:dyDescent="0.2">
      <c r="D101" s="23"/>
      <c r="E101" s="23"/>
      <c r="H101" s="7"/>
      <c r="I101" s="98"/>
      <c r="J101" s="98"/>
      <c r="K101" s="98"/>
      <c r="L101" s="7"/>
    </row>
    <row r="102" spans="4:12" ht="15.75" customHeight="1" x14ac:dyDescent="0.2">
      <c r="D102" s="23"/>
      <c r="E102" s="23"/>
      <c r="H102" s="7"/>
      <c r="I102" s="98"/>
      <c r="J102" s="98"/>
      <c r="K102" s="98"/>
      <c r="L102" s="7"/>
    </row>
    <row r="103" spans="4:12" ht="15.75" customHeight="1" x14ac:dyDescent="0.2">
      <c r="D103" s="23"/>
      <c r="E103" s="23"/>
      <c r="H103" s="7"/>
      <c r="I103" s="98"/>
      <c r="J103" s="98"/>
      <c r="K103" s="98"/>
      <c r="L103" s="7"/>
    </row>
    <row r="104" spans="4:12" ht="15.75" customHeight="1" x14ac:dyDescent="0.2">
      <c r="D104" s="23"/>
      <c r="E104" s="23"/>
      <c r="H104" s="7"/>
      <c r="I104" s="98"/>
      <c r="J104" s="98"/>
      <c r="K104" s="98"/>
      <c r="L104" s="7"/>
    </row>
    <row r="105" spans="4:12" ht="15.75" customHeight="1" x14ac:dyDescent="0.2">
      <c r="D105" s="23"/>
      <c r="E105" s="23"/>
      <c r="H105" s="7"/>
      <c r="I105" s="98"/>
      <c r="J105" s="98"/>
      <c r="K105" s="98"/>
      <c r="L105" s="7"/>
    </row>
    <row r="106" spans="4:12" ht="15.75" customHeight="1" x14ac:dyDescent="0.2">
      <c r="D106" s="23"/>
      <c r="E106" s="23"/>
      <c r="H106" s="7"/>
      <c r="I106" s="98"/>
      <c r="J106" s="98"/>
      <c r="K106" s="98"/>
      <c r="L106" s="7"/>
    </row>
    <row r="107" spans="4:12" ht="15.75" customHeight="1" x14ac:dyDescent="0.2">
      <c r="D107" s="23"/>
      <c r="E107" s="23"/>
      <c r="H107" s="7"/>
      <c r="I107" s="98"/>
      <c r="J107" s="98"/>
      <c r="K107" s="98"/>
      <c r="L107" s="7"/>
    </row>
    <row r="108" spans="4:12" ht="15.75" customHeight="1" x14ac:dyDescent="0.2">
      <c r="D108" s="23"/>
      <c r="E108" s="23"/>
      <c r="H108" s="7"/>
      <c r="I108" s="98"/>
      <c r="J108" s="98"/>
      <c r="K108" s="98"/>
      <c r="L108" s="7"/>
    </row>
    <row r="109" spans="4:12" ht="15.75" customHeight="1" x14ac:dyDescent="0.2">
      <c r="D109" s="23"/>
      <c r="E109" s="23"/>
      <c r="H109" s="7"/>
      <c r="I109" s="98"/>
      <c r="J109" s="98"/>
      <c r="K109" s="98"/>
      <c r="L109" s="7"/>
    </row>
    <row r="110" spans="4:12" ht="15.75" customHeight="1" x14ac:dyDescent="0.2">
      <c r="D110" s="23"/>
      <c r="E110" s="23"/>
      <c r="H110" s="7"/>
      <c r="I110" s="98"/>
      <c r="J110" s="98"/>
      <c r="K110" s="98"/>
      <c r="L110" s="7"/>
    </row>
    <row r="111" spans="4:12" ht="15.75" customHeight="1" x14ac:dyDescent="0.2">
      <c r="D111" s="23"/>
      <c r="E111" s="23"/>
      <c r="H111" s="7"/>
      <c r="I111" s="98"/>
      <c r="J111" s="98"/>
      <c r="K111" s="98"/>
      <c r="L111" s="7"/>
    </row>
    <row r="112" spans="4:12" ht="15.75" customHeight="1" x14ac:dyDescent="0.2">
      <c r="D112" s="23"/>
      <c r="E112" s="23"/>
      <c r="H112" s="7"/>
      <c r="I112" s="98"/>
      <c r="J112" s="98"/>
      <c r="K112" s="98"/>
      <c r="L112" s="7"/>
    </row>
    <row r="113" spans="4:12" ht="15.75" customHeight="1" x14ac:dyDescent="0.2">
      <c r="D113" s="23"/>
      <c r="E113" s="23"/>
      <c r="H113" s="7"/>
      <c r="I113" s="98"/>
      <c r="J113" s="98"/>
      <c r="K113" s="98"/>
      <c r="L113" s="7"/>
    </row>
    <row r="114" spans="4:12" ht="15.75" customHeight="1" x14ac:dyDescent="0.2">
      <c r="D114" s="23"/>
      <c r="E114" s="23"/>
      <c r="H114" s="7"/>
      <c r="I114" s="98"/>
      <c r="J114" s="98"/>
      <c r="K114" s="98"/>
      <c r="L114" s="7"/>
    </row>
    <row r="115" spans="4:12" ht="15.75" customHeight="1" x14ac:dyDescent="0.2">
      <c r="D115" s="23"/>
      <c r="E115" s="23"/>
      <c r="H115" s="7"/>
      <c r="I115" s="98"/>
      <c r="J115" s="98"/>
      <c r="K115" s="98"/>
      <c r="L115" s="7"/>
    </row>
    <row r="116" spans="4:12" ht="15.75" customHeight="1" x14ac:dyDescent="0.2">
      <c r="D116" s="23"/>
      <c r="E116" s="23"/>
      <c r="H116" s="7"/>
      <c r="I116" s="98"/>
      <c r="J116" s="98"/>
      <c r="K116" s="98"/>
      <c r="L116" s="7"/>
    </row>
    <row r="117" spans="4:12" ht="15.75" customHeight="1" x14ac:dyDescent="0.2">
      <c r="D117" s="23"/>
      <c r="E117" s="23"/>
      <c r="H117" s="7"/>
      <c r="I117" s="98"/>
      <c r="J117" s="98"/>
      <c r="K117" s="98"/>
      <c r="L117" s="7"/>
    </row>
    <row r="118" spans="4:12" ht="15.75" customHeight="1" x14ac:dyDescent="0.2">
      <c r="D118" s="23"/>
      <c r="E118" s="23"/>
      <c r="H118" s="7"/>
      <c r="I118" s="98"/>
      <c r="J118" s="98"/>
      <c r="K118" s="98"/>
      <c r="L118" s="7"/>
    </row>
    <row r="119" spans="4:12" ht="15.75" customHeight="1" x14ac:dyDescent="0.2">
      <c r="D119" s="23"/>
      <c r="E119" s="23"/>
      <c r="H119" s="7"/>
      <c r="I119" s="98"/>
      <c r="J119" s="98"/>
      <c r="K119" s="98"/>
      <c r="L119" s="7"/>
    </row>
    <row r="120" spans="4:12" ht="15.75" customHeight="1" x14ac:dyDescent="0.2">
      <c r="D120" s="23"/>
      <c r="E120" s="23"/>
      <c r="H120" s="7"/>
      <c r="I120" s="98"/>
      <c r="J120" s="98"/>
      <c r="K120" s="98"/>
      <c r="L120" s="7"/>
    </row>
    <row r="121" spans="4:12" ht="15.75" customHeight="1" x14ac:dyDescent="0.2">
      <c r="D121" s="23"/>
      <c r="E121" s="23"/>
      <c r="H121" s="7"/>
      <c r="I121" s="98"/>
      <c r="J121" s="98"/>
      <c r="K121" s="98"/>
      <c r="L121" s="7"/>
    </row>
    <row r="122" spans="4:12" ht="15.75" customHeight="1" x14ac:dyDescent="0.2">
      <c r="D122" s="23"/>
      <c r="E122" s="23"/>
      <c r="H122" s="7"/>
      <c r="I122" s="98"/>
      <c r="J122" s="98"/>
      <c r="K122" s="98"/>
      <c r="L122" s="7"/>
    </row>
    <row r="123" spans="4:12" ht="15.75" customHeight="1" x14ac:dyDescent="0.2">
      <c r="D123" s="23"/>
      <c r="E123" s="23"/>
      <c r="H123" s="7"/>
      <c r="I123" s="98"/>
      <c r="J123" s="98"/>
      <c r="K123" s="98"/>
      <c r="L123" s="7"/>
    </row>
    <row r="124" spans="4:12" ht="15.75" customHeight="1" x14ac:dyDescent="0.2">
      <c r="D124" s="23"/>
      <c r="E124" s="23"/>
      <c r="H124" s="7"/>
      <c r="I124" s="98"/>
      <c r="J124" s="98"/>
      <c r="K124" s="98"/>
      <c r="L124" s="7"/>
    </row>
    <row r="125" spans="4:12" ht="15.75" customHeight="1" x14ac:dyDescent="0.2">
      <c r="D125" s="23"/>
      <c r="E125" s="23"/>
      <c r="H125" s="7"/>
      <c r="I125" s="98"/>
      <c r="J125" s="98"/>
      <c r="K125" s="98"/>
      <c r="L125" s="7"/>
    </row>
    <row r="126" spans="4:12" ht="15.75" customHeight="1" x14ac:dyDescent="0.2">
      <c r="D126" s="23"/>
      <c r="E126" s="23"/>
      <c r="H126" s="7"/>
      <c r="I126" s="98"/>
      <c r="J126" s="98"/>
      <c r="K126" s="98"/>
      <c r="L126" s="7"/>
    </row>
    <row r="127" spans="4:12" ht="15.75" customHeight="1" x14ac:dyDescent="0.2">
      <c r="D127" s="23"/>
      <c r="E127" s="23"/>
      <c r="H127" s="7"/>
      <c r="I127" s="98"/>
      <c r="J127" s="98"/>
      <c r="K127" s="98"/>
      <c r="L127" s="7"/>
    </row>
    <row r="128" spans="4:12" ht="15.75" customHeight="1" x14ac:dyDescent="0.2">
      <c r="D128" s="23"/>
      <c r="E128" s="23"/>
      <c r="H128" s="7"/>
      <c r="I128" s="98"/>
      <c r="J128" s="98"/>
      <c r="K128" s="98"/>
      <c r="L128" s="7"/>
    </row>
    <row r="129" spans="4:12" ht="15.75" customHeight="1" x14ac:dyDescent="0.2">
      <c r="D129" s="23"/>
      <c r="E129" s="23"/>
      <c r="H129" s="7"/>
      <c r="I129" s="98"/>
      <c r="J129" s="98"/>
      <c r="K129" s="98"/>
      <c r="L129" s="7"/>
    </row>
    <row r="130" spans="4:12" ht="15.75" customHeight="1" x14ac:dyDescent="0.2">
      <c r="D130" s="23"/>
      <c r="E130" s="23"/>
      <c r="H130" s="7"/>
      <c r="I130" s="98"/>
      <c r="J130" s="98"/>
      <c r="K130" s="98"/>
      <c r="L130" s="7"/>
    </row>
    <row r="131" spans="4:12" ht="15.75" customHeight="1" x14ac:dyDescent="0.2">
      <c r="D131" s="23"/>
      <c r="E131" s="23"/>
      <c r="H131" s="7"/>
      <c r="I131" s="98"/>
      <c r="J131" s="98"/>
      <c r="K131" s="98"/>
      <c r="L131" s="7"/>
    </row>
    <row r="132" spans="4:12" ht="15.75" customHeight="1" x14ac:dyDescent="0.2">
      <c r="D132" s="23"/>
      <c r="E132" s="23"/>
      <c r="H132" s="7"/>
      <c r="I132" s="98"/>
      <c r="J132" s="98"/>
      <c r="K132" s="98"/>
      <c r="L132" s="7"/>
    </row>
    <row r="133" spans="4:12" ht="15.75" customHeight="1" x14ac:dyDescent="0.2">
      <c r="D133" s="23"/>
      <c r="E133" s="23"/>
      <c r="H133" s="7"/>
      <c r="I133" s="98"/>
      <c r="J133" s="98"/>
      <c r="K133" s="98"/>
      <c r="L133" s="7"/>
    </row>
    <row r="134" spans="4:12" ht="15.75" customHeight="1" x14ac:dyDescent="0.2">
      <c r="D134" s="23"/>
      <c r="E134" s="23"/>
      <c r="H134" s="7"/>
      <c r="I134" s="98"/>
      <c r="J134" s="98"/>
      <c r="K134" s="98"/>
      <c r="L134" s="7"/>
    </row>
    <row r="135" spans="4:12" ht="15.75" customHeight="1" x14ac:dyDescent="0.2">
      <c r="D135" s="23"/>
      <c r="E135" s="23"/>
      <c r="H135" s="7"/>
      <c r="I135" s="98"/>
      <c r="J135" s="98"/>
      <c r="K135" s="98"/>
      <c r="L135" s="7"/>
    </row>
    <row r="136" spans="4:12" ht="15.75" customHeight="1" x14ac:dyDescent="0.2">
      <c r="D136" s="23"/>
      <c r="E136" s="23"/>
      <c r="H136" s="7"/>
      <c r="I136" s="98"/>
      <c r="J136" s="98"/>
      <c r="K136" s="98"/>
      <c r="L136" s="7"/>
    </row>
    <row r="137" spans="4:12" ht="15.75" customHeight="1" x14ac:dyDescent="0.2">
      <c r="D137" s="23"/>
      <c r="E137" s="23"/>
      <c r="H137" s="7"/>
      <c r="I137" s="98"/>
      <c r="J137" s="98"/>
      <c r="K137" s="98"/>
      <c r="L137" s="7"/>
    </row>
    <row r="138" spans="4:12" ht="15.75" customHeight="1" x14ac:dyDescent="0.2">
      <c r="D138" s="23"/>
      <c r="E138" s="23"/>
      <c r="H138" s="7"/>
      <c r="I138" s="98"/>
      <c r="J138" s="98"/>
      <c r="K138" s="98"/>
      <c r="L138" s="7"/>
    </row>
    <row r="139" spans="4:12" ht="15.75" customHeight="1" x14ac:dyDescent="0.2">
      <c r="D139" s="23"/>
      <c r="E139" s="23"/>
      <c r="H139" s="7"/>
      <c r="I139" s="98"/>
      <c r="J139" s="98"/>
      <c r="K139" s="98"/>
      <c r="L139" s="7"/>
    </row>
    <row r="140" spans="4:12" ht="15.75" customHeight="1" x14ac:dyDescent="0.2">
      <c r="D140" s="23"/>
      <c r="E140" s="23"/>
      <c r="H140" s="7"/>
      <c r="I140" s="98"/>
      <c r="J140" s="98"/>
      <c r="K140" s="98"/>
      <c r="L140" s="7"/>
    </row>
    <row r="141" spans="4:12" ht="15.75" customHeight="1" x14ac:dyDescent="0.2">
      <c r="D141" s="23"/>
      <c r="E141" s="23"/>
      <c r="H141" s="7"/>
      <c r="I141" s="98"/>
      <c r="J141" s="98"/>
      <c r="K141" s="98"/>
      <c r="L141" s="7"/>
    </row>
    <row r="142" spans="4:12" ht="15.75" customHeight="1" x14ac:dyDescent="0.2">
      <c r="D142" s="23"/>
      <c r="E142" s="23"/>
      <c r="H142" s="7"/>
      <c r="I142" s="98"/>
      <c r="J142" s="98"/>
      <c r="K142" s="98"/>
      <c r="L142" s="7"/>
    </row>
    <row r="143" spans="4:12" ht="15.75" customHeight="1" x14ac:dyDescent="0.2">
      <c r="D143" s="23"/>
      <c r="E143" s="23"/>
      <c r="H143" s="7"/>
      <c r="I143" s="98"/>
      <c r="J143" s="98"/>
      <c r="K143" s="98"/>
      <c r="L143" s="7"/>
    </row>
    <row r="144" spans="4:12" ht="15.75" customHeight="1" x14ac:dyDescent="0.2">
      <c r="D144" s="23"/>
      <c r="E144" s="23"/>
      <c r="H144" s="7"/>
      <c r="I144" s="98"/>
      <c r="J144" s="98"/>
      <c r="K144" s="98"/>
      <c r="L144" s="7"/>
    </row>
    <row r="145" spans="4:12" ht="15.75" customHeight="1" x14ac:dyDescent="0.2">
      <c r="D145" s="23"/>
      <c r="E145" s="23"/>
      <c r="H145" s="7"/>
      <c r="I145" s="98"/>
      <c r="J145" s="98"/>
      <c r="K145" s="98"/>
      <c r="L145" s="7"/>
    </row>
    <row r="146" spans="4:12" ht="15.75" customHeight="1" x14ac:dyDescent="0.2">
      <c r="D146" s="23"/>
      <c r="E146" s="23"/>
      <c r="H146" s="7"/>
      <c r="I146" s="98"/>
      <c r="J146" s="98"/>
      <c r="K146" s="98"/>
      <c r="L146" s="7"/>
    </row>
    <row r="147" spans="4:12" ht="15.75" customHeight="1" x14ac:dyDescent="0.2">
      <c r="D147" s="23"/>
      <c r="E147" s="23"/>
      <c r="H147" s="7"/>
      <c r="I147" s="98"/>
      <c r="J147" s="98"/>
      <c r="K147" s="98"/>
      <c r="L147" s="7"/>
    </row>
    <row r="148" spans="4:12" ht="15.75" customHeight="1" x14ac:dyDescent="0.2">
      <c r="D148" s="23"/>
      <c r="E148" s="23"/>
      <c r="H148" s="7"/>
      <c r="I148" s="98"/>
      <c r="J148" s="98"/>
      <c r="K148" s="98"/>
      <c r="L148" s="7"/>
    </row>
    <row r="149" spans="4:12" ht="15.75" customHeight="1" x14ac:dyDescent="0.2">
      <c r="D149" s="23"/>
      <c r="E149" s="23"/>
      <c r="H149" s="7"/>
      <c r="I149" s="98"/>
      <c r="J149" s="98"/>
      <c r="K149" s="98"/>
      <c r="L149" s="7"/>
    </row>
    <row r="150" spans="4:12" ht="15.75" customHeight="1" x14ac:dyDescent="0.2">
      <c r="D150" s="23"/>
      <c r="E150" s="23"/>
      <c r="H150" s="7"/>
      <c r="I150" s="98"/>
      <c r="J150" s="98"/>
      <c r="K150" s="98"/>
      <c r="L150" s="7"/>
    </row>
    <row r="151" spans="4:12" ht="15.75" customHeight="1" x14ac:dyDescent="0.2">
      <c r="D151" s="23"/>
      <c r="E151" s="23"/>
      <c r="H151" s="7"/>
      <c r="I151" s="98"/>
      <c r="J151" s="98"/>
      <c r="K151" s="98"/>
      <c r="L151" s="7"/>
    </row>
    <row r="152" spans="4:12" ht="15.75" customHeight="1" x14ac:dyDescent="0.2">
      <c r="D152" s="23"/>
      <c r="E152" s="23"/>
      <c r="H152" s="7"/>
      <c r="I152" s="98"/>
      <c r="J152" s="98"/>
      <c r="K152" s="98"/>
      <c r="L152" s="7"/>
    </row>
    <row r="153" spans="4:12" ht="15.75" customHeight="1" x14ac:dyDescent="0.2">
      <c r="D153" s="23"/>
      <c r="E153" s="23"/>
      <c r="H153" s="7"/>
      <c r="I153" s="98"/>
      <c r="J153" s="98"/>
      <c r="K153" s="98"/>
      <c r="L153" s="7"/>
    </row>
    <row r="154" spans="4:12" ht="15.75" customHeight="1" x14ac:dyDescent="0.2">
      <c r="D154" s="23"/>
      <c r="E154" s="23"/>
      <c r="H154" s="7"/>
      <c r="I154" s="98"/>
      <c r="J154" s="98"/>
      <c r="K154" s="98"/>
      <c r="L154" s="7"/>
    </row>
    <row r="155" spans="4:12" ht="15.75" customHeight="1" x14ac:dyDescent="0.2">
      <c r="D155" s="23"/>
      <c r="E155" s="23"/>
      <c r="H155" s="7"/>
      <c r="I155" s="98"/>
      <c r="J155" s="98"/>
      <c r="K155" s="98"/>
      <c r="L155" s="7"/>
    </row>
    <row r="156" spans="4:12" ht="15.75" customHeight="1" x14ac:dyDescent="0.2">
      <c r="D156" s="23"/>
      <c r="E156" s="23"/>
      <c r="H156" s="7"/>
      <c r="I156" s="98"/>
      <c r="J156" s="98"/>
      <c r="K156" s="98"/>
      <c r="L156" s="7"/>
    </row>
    <row r="157" spans="4:12" ht="15.75" customHeight="1" x14ac:dyDescent="0.2">
      <c r="D157" s="23"/>
      <c r="E157" s="23"/>
      <c r="H157" s="7"/>
      <c r="I157" s="98"/>
      <c r="J157" s="98"/>
      <c r="K157" s="98"/>
      <c r="L157" s="7"/>
    </row>
    <row r="158" spans="4:12" ht="15.75" customHeight="1" x14ac:dyDescent="0.2">
      <c r="D158" s="23"/>
      <c r="E158" s="23"/>
      <c r="H158" s="7"/>
      <c r="I158" s="98"/>
      <c r="J158" s="98"/>
      <c r="K158" s="98"/>
      <c r="L158" s="7"/>
    </row>
    <row r="159" spans="4:12" ht="15.75" customHeight="1" x14ac:dyDescent="0.2">
      <c r="D159" s="23"/>
      <c r="E159" s="23"/>
      <c r="H159" s="7"/>
      <c r="I159" s="98"/>
      <c r="J159" s="98"/>
      <c r="K159" s="98"/>
      <c r="L159" s="7"/>
    </row>
    <row r="160" spans="4:12" ht="15.75" customHeight="1" x14ac:dyDescent="0.2">
      <c r="D160" s="23"/>
      <c r="E160" s="23"/>
      <c r="H160" s="7"/>
      <c r="I160" s="98"/>
      <c r="J160" s="98"/>
      <c r="K160" s="98"/>
      <c r="L160" s="7"/>
    </row>
    <row r="161" spans="4:12" ht="15.75" customHeight="1" x14ac:dyDescent="0.2">
      <c r="D161" s="23"/>
      <c r="E161" s="23"/>
      <c r="H161" s="7"/>
      <c r="I161" s="98"/>
      <c r="J161" s="98"/>
      <c r="K161" s="98"/>
      <c r="L161" s="7"/>
    </row>
    <row r="162" spans="4:12" ht="15.75" customHeight="1" x14ac:dyDescent="0.2">
      <c r="D162" s="23"/>
      <c r="E162" s="23"/>
      <c r="H162" s="7"/>
      <c r="I162" s="98"/>
      <c r="J162" s="98"/>
      <c r="K162" s="98"/>
      <c r="L162" s="7"/>
    </row>
    <row r="163" spans="4:12" ht="15.75" customHeight="1" x14ac:dyDescent="0.2">
      <c r="D163" s="23"/>
      <c r="E163" s="23"/>
      <c r="H163" s="7"/>
      <c r="I163" s="98"/>
      <c r="J163" s="98"/>
      <c r="K163" s="98"/>
      <c r="L163" s="7"/>
    </row>
    <row r="164" spans="4:12" ht="15.75" customHeight="1" x14ac:dyDescent="0.2">
      <c r="D164" s="23"/>
      <c r="E164" s="23"/>
      <c r="H164" s="7"/>
      <c r="I164" s="98"/>
      <c r="J164" s="98"/>
      <c r="K164" s="98"/>
      <c r="L164" s="7"/>
    </row>
    <row r="165" spans="4:12" ht="15.75" customHeight="1" x14ac:dyDescent="0.2">
      <c r="D165" s="23"/>
      <c r="E165" s="23"/>
      <c r="H165" s="7"/>
      <c r="I165" s="98"/>
      <c r="J165" s="98"/>
      <c r="K165" s="98"/>
      <c r="L165" s="7"/>
    </row>
    <row r="166" spans="4:12" ht="15.75" customHeight="1" x14ac:dyDescent="0.2">
      <c r="D166" s="23"/>
      <c r="E166" s="23"/>
      <c r="H166" s="7"/>
      <c r="I166" s="98"/>
      <c r="J166" s="98"/>
      <c r="K166" s="98"/>
      <c r="L166" s="7"/>
    </row>
    <row r="167" spans="4:12" ht="15.75" customHeight="1" x14ac:dyDescent="0.2">
      <c r="D167" s="23"/>
      <c r="E167" s="23"/>
      <c r="H167" s="7"/>
      <c r="I167" s="98"/>
      <c r="J167" s="98"/>
      <c r="K167" s="98"/>
      <c r="L167" s="7"/>
    </row>
    <row r="168" spans="4:12" ht="15.75" customHeight="1" x14ac:dyDescent="0.2">
      <c r="D168" s="23"/>
      <c r="E168" s="23"/>
      <c r="H168" s="7"/>
      <c r="I168" s="98"/>
      <c r="J168" s="98"/>
      <c r="K168" s="98"/>
      <c r="L168" s="7"/>
    </row>
    <row r="169" spans="4:12" ht="15.75" customHeight="1" x14ac:dyDescent="0.2">
      <c r="D169" s="23"/>
      <c r="E169" s="23"/>
      <c r="H169" s="7"/>
      <c r="I169" s="98"/>
      <c r="J169" s="98"/>
      <c r="K169" s="98"/>
      <c r="L169" s="7"/>
    </row>
    <row r="170" spans="4:12" ht="15.75" customHeight="1" x14ac:dyDescent="0.2">
      <c r="D170" s="23"/>
      <c r="E170" s="23"/>
      <c r="H170" s="7"/>
      <c r="I170" s="98"/>
      <c r="J170" s="98"/>
      <c r="K170" s="98"/>
      <c r="L170" s="7"/>
    </row>
    <row r="171" spans="4:12" ht="15.75" customHeight="1" x14ac:dyDescent="0.2">
      <c r="D171" s="23"/>
      <c r="E171" s="23"/>
      <c r="H171" s="7"/>
      <c r="I171" s="98"/>
      <c r="J171" s="98"/>
      <c r="K171" s="98"/>
      <c r="L171" s="7"/>
    </row>
    <row r="172" spans="4:12" ht="15.75" customHeight="1" x14ac:dyDescent="0.2">
      <c r="D172" s="23"/>
      <c r="E172" s="23"/>
      <c r="H172" s="7"/>
      <c r="I172" s="98"/>
      <c r="J172" s="98"/>
      <c r="K172" s="98"/>
      <c r="L172" s="7"/>
    </row>
    <row r="173" spans="4:12" ht="15.75" customHeight="1" x14ac:dyDescent="0.2">
      <c r="D173" s="23"/>
      <c r="E173" s="23"/>
      <c r="H173" s="7"/>
      <c r="I173" s="98"/>
      <c r="J173" s="98"/>
      <c r="K173" s="98"/>
      <c r="L173" s="7"/>
    </row>
    <row r="174" spans="4:12" ht="15.75" customHeight="1" x14ac:dyDescent="0.2">
      <c r="D174" s="23"/>
      <c r="E174" s="23"/>
      <c r="H174" s="7"/>
      <c r="I174" s="98"/>
      <c r="J174" s="98"/>
      <c r="K174" s="98"/>
      <c r="L174" s="7"/>
    </row>
    <row r="175" spans="4:12" ht="15.75" customHeight="1" x14ac:dyDescent="0.2">
      <c r="D175" s="23"/>
      <c r="E175" s="23"/>
      <c r="H175" s="7"/>
      <c r="I175" s="98"/>
      <c r="J175" s="98"/>
      <c r="K175" s="98"/>
      <c r="L175" s="7"/>
    </row>
    <row r="176" spans="4:12" ht="15.75" customHeight="1" x14ac:dyDescent="0.2">
      <c r="D176" s="23"/>
      <c r="E176" s="23"/>
      <c r="H176" s="7"/>
      <c r="I176" s="98"/>
      <c r="J176" s="98"/>
      <c r="K176" s="98"/>
      <c r="L176" s="7"/>
    </row>
    <row r="177" spans="4:12" ht="15.75" customHeight="1" x14ac:dyDescent="0.2">
      <c r="D177" s="23"/>
      <c r="E177" s="23"/>
      <c r="H177" s="7"/>
      <c r="I177" s="98"/>
      <c r="J177" s="98"/>
      <c r="K177" s="98"/>
      <c r="L177" s="7"/>
    </row>
    <row r="178" spans="4:12" ht="15.75" customHeight="1" x14ac:dyDescent="0.2">
      <c r="D178" s="23"/>
      <c r="E178" s="23"/>
      <c r="H178" s="7"/>
      <c r="I178" s="98"/>
      <c r="J178" s="98"/>
      <c r="K178" s="98"/>
      <c r="L178" s="7"/>
    </row>
    <row r="179" spans="4:12" ht="15.75" customHeight="1" x14ac:dyDescent="0.2">
      <c r="D179" s="23"/>
      <c r="E179" s="23"/>
      <c r="H179" s="7"/>
      <c r="I179" s="98"/>
      <c r="J179" s="98"/>
      <c r="K179" s="98"/>
      <c r="L179" s="7"/>
    </row>
    <row r="180" spans="4:12" ht="15.75" customHeight="1" x14ac:dyDescent="0.2">
      <c r="D180" s="23"/>
      <c r="E180" s="23"/>
      <c r="H180" s="7"/>
      <c r="I180" s="98"/>
      <c r="J180" s="98"/>
      <c r="K180" s="98"/>
      <c r="L180" s="7"/>
    </row>
    <row r="181" spans="4:12" ht="15.75" customHeight="1" x14ac:dyDescent="0.2">
      <c r="D181" s="23"/>
      <c r="E181" s="23"/>
      <c r="H181" s="7"/>
      <c r="I181" s="98"/>
      <c r="J181" s="98"/>
      <c r="K181" s="98"/>
      <c r="L181" s="7"/>
    </row>
    <row r="182" spans="4:12" ht="15.75" customHeight="1" x14ac:dyDescent="0.2">
      <c r="D182" s="23"/>
      <c r="E182" s="23"/>
      <c r="H182" s="7"/>
      <c r="I182" s="98"/>
      <c r="J182" s="98"/>
      <c r="K182" s="98"/>
      <c r="L182" s="7"/>
    </row>
    <row r="183" spans="4:12" ht="15.75" customHeight="1" x14ac:dyDescent="0.2">
      <c r="D183" s="23"/>
      <c r="E183" s="23"/>
      <c r="H183" s="7"/>
      <c r="I183" s="98"/>
      <c r="J183" s="98"/>
      <c r="K183" s="98"/>
      <c r="L183" s="7"/>
    </row>
    <row r="184" spans="4:12" ht="15.75" customHeight="1" x14ac:dyDescent="0.2">
      <c r="D184" s="23"/>
      <c r="E184" s="23"/>
      <c r="H184" s="7"/>
      <c r="I184" s="98"/>
      <c r="J184" s="98"/>
      <c r="K184" s="98"/>
      <c r="L184" s="7"/>
    </row>
    <row r="185" spans="4:12" ht="15.75" customHeight="1" x14ac:dyDescent="0.2">
      <c r="D185" s="23"/>
      <c r="E185" s="23"/>
      <c r="H185" s="7"/>
      <c r="I185" s="98"/>
      <c r="J185" s="98"/>
      <c r="K185" s="98"/>
      <c r="L185" s="7"/>
    </row>
    <row r="186" spans="4:12" ht="15.75" customHeight="1" x14ac:dyDescent="0.2">
      <c r="D186" s="23"/>
      <c r="E186" s="23"/>
      <c r="H186" s="7"/>
      <c r="I186" s="98"/>
      <c r="J186" s="98"/>
      <c r="K186" s="98"/>
      <c r="L186" s="7"/>
    </row>
    <row r="187" spans="4:12" ht="15.75" customHeight="1" x14ac:dyDescent="0.2">
      <c r="D187" s="23"/>
      <c r="E187" s="23"/>
      <c r="H187" s="7"/>
      <c r="I187" s="98"/>
      <c r="J187" s="98"/>
      <c r="K187" s="98"/>
      <c r="L187" s="7"/>
    </row>
    <row r="188" spans="4:12" ht="15.75" customHeight="1" x14ac:dyDescent="0.2">
      <c r="D188" s="23"/>
      <c r="E188" s="23"/>
      <c r="H188" s="7"/>
      <c r="I188" s="98"/>
      <c r="J188" s="98"/>
      <c r="K188" s="98"/>
      <c r="L188" s="7"/>
    </row>
    <row r="189" spans="4:12" ht="15.75" customHeight="1" x14ac:dyDescent="0.2">
      <c r="D189" s="23"/>
      <c r="E189" s="23"/>
      <c r="H189" s="7"/>
      <c r="I189" s="98"/>
      <c r="J189" s="98"/>
      <c r="K189" s="98"/>
      <c r="L189" s="7"/>
    </row>
    <row r="190" spans="4:12" ht="15.75" customHeight="1" x14ac:dyDescent="0.2">
      <c r="D190" s="23"/>
      <c r="E190" s="23"/>
      <c r="H190" s="7"/>
      <c r="I190" s="98"/>
      <c r="J190" s="98"/>
      <c r="K190" s="98"/>
      <c r="L190" s="7"/>
    </row>
    <row r="191" spans="4:12" ht="15.75" customHeight="1" x14ac:dyDescent="0.2">
      <c r="D191" s="23"/>
      <c r="E191" s="23"/>
      <c r="H191" s="7"/>
      <c r="I191" s="98"/>
      <c r="J191" s="98"/>
      <c r="K191" s="98"/>
      <c r="L191" s="7"/>
    </row>
    <row r="192" spans="4:12" ht="15.75" customHeight="1" x14ac:dyDescent="0.2">
      <c r="D192" s="23"/>
      <c r="E192" s="23"/>
      <c r="H192" s="7"/>
      <c r="I192" s="98"/>
      <c r="J192" s="98"/>
      <c r="K192" s="98"/>
      <c r="L192" s="7"/>
    </row>
    <row r="193" spans="4:12" ht="15.75" customHeight="1" x14ac:dyDescent="0.2">
      <c r="D193" s="23"/>
      <c r="E193" s="23"/>
      <c r="H193" s="7"/>
      <c r="I193" s="98"/>
      <c r="J193" s="98"/>
      <c r="K193" s="98"/>
      <c r="L193" s="7"/>
    </row>
    <row r="194" spans="4:12" ht="15.75" customHeight="1" x14ac:dyDescent="0.2">
      <c r="D194" s="23"/>
      <c r="E194" s="23"/>
      <c r="H194" s="7"/>
      <c r="I194" s="98"/>
      <c r="J194" s="98"/>
      <c r="K194" s="98"/>
      <c r="L194" s="7"/>
    </row>
    <row r="195" spans="4:12" ht="15.75" customHeight="1" x14ac:dyDescent="0.2">
      <c r="D195" s="23"/>
      <c r="E195" s="23"/>
      <c r="H195" s="7"/>
      <c r="I195" s="98"/>
      <c r="J195" s="98"/>
      <c r="K195" s="98"/>
      <c r="L195" s="7"/>
    </row>
    <row r="196" spans="4:12" ht="15.75" customHeight="1" x14ac:dyDescent="0.2">
      <c r="D196" s="23"/>
      <c r="E196" s="23"/>
      <c r="H196" s="7"/>
      <c r="I196" s="98"/>
      <c r="J196" s="98"/>
      <c r="K196" s="98"/>
      <c r="L196" s="7"/>
    </row>
    <row r="197" spans="4:12" ht="15.75" customHeight="1" x14ac:dyDescent="0.2">
      <c r="D197" s="23"/>
      <c r="E197" s="23"/>
      <c r="H197" s="7"/>
      <c r="I197" s="98"/>
      <c r="J197" s="98"/>
      <c r="K197" s="98"/>
      <c r="L197" s="7"/>
    </row>
    <row r="198" spans="4:12" ht="15.75" customHeight="1" x14ac:dyDescent="0.2">
      <c r="D198" s="23"/>
      <c r="E198" s="23"/>
      <c r="H198" s="7"/>
      <c r="I198" s="98"/>
      <c r="J198" s="98"/>
      <c r="K198" s="98"/>
      <c r="L198" s="7"/>
    </row>
    <row r="199" spans="4:12" ht="15.75" customHeight="1" x14ac:dyDescent="0.2">
      <c r="D199" s="23"/>
      <c r="E199" s="23"/>
      <c r="H199" s="7"/>
      <c r="I199" s="98"/>
      <c r="J199" s="98"/>
      <c r="K199" s="98"/>
      <c r="L199" s="7"/>
    </row>
    <row r="200" spans="4:12" ht="15.75" customHeight="1" x14ac:dyDescent="0.2">
      <c r="D200" s="23"/>
      <c r="E200" s="23"/>
      <c r="H200" s="7"/>
      <c r="I200" s="98"/>
      <c r="J200" s="98"/>
      <c r="K200" s="98"/>
      <c r="L200" s="7"/>
    </row>
    <row r="201" spans="4:12" ht="15.75" customHeight="1" x14ac:dyDescent="0.2">
      <c r="D201" s="23"/>
      <c r="E201" s="23"/>
      <c r="H201" s="7"/>
      <c r="I201" s="98"/>
      <c r="J201" s="98"/>
      <c r="K201" s="98"/>
      <c r="L201" s="7"/>
    </row>
    <row r="202" spans="4:12" ht="15.75" customHeight="1" x14ac:dyDescent="0.2">
      <c r="D202" s="23"/>
      <c r="E202" s="23"/>
      <c r="H202" s="7"/>
      <c r="I202" s="98"/>
      <c r="J202" s="98"/>
      <c r="K202" s="98"/>
      <c r="L202" s="7"/>
    </row>
    <row r="203" spans="4:12" ht="15.75" customHeight="1" x14ac:dyDescent="0.2">
      <c r="D203" s="23"/>
      <c r="E203" s="23"/>
      <c r="H203" s="7"/>
      <c r="I203" s="98"/>
      <c r="J203" s="98"/>
      <c r="K203" s="98"/>
      <c r="L203" s="7"/>
    </row>
    <row r="204" spans="4:12" ht="15.75" customHeight="1" x14ac:dyDescent="0.2">
      <c r="D204" s="23"/>
      <c r="E204" s="23"/>
      <c r="H204" s="7"/>
      <c r="I204" s="98"/>
      <c r="J204" s="98"/>
      <c r="K204" s="98"/>
      <c r="L204" s="7"/>
    </row>
    <row r="205" spans="4:12" ht="15.75" customHeight="1" x14ac:dyDescent="0.2">
      <c r="D205" s="23"/>
      <c r="E205" s="23"/>
      <c r="H205" s="7"/>
      <c r="I205" s="98"/>
      <c r="J205" s="98"/>
      <c r="K205" s="98"/>
      <c r="L205" s="7"/>
    </row>
    <row r="206" spans="4:12" ht="15.75" customHeight="1" x14ac:dyDescent="0.2">
      <c r="D206" s="23"/>
      <c r="E206" s="23"/>
      <c r="H206" s="7"/>
      <c r="I206" s="98"/>
      <c r="J206" s="98"/>
      <c r="K206" s="98"/>
      <c r="L206" s="7"/>
    </row>
    <row r="207" spans="4:12" ht="15.75" customHeight="1" x14ac:dyDescent="0.2">
      <c r="D207" s="23"/>
      <c r="E207" s="23"/>
      <c r="H207" s="7"/>
      <c r="I207" s="98"/>
      <c r="J207" s="98"/>
      <c r="K207" s="98"/>
      <c r="L207" s="7"/>
    </row>
    <row r="208" spans="4:12" ht="15.75" customHeight="1" x14ac:dyDescent="0.2">
      <c r="D208" s="23"/>
      <c r="E208" s="23"/>
      <c r="H208" s="7"/>
      <c r="I208" s="98"/>
      <c r="J208" s="98"/>
      <c r="K208" s="98"/>
      <c r="L208" s="7"/>
    </row>
    <row r="209" spans="4:12" ht="15.75" customHeight="1" x14ac:dyDescent="0.2">
      <c r="D209" s="23"/>
      <c r="E209" s="23"/>
      <c r="H209" s="7"/>
      <c r="I209" s="98"/>
      <c r="J209" s="98"/>
      <c r="K209" s="98"/>
      <c r="L209" s="7"/>
    </row>
    <row r="210" spans="4:12" ht="15.75" customHeight="1" x14ac:dyDescent="0.2">
      <c r="D210" s="23"/>
      <c r="E210" s="23"/>
      <c r="H210" s="7"/>
      <c r="I210" s="98"/>
      <c r="J210" s="98"/>
      <c r="K210" s="98"/>
      <c r="L210" s="7"/>
    </row>
    <row r="211" spans="4:12" ht="15.75" customHeight="1" x14ac:dyDescent="0.2">
      <c r="D211" s="23"/>
      <c r="E211" s="23"/>
      <c r="H211" s="7"/>
      <c r="I211" s="98"/>
      <c r="J211" s="98"/>
      <c r="K211" s="98"/>
      <c r="L211" s="7"/>
    </row>
    <row r="212" spans="4:12" ht="15.75" customHeight="1" x14ac:dyDescent="0.2">
      <c r="D212" s="23"/>
      <c r="E212" s="23"/>
      <c r="H212" s="7"/>
      <c r="I212" s="98"/>
      <c r="J212" s="98"/>
      <c r="K212" s="98"/>
      <c r="L212" s="7"/>
    </row>
    <row r="213" spans="4:12" ht="15.75" customHeight="1" x14ac:dyDescent="0.2">
      <c r="D213" s="23"/>
      <c r="E213" s="23"/>
      <c r="H213" s="7"/>
      <c r="I213" s="98"/>
      <c r="J213" s="98"/>
      <c r="K213" s="98"/>
      <c r="L213" s="7"/>
    </row>
    <row r="214" spans="4:12" ht="15.75" customHeight="1" x14ac:dyDescent="0.2">
      <c r="D214" s="23"/>
      <c r="E214" s="23"/>
      <c r="H214" s="7"/>
      <c r="I214" s="98"/>
      <c r="J214" s="98"/>
      <c r="K214" s="98"/>
      <c r="L214" s="7"/>
    </row>
    <row r="215" spans="4:12" ht="15.75" customHeight="1" x14ac:dyDescent="0.2">
      <c r="D215" s="23"/>
      <c r="E215" s="23"/>
      <c r="H215" s="7"/>
      <c r="I215" s="98"/>
      <c r="J215" s="98"/>
      <c r="K215" s="98"/>
      <c r="L215" s="7"/>
    </row>
    <row r="216" spans="4:12" ht="15.75" customHeight="1" x14ac:dyDescent="0.2">
      <c r="D216" s="23"/>
      <c r="E216" s="23"/>
      <c r="H216" s="7"/>
      <c r="I216" s="98"/>
      <c r="J216" s="98"/>
      <c r="K216" s="98"/>
      <c r="L216" s="7"/>
    </row>
    <row r="217" spans="4:12" ht="15.75" customHeight="1" x14ac:dyDescent="0.2">
      <c r="D217" s="23"/>
      <c r="E217" s="23"/>
      <c r="H217" s="7"/>
      <c r="I217" s="98"/>
      <c r="J217" s="98"/>
      <c r="K217" s="98"/>
      <c r="L217" s="7"/>
    </row>
    <row r="218" spans="4:12" ht="15.75" customHeight="1" x14ac:dyDescent="0.2">
      <c r="D218" s="23"/>
      <c r="E218" s="23"/>
      <c r="H218" s="7"/>
      <c r="I218" s="98"/>
      <c r="J218" s="98"/>
      <c r="K218" s="98"/>
      <c r="L218" s="7"/>
    </row>
    <row r="219" spans="4:12" ht="15.75" customHeight="1" x14ac:dyDescent="0.2">
      <c r="D219" s="23"/>
      <c r="E219" s="23"/>
      <c r="H219" s="7"/>
      <c r="I219" s="98"/>
      <c r="J219" s="98"/>
      <c r="K219" s="98"/>
      <c r="L219" s="7"/>
    </row>
    <row r="220" spans="4:12" ht="15.75" customHeight="1" x14ac:dyDescent="0.2">
      <c r="D220" s="23"/>
      <c r="E220" s="23"/>
      <c r="H220" s="7"/>
      <c r="I220" s="98"/>
      <c r="J220" s="98"/>
      <c r="K220" s="98"/>
      <c r="L220" s="7"/>
    </row>
    <row r="221" spans="4:12" ht="15.75" customHeight="1" x14ac:dyDescent="0.2">
      <c r="D221" s="23"/>
      <c r="E221" s="23"/>
      <c r="H221" s="7"/>
      <c r="I221" s="98"/>
      <c r="J221" s="98"/>
      <c r="K221" s="98"/>
      <c r="L221" s="7"/>
    </row>
    <row r="222" spans="4:12" ht="15.75" customHeight="1" x14ac:dyDescent="0.2">
      <c r="D222" s="23"/>
      <c r="E222" s="23"/>
      <c r="H222" s="7"/>
      <c r="I222" s="98"/>
      <c r="J222" s="98"/>
      <c r="K222" s="98"/>
      <c r="L222" s="7"/>
    </row>
    <row r="223" spans="4:12" ht="15.75" customHeight="1" x14ac:dyDescent="0.2">
      <c r="D223" s="23"/>
      <c r="E223" s="23"/>
      <c r="H223" s="7"/>
      <c r="I223" s="98"/>
      <c r="J223" s="98"/>
      <c r="K223" s="98"/>
      <c r="L223" s="7"/>
    </row>
    <row r="224" spans="4:12" ht="15.75" customHeight="1" x14ac:dyDescent="0.2">
      <c r="D224" s="23"/>
      <c r="E224" s="23"/>
      <c r="H224" s="7"/>
      <c r="I224" s="98"/>
      <c r="J224" s="98"/>
      <c r="K224" s="98"/>
      <c r="L224" s="7"/>
    </row>
    <row r="225" spans="4:12" ht="15.75" customHeight="1" x14ac:dyDescent="0.2">
      <c r="D225" s="23"/>
      <c r="E225" s="23"/>
      <c r="H225" s="7"/>
      <c r="I225" s="98"/>
      <c r="J225" s="98"/>
      <c r="K225" s="98"/>
      <c r="L225" s="7"/>
    </row>
    <row r="226" spans="4:12" ht="15.75" customHeight="1" x14ac:dyDescent="0.2">
      <c r="D226" s="23"/>
      <c r="E226" s="23"/>
      <c r="H226" s="7"/>
      <c r="I226" s="98"/>
      <c r="J226" s="98"/>
      <c r="K226" s="98"/>
      <c r="L226" s="7"/>
    </row>
    <row r="227" spans="4:12" ht="15.75" customHeight="1" x14ac:dyDescent="0.2">
      <c r="D227" s="23"/>
      <c r="E227" s="23"/>
      <c r="H227" s="7"/>
      <c r="I227" s="98"/>
      <c r="J227" s="98"/>
      <c r="K227" s="98"/>
      <c r="L227" s="7"/>
    </row>
    <row r="228" spans="4:12" ht="15.75" customHeight="1" x14ac:dyDescent="0.2">
      <c r="D228" s="23"/>
      <c r="E228" s="23"/>
      <c r="H228" s="7"/>
      <c r="I228" s="98"/>
      <c r="J228" s="98"/>
      <c r="K228" s="98"/>
      <c r="L228" s="7"/>
    </row>
    <row r="229" spans="4:12" ht="15.75" customHeight="1" x14ac:dyDescent="0.2">
      <c r="D229" s="23"/>
      <c r="E229" s="23"/>
      <c r="H229" s="7"/>
      <c r="I229" s="98"/>
      <c r="J229" s="98"/>
      <c r="K229" s="98"/>
      <c r="L229" s="7"/>
    </row>
    <row r="230" spans="4:12" ht="15.75" customHeight="1" x14ac:dyDescent="0.2">
      <c r="D230" s="23"/>
      <c r="E230" s="23"/>
      <c r="H230" s="7"/>
      <c r="I230" s="98"/>
      <c r="J230" s="98"/>
      <c r="K230" s="98"/>
      <c r="L230" s="7"/>
    </row>
    <row r="231" spans="4:12" ht="15.75" customHeight="1" x14ac:dyDescent="0.2">
      <c r="D231" s="23"/>
      <c r="E231" s="23"/>
      <c r="H231" s="7"/>
      <c r="I231" s="98"/>
      <c r="J231" s="98"/>
      <c r="K231" s="98"/>
      <c r="L231" s="7"/>
    </row>
    <row r="232" spans="4:12" ht="15.75" customHeight="1" x14ac:dyDescent="0.2">
      <c r="D232" s="23"/>
      <c r="E232" s="23"/>
      <c r="H232" s="7"/>
      <c r="I232" s="98"/>
      <c r="J232" s="98"/>
      <c r="K232" s="98"/>
      <c r="L232" s="7"/>
    </row>
    <row r="233" spans="4:12" ht="15.75" customHeight="1" x14ac:dyDescent="0.2">
      <c r="D233" s="23"/>
      <c r="E233" s="23"/>
      <c r="H233" s="7"/>
      <c r="I233" s="98"/>
      <c r="J233" s="98"/>
      <c r="K233" s="98"/>
      <c r="L233" s="7"/>
    </row>
    <row r="234" spans="4:12" ht="15.75" customHeight="1" x14ac:dyDescent="0.2">
      <c r="D234" s="23"/>
      <c r="E234" s="23"/>
      <c r="H234" s="7"/>
      <c r="I234" s="98"/>
      <c r="J234" s="98"/>
      <c r="K234" s="98"/>
      <c r="L234" s="7"/>
    </row>
    <row r="235" spans="4:12" ht="15.75" customHeight="1" x14ac:dyDescent="0.2">
      <c r="D235" s="23"/>
      <c r="E235" s="23"/>
      <c r="H235" s="7"/>
      <c r="I235" s="98"/>
      <c r="J235" s="98"/>
      <c r="K235" s="98"/>
      <c r="L235" s="7"/>
    </row>
    <row r="236" spans="4:12" ht="15.75" customHeight="1" x14ac:dyDescent="0.2">
      <c r="D236" s="23"/>
      <c r="E236" s="23"/>
      <c r="H236" s="7"/>
      <c r="I236" s="98"/>
      <c r="J236" s="98"/>
      <c r="K236" s="98"/>
      <c r="L236" s="7"/>
    </row>
    <row r="237" spans="4:12" ht="15.75" customHeight="1" x14ac:dyDescent="0.2">
      <c r="D237" s="23"/>
      <c r="E237" s="23"/>
      <c r="H237" s="7"/>
      <c r="I237" s="98"/>
      <c r="J237" s="98"/>
      <c r="K237" s="98"/>
      <c r="L237" s="7"/>
    </row>
    <row r="238" spans="4:12" ht="15.75" customHeight="1" x14ac:dyDescent="0.2">
      <c r="D238" s="23"/>
      <c r="E238" s="23"/>
      <c r="H238" s="7"/>
      <c r="I238" s="98"/>
      <c r="J238" s="98"/>
      <c r="K238" s="98"/>
      <c r="L238" s="7"/>
    </row>
    <row r="239" spans="4:12" ht="15.75" customHeight="1" x14ac:dyDescent="0.2">
      <c r="D239" s="23"/>
      <c r="E239" s="23"/>
      <c r="H239" s="7"/>
      <c r="I239" s="98"/>
      <c r="J239" s="98"/>
      <c r="K239" s="98"/>
      <c r="L239" s="7"/>
    </row>
    <row r="240" spans="4:12" ht="15.75" customHeight="1" x14ac:dyDescent="0.2">
      <c r="D240" s="23"/>
      <c r="E240" s="23"/>
      <c r="H240" s="7"/>
      <c r="I240" s="98"/>
      <c r="J240" s="98"/>
      <c r="K240" s="98"/>
      <c r="L240" s="7"/>
    </row>
    <row r="241" spans="4:12" ht="15.75" customHeight="1" x14ac:dyDescent="0.2">
      <c r="D241" s="23"/>
      <c r="E241" s="23"/>
      <c r="H241" s="7"/>
      <c r="I241" s="98"/>
      <c r="J241" s="98"/>
      <c r="K241" s="98"/>
      <c r="L241" s="7"/>
    </row>
    <row r="242" spans="4:12" ht="15.75" customHeight="1" x14ac:dyDescent="0.2">
      <c r="D242" s="23"/>
      <c r="E242" s="23"/>
      <c r="H242" s="7"/>
      <c r="I242" s="98"/>
      <c r="J242" s="98"/>
      <c r="K242" s="98"/>
      <c r="L242" s="7"/>
    </row>
    <row r="243" spans="4:12" ht="15.75" customHeight="1" x14ac:dyDescent="0.2">
      <c r="D243" s="23"/>
      <c r="E243" s="23"/>
      <c r="H243" s="7"/>
      <c r="I243" s="98"/>
      <c r="J243" s="98"/>
      <c r="K243" s="98"/>
      <c r="L243" s="7"/>
    </row>
    <row r="244" spans="4:12" ht="15.75" customHeight="1" x14ac:dyDescent="0.2">
      <c r="D244" s="23"/>
      <c r="E244" s="23"/>
      <c r="H244" s="7"/>
      <c r="I244" s="98"/>
      <c r="J244" s="98"/>
      <c r="K244" s="98"/>
      <c r="L244" s="7"/>
    </row>
    <row r="245" spans="4:12" ht="15.75" customHeight="1" x14ac:dyDescent="0.2">
      <c r="D245" s="23"/>
      <c r="E245" s="23"/>
      <c r="H245" s="7"/>
      <c r="I245" s="98"/>
      <c r="J245" s="98"/>
      <c r="K245" s="98"/>
      <c r="L245" s="7"/>
    </row>
    <row r="246" spans="4:12" ht="15.75" customHeight="1" x14ac:dyDescent="0.2">
      <c r="D246" s="23"/>
      <c r="E246" s="23"/>
      <c r="H246" s="7"/>
      <c r="I246" s="98"/>
      <c r="J246" s="98"/>
      <c r="K246" s="98"/>
      <c r="L246" s="7"/>
    </row>
    <row r="247" spans="4:12" ht="15.75" customHeight="1" x14ac:dyDescent="0.2">
      <c r="D247" s="23"/>
      <c r="E247" s="23"/>
      <c r="H247" s="7"/>
      <c r="I247" s="98"/>
      <c r="J247" s="98"/>
      <c r="K247" s="98"/>
      <c r="L247" s="7"/>
    </row>
    <row r="248" spans="4:12" ht="15.75" customHeight="1" x14ac:dyDescent="0.2">
      <c r="D248" s="23"/>
      <c r="E248" s="23"/>
      <c r="H248" s="7"/>
      <c r="I248" s="98"/>
      <c r="J248" s="98"/>
      <c r="K248" s="98"/>
      <c r="L248" s="7"/>
    </row>
    <row r="249" spans="4:12" ht="15.75" customHeight="1" x14ac:dyDescent="0.2">
      <c r="D249" s="23"/>
      <c r="E249" s="23"/>
      <c r="H249" s="7"/>
      <c r="I249" s="98"/>
      <c r="J249" s="98"/>
      <c r="K249" s="98"/>
      <c r="L249" s="7"/>
    </row>
    <row r="250" spans="4:12" ht="15.75" customHeight="1" x14ac:dyDescent="0.2">
      <c r="D250" s="23"/>
      <c r="E250" s="23"/>
      <c r="H250" s="7"/>
      <c r="I250" s="98"/>
      <c r="J250" s="98"/>
      <c r="K250" s="98"/>
      <c r="L250" s="7"/>
    </row>
    <row r="251" spans="4:12" ht="15.75" customHeight="1" x14ac:dyDescent="0.2">
      <c r="D251" s="23"/>
      <c r="E251" s="23"/>
      <c r="H251" s="7"/>
      <c r="I251" s="98"/>
      <c r="J251" s="98"/>
      <c r="K251" s="98"/>
      <c r="L251" s="7"/>
    </row>
    <row r="252" spans="4:12" ht="15.75" customHeight="1" x14ac:dyDescent="0.2">
      <c r="D252" s="23"/>
      <c r="E252" s="23"/>
      <c r="H252" s="7"/>
      <c r="I252" s="98"/>
      <c r="J252" s="98"/>
      <c r="K252" s="98"/>
      <c r="L252" s="7"/>
    </row>
    <row r="253" spans="4:12" ht="15.75" customHeight="1" x14ac:dyDescent="0.2">
      <c r="D253" s="23"/>
      <c r="E253" s="23"/>
      <c r="H253" s="7"/>
      <c r="I253" s="98"/>
      <c r="J253" s="98"/>
      <c r="K253" s="98"/>
      <c r="L253" s="7"/>
    </row>
    <row r="254" spans="4:12" ht="15.75" customHeight="1" x14ac:dyDescent="0.2">
      <c r="D254" s="23"/>
      <c r="E254" s="23"/>
      <c r="H254" s="7"/>
      <c r="I254" s="98"/>
      <c r="J254" s="98"/>
      <c r="K254" s="98"/>
      <c r="L254" s="7"/>
    </row>
    <row r="255" spans="4:12" ht="15.75" customHeight="1" x14ac:dyDescent="0.2">
      <c r="D255" s="23"/>
      <c r="E255" s="23"/>
      <c r="H255" s="7"/>
      <c r="I255" s="98"/>
      <c r="J255" s="98"/>
      <c r="K255" s="98"/>
      <c r="L255" s="7"/>
    </row>
    <row r="256" spans="4:12" ht="15.75" customHeight="1" x14ac:dyDescent="0.2">
      <c r="D256" s="23"/>
      <c r="E256" s="23"/>
      <c r="H256" s="7"/>
      <c r="I256" s="98"/>
      <c r="J256" s="98"/>
      <c r="K256" s="98"/>
      <c r="L256" s="7"/>
    </row>
    <row r="257" spans="4:12" ht="15.75" customHeight="1" x14ac:dyDescent="0.2">
      <c r="D257" s="23"/>
      <c r="E257" s="23"/>
      <c r="H257" s="7"/>
      <c r="I257" s="98"/>
      <c r="J257" s="98"/>
      <c r="K257" s="98"/>
      <c r="L257" s="7"/>
    </row>
    <row r="258" spans="4:12" ht="15.75" customHeight="1" x14ac:dyDescent="0.2">
      <c r="D258" s="23"/>
      <c r="E258" s="23"/>
      <c r="H258" s="7"/>
      <c r="I258" s="98"/>
      <c r="J258" s="98"/>
      <c r="K258" s="98"/>
      <c r="L258" s="7"/>
    </row>
    <row r="259" spans="4:12" ht="15.75" customHeight="1" x14ac:dyDescent="0.2">
      <c r="D259" s="23"/>
      <c r="E259" s="23"/>
      <c r="H259" s="7"/>
      <c r="I259" s="98"/>
      <c r="J259" s="98"/>
      <c r="K259" s="98"/>
      <c r="L259" s="7"/>
    </row>
    <row r="260" spans="4:12" ht="15.75" customHeight="1" x14ac:dyDescent="0.2">
      <c r="D260" s="23"/>
      <c r="E260" s="23"/>
      <c r="H260" s="7"/>
      <c r="I260" s="98"/>
      <c r="J260" s="98"/>
      <c r="K260" s="98"/>
      <c r="L260" s="7"/>
    </row>
    <row r="261" spans="4:12" ht="15.75" customHeight="1" x14ac:dyDescent="0.2">
      <c r="D261" s="23"/>
      <c r="E261" s="23"/>
      <c r="H261" s="7"/>
      <c r="I261" s="98"/>
      <c r="J261" s="98"/>
      <c r="K261" s="98"/>
      <c r="L261" s="7"/>
    </row>
    <row r="262" spans="4:12" ht="15.75" customHeight="1" x14ac:dyDescent="0.2">
      <c r="D262" s="23"/>
      <c r="E262" s="23"/>
      <c r="H262" s="7"/>
      <c r="I262" s="98"/>
      <c r="J262" s="98"/>
      <c r="K262" s="98"/>
      <c r="L262" s="7"/>
    </row>
    <row r="263" spans="4:12" ht="15.75" customHeight="1" x14ac:dyDescent="0.2">
      <c r="D263" s="23"/>
      <c r="E263" s="23"/>
      <c r="H263" s="7"/>
      <c r="I263" s="98"/>
      <c r="J263" s="98"/>
      <c r="K263" s="98"/>
      <c r="L263" s="7"/>
    </row>
    <row r="264" spans="4:12" ht="15.75" customHeight="1" x14ac:dyDescent="0.2">
      <c r="D264" s="23"/>
      <c r="E264" s="23"/>
      <c r="H264" s="7"/>
      <c r="I264" s="98"/>
      <c r="J264" s="98"/>
      <c r="K264" s="98"/>
      <c r="L264" s="7"/>
    </row>
    <row r="265" spans="4:12" ht="15.75" customHeight="1" x14ac:dyDescent="0.2">
      <c r="D265" s="23"/>
      <c r="E265" s="23"/>
      <c r="H265" s="7"/>
      <c r="I265" s="98"/>
      <c r="J265" s="98"/>
      <c r="K265" s="98"/>
      <c r="L265" s="7"/>
    </row>
    <row r="266" spans="4:12" ht="15.75" customHeight="1" x14ac:dyDescent="0.2">
      <c r="D266" s="23"/>
      <c r="E266" s="23"/>
      <c r="H266" s="7"/>
      <c r="I266" s="98"/>
      <c r="J266" s="98"/>
      <c r="K266" s="98"/>
      <c r="L266" s="7"/>
    </row>
    <row r="267" spans="4:12" ht="15.75" customHeight="1" x14ac:dyDescent="0.2">
      <c r="D267" s="23"/>
      <c r="E267" s="23"/>
      <c r="H267" s="7"/>
      <c r="I267" s="98"/>
      <c r="J267" s="98"/>
      <c r="K267" s="98"/>
      <c r="L267" s="7"/>
    </row>
    <row r="268" spans="4:12" ht="15.75" customHeight="1" x14ac:dyDescent="0.2">
      <c r="D268" s="23"/>
      <c r="E268" s="23"/>
      <c r="H268" s="7"/>
      <c r="I268" s="98"/>
      <c r="J268" s="98"/>
      <c r="K268" s="98"/>
      <c r="L268" s="7"/>
    </row>
    <row r="269" spans="4:12" ht="15.75" customHeight="1" x14ac:dyDescent="0.2">
      <c r="D269" s="23"/>
      <c r="E269" s="23"/>
      <c r="H269" s="7"/>
      <c r="I269" s="98"/>
      <c r="J269" s="98"/>
      <c r="K269" s="98"/>
      <c r="L269" s="7"/>
    </row>
    <row r="270" spans="4:12" ht="15.75" customHeight="1" x14ac:dyDescent="0.2">
      <c r="D270" s="23"/>
      <c r="E270" s="23"/>
      <c r="H270" s="7"/>
      <c r="I270" s="98"/>
      <c r="J270" s="98"/>
      <c r="K270" s="98"/>
      <c r="L270" s="7"/>
    </row>
    <row r="271" spans="4:12" ht="15.75" customHeight="1" x14ac:dyDescent="0.2">
      <c r="D271" s="23"/>
      <c r="E271" s="23"/>
      <c r="H271" s="7"/>
      <c r="I271" s="98"/>
      <c r="J271" s="98"/>
      <c r="K271" s="98"/>
      <c r="L271" s="7"/>
    </row>
    <row r="272" spans="4:12" ht="15.75" customHeight="1" x14ac:dyDescent="0.2">
      <c r="D272" s="23"/>
      <c r="E272" s="23"/>
      <c r="H272" s="7"/>
      <c r="I272" s="98"/>
      <c r="J272" s="98"/>
      <c r="K272" s="98"/>
      <c r="L272" s="7"/>
    </row>
    <row r="273" spans="4:12" ht="15.75" customHeight="1" x14ac:dyDescent="0.2">
      <c r="D273" s="23"/>
      <c r="E273" s="23"/>
      <c r="H273" s="7"/>
      <c r="I273" s="98"/>
      <c r="J273" s="98"/>
      <c r="K273" s="98"/>
      <c r="L273" s="7"/>
    </row>
    <row r="274" spans="4:12" ht="15.75" customHeight="1" x14ac:dyDescent="0.2">
      <c r="D274" s="23"/>
      <c r="E274" s="23"/>
      <c r="H274" s="7"/>
      <c r="I274" s="98"/>
      <c r="J274" s="98"/>
      <c r="K274" s="98"/>
      <c r="L274" s="7"/>
    </row>
    <row r="275" spans="4:12" ht="15.75" customHeight="1" x14ac:dyDescent="0.2">
      <c r="D275" s="23"/>
      <c r="E275" s="23"/>
      <c r="H275" s="7"/>
      <c r="I275" s="98"/>
      <c r="J275" s="98"/>
      <c r="K275" s="98"/>
      <c r="L275" s="7"/>
    </row>
    <row r="276" spans="4:12" ht="15.75" customHeight="1" x14ac:dyDescent="0.2">
      <c r="D276" s="23"/>
      <c r="E276" s="23"/>
      <c r="H276" s="7"/>
      <c r="I276" s="98"/>
      <c r="J276" s="98"/>
      <c r="K276" s="98"/>
      <c r="L276" s="7"/>
    </row>
    <row r="277" spans="4:12" ht="15.75" customHeight="1" x14ac:dyDescent="0.2">
      <c r="D277" s="23"/>
      <c r="E277" s="23"/>
      <c r="H277" s="7"/>
      <c r="I277" s="98"/>
      <c r="J277" s="98"/>
      <c r="K277" s="98"/>
      <c r="L277" s="7"/>
    </row>
    <row r="278" spans="4:12" ht="15.75" customHeight="1" x14ac:dyDescent="0.2">
      <c r="D278" s="23"/>
      <c r="E278" s="23"/>
      <c r="H278" s="7"/>
      <c r="I278" s="98"/>
      <c r="J278" s="98"/>
      <c r="K278" s="98"/>
      <c r="L278" s="7"/>
    </row>
    <row r="279" spans="4:12" ht="15.75" customHeight="1" x14ac:dyDescent="0.2">
      <c r="D279" s="23"/>
      <c r="E279" s="23"/>
      <c r="H279" s="7"/>
      <c r="I279" s="98"/>
      <c r="J279" s="98"/>
      <c r="K279" s="98"/>
      <c r="L279" s="7"/>
    </row>
    <row r="280" spans="4:12" ht="15.75" customHeight="1" x14ac:dyDescent="0.2">
      <c r="D280" s="23"/>
      <c r="E280" s="23"/>
      <c r="H280" s="7"/>
      <c r="I280" s="98"/>
      <c r="J280" s="98"/>
      <c r="K280" s="98"/>
      <c r="L280" s="7"/>
    </row>
    <row r="281" spans="4:12" ht="15.75" customHeight="1" x14ac:dyDescent="0.2">
      <c r="D281" s="23"/>
      <c r="E281" s="23"/>
      <c r="H281" s="7"/>
      <c r="I281" s="98"/>
      <c r="J281" s="98"/>
      <c r="K281" s="98"/>
      <c r="L281" s="7"/>
    </row>
    <row r="282" spans="4:12" ht="15.75" customHeight="1" x14ac:dyDescent="0.2">
      <c r="D282" s="23"/>
      <c r="E282" s="23"/>
      <c r="H282" s="7"/>
      <c r="I282" s="98"/>
      <c r="J282" s="98"/>
      <c r="K282" s="98"/>
      <c r="L282" s="7"/>
    </row>
    <row r="283" spans="4:12" ht="15.75" customHeight="1" x14ac:dyDescent="0.2">
      <c r="D283" s="23"/>
      <c r="E283" s="23"/>
      <c r="H283" s="7"/>
      <c r="I283" s="98"/>
      <c r="J283" s="98"/>
      <c r="K283" s="98"/>
      <c r="L283" s="7"/>
    </row>
    <row r="284" spans="4:12" ht="15.75" customHeight="1" x14ac:dyDescent="0.2">
      <c r="D284" s="23"/>
      <c r="E284" s="23"/>
      <c r="H284" s="7"/>
      <c r="I284" s="98"/>
      <c r="J284" s="98"/>
      <c r="K284" s="98"/>
      <c r="L284" s="7"/>
    </row>
    <row r="285" spans="4:12" ht="15.75" customHeight="1" x14ac:dyDescent="0.2">
      <c r="D285" s="23"/>
      <c r="E285" s="23"/>
      <c r="H285" s="7"/>
      <c r="I285" s="98"/>
      <c r="J285" s="98"/>
      <c r="K285" s="98"/>
      <c r="L285" s="7"/>
    </row>
    <row r="286" spans="4:12" ht="15.75" customHeight="1" x14ac:dyDescent="0.2">
      <c r="D286" s="23"/>
      <c r="E286" s="23"/>
      <c r="H286" s="7"/>
      <c r="I286" s="98"/>
      <c r="J286" s="98"/>
      <c r="K286" s="98"/>
      <c r="L286" s="7"/>
    </row>
    <row r="287" spans="4:12" ht="15.75" customHeight="1" x14ac:dyDescent="0.2">
      <c r="D287" s="23"/>
      <c r="E287" s="23"/>
      <c r="H287" s="7"/>
      <c r="I287" s="98"/>
      <c r="J287" s="98"/>
      <c r="K287" s="98"/>
      <c r="L287" s="7"/>
    </row>
    <row r="288" spans="4:12" ht="15.75" customHeight="1" x14ac:dyDescent="0.2">
      <c r="D288" s="23"/>
      <c r="E288" s="23"/>
      <c r="H288" s="7"/>
      <c r="I288" s="98"/>
      <c r="J288" s="98"/>
      <c r="K288" s="98"/>
      <c r="L288" s="7"/>
    </row>
    <row r="289" spans="4:12" ht="15.75" customHeight="1" x14ac:dyDescent="0.2">
      <c r="D289" s="23"/>
      <c r="E289" s="23"/>
      <c r="H289" s="7"/>
      <c r="I289" s="98"/>
      <c r="J289" s="98"/>
      <c r="K289" s="98"/>
      <c r="L289" s="7"/>
    </row>
    <row r="290" spans="4:12" ht="15.75" customHeight="1" x14ac:dyDescent="0.2">
      <c r="D290" s="23"/>
      <c r="E290" s="23"/>
      <c r="H290" s="7"/>
      <c r="I290" s="98"/>
      <c r="J290" s="98"/>
      <c r="K290" s="98"/>
      <c r="L290" s="7"/>
    </row>
    <row r="291" spans="4:12" ht="15.75" customHeight="1" x14ac:dyDescent="0.2">
      <c r="D291" s="23"/>
      <c r="E291" s="23"/>
      <c r="H291" s="7"/>
      <c r="I291" s="98"/>
      <c r="J291" s="98"/>
      <c r="K291" s="98"/>
      <c r="L291" s="7"/>
    </row>
    <row r="292" spans="4:12" ht="15.75" customHeight="1" x14ac:dyDescent="0.2">
      <c r="D292" s="23"/>
      <c r="E292" s="23"/>
      <c r="H292" s="7"/>
      <c r="I292" s="98"/>
      <c r="J292" s="98"/>
      <c r="K292" s="98"/>
      <c r="L292" s="7"/>
    </row>
    <row r="293" spans="4:12" ht="15.75" customHeight="1" x14ac:dyDescent="0.2">
      <c r="D293" s="23"/>
      <c r="E293" s="23"/>
      <c r="H293" s="7"/>
      <c r="I293" s="98"/>
      <c r="J293" s="98"/>
      <c r="K293" s="98"/>
      <c r="L293" s="7"/>
    </row>
    <row r="294" spans="4:12" ht="15.75" customHeight="1" x14ac:dyDescent="0.2">
      <c r="D294" s="23"/>
      <c r="E294" s="23"/>
      <c r="H294" s="7"/>
      <c r="I294" s="98"/>
      <c r="J294" s="98"/>
      <c r="K294" s="98"/>
      <c r="L294" s="7"/>
    </row>
    <row r="295" spans="4:12" ht="15.75" customHeight="1" x14ac:dyDescent="0.2">
      <c r="D295" s="23"/>
      <c r="E295" s="23"/>
      <c r="H295" s="7"/>
      <c r="I295" s="98"/>
      <c r="J295" s="98"/>
      <c r="K295" s="98"/>
      <c r="L295" s="7"/>
    </row>
    <row r="296" spans="4:12" ht="15.75" customHeight="1" x14ac:dyDescent="0.2">
      <c r="D296" s="23"/>
      <c r="E296" s="23"/>
      <c r="H296" s="7"/>
      <c r="I296" s="98"/>
      <c r="J296" s="98"/>
      <c r="K296" s="98"/>
      <c r="L296" s="7"/>
    </row>
    <row r="297" spans="4:12" ht="15.75" customHeight="1" x14ac:dyDescent="0.2">
      <c r="D297" s="23"/>
      <c r="E297" s="23"/>
      <c r="H297" s="7"/>
      <c r="I297" s="98"/>
      <c r="J297" s="98"/>
      <c r="K297" s="98"/>
      <c r="L297" s="7"/>
    </row>
    <row r="298" spans="4:12" ht="15.75" customHeight="1" x14ac:dyDescent="0.2">
      <c r="D298" s="23"/>
      <c r="E298" s="23"/>
      <c r="H298" s="7"/>
      <c r="I298" s="98"/>
      <c r="J298" s="98"/>
      <c r="K298" s="98"/>
      <c r="L298" s="7"/>
    </row>
    <row r="299" spans="4:12" ht="15.75" customHeight="1" x14ac:dyDescent="0.2">
      <c r="D299" s="23"/>
      <c r="E299" s="23"/>
      <c r="H299" s="7"/>
      <c r="I299" s="98"/>
      <c r="J299" s="98"/>
      <c r="K299" s="98"/>
      <c r="L299" s="7"/>
    </row>
    <row r="300" spans="4:12" ht="15.75" customHeight="1" x14ac:dyDescent="0.2">
      <c r="D300" s="23"/>
      <c r="E300" s="23"/>
      <c r="H300" s="7"/>
      <c r="I300" s="98"/>
      <c r="J300" s="98"/>
      <c r="K300" s="98"/>
      <c r="L300" s="7"/>
    </row>
    <row r="301" spans="4:12" ht="15.75" customHeight="1" x14ac:dyDescent="0.2">
      <c r="D301" s="23"/>
      <c r="E301" s="23"/>
      <c r="H301" s="7"/>
      <c r="I301" s="98"/>
      <c r="J301" s="98"/>
      <c r="K301" s="98"/>
      <c r="L301" s="7"/>
    </row>
    <row r="302" spans="4:12" ht="15.75" customHeight="1" x14ac:dyDescent="0.2">
      <c r="D302" s="23"/>
      <c r="E302" s="23"/>
      <c r="H302" s="7"/>
      <c r="I302" s="98"/>
      <c r="J302" s="98"/>
      <c r="K302" s="98"/>
      <c r="L302" s="7"/>
    </row>
    <row r="303" spans="4:12" ht="15.75" customHeight="1" x14ac:dyDescent="0.2">
      <c r="D303" s="23"/>
      <c r="E303" s="23"/>
      <c r="H303" s="7"/>
      <c r="I303" s="98"/>
      <c r="J303" s="98"/>
      <c r="K303" s="98"/>
      <c r="L303" s="7"/>
    </row>
    <row r="304" spans="4:12" ht="15.75" customHeight="1" x14ac:dyDescent="0.2">
      <c r="D304" s="23"/>
      <c r="E304" s="23"/>
      <c r="H304" s="7"/>
      <c r="I304" s="98"/>
      <c r="J304" s="98"/>
      <c r="K304" s="98"/>
      <c r="L304" s="7"/>
    </row>
    <row r="305" spans="4:12" ht="15.75" customHeight="1" x14ac:dyDescent="0.2">
      <c r="D305" s="23"/>
      <c r="E305" s="23"/>
      <c r="H305" s="7"/>
      <c r="I305" s="98"/>
      <c r="J305" s="98"/>
      <c r="K305" s="98"/>
      <c r="L305" s="7"/>
    </row>
    <row r="306" spans="4:12" ht="15.75" customHeight="1" x14ac:dyDescent="0.2">
      <c r="D306" s="23"/>
      <c r="E306" s="23"/>
      <c r="H306" s="7"/>
      <c r="I306" s="98"/>
      <c r="J306" s="98"/>
      <c r="K306" s="98"/>
      <c r="L306" s="7"/>
    </row>
    <row r="307" spans="4:12" ht="15.75" customHeight="1" x14ac:dyDescent="0.2">
      <c r="D307" s="23"/>
      <c r="E307" s="23"/>
      <c r="H307" s="7"/>
      <c r="I307" s="98"/>
      <c r="J307" s="98"/>
      <c r="K307" s="98"/>
      <c r="L307" s="7"/>
    </row>
    <row r="308" spans="4:12" ht="15.75" customHeight="1" x14ac:dyDescent="0.2">
      <c r="D308" s="23"/>
      <c r="E308" s="23"/>
      <c r="H308" s="7"/>
      <c r="I308" s="98"/>
      <c r="J308" s="98"/>
      <c r="K308" s="98"/>
      <c r="L308" s="7"/>
    </row>
    <row r="309" spans="4:12" ht="15.75" customHeight="1" x14ac:dyDescent="0.2">
      <c r="D309" s="23"/>
      <c r="E309" s="23"/>
      <c r="H309" s="7"/>
      <c r="I309" s="98"/>
      <c r="J309" s="98"/>
      <c r="K309" s="98"/>
      <c r="L309" s="7"/>
    </row>
    <row r="310" spans="4:12" ht="15.75" customHeight="1" x14ac:dyDescent="0.2">
      <c r="D310" s="23"/>
      <c r="E310" s="23"/>
      <c r="H310" s="7"/>
      <c r="I310" s="98"/>
      <c r="J310" s="98"/>
      <c r="K310" s="98"/>
      <c r="L310" s="7"/>
    </row>
    <row r="311" spans="4:12" ht="15.75" customHeight="1" x14ac:dyDescent="0.2">
      <c r="D311" s="23"/>
      <c r="E311" s="23"/>
      <c r="H311" s="7"/>
      <c r="I311" s="98"/>
      <c r="J311" s="98"/>
      <c r="K311" s="98"/>
      <c r="L311" s="7"/>
    </row>
    <row r="312" spans="4:12" ht="15.75" customHeight="1" x14ac:dyDescent="0.2">
      <c r="D312" s="23"/>
      <c r="E312" s="23"/>
      <c r="H312" s="7"/>
      <c r="I312" s="98"/>
      <c r="J312" s="98"/>
      <c r="K312" s="98"/>
      <c r="L312" s="7"/>
    </row>
    <row r="313" spans="4:12" ht="15.75" customHeight="1" x14ac:dyDescent="0.2">
      <c r="D313" s="23"/>
      <c r="E313" s="23"/>
      <c r="H313" s="7"/>
      <c r="I313" s="98"/>
      <c r="J313" s="98"/>
      <c r="K313" s="98"/>
      <c r="L313" s="7"/>
    </row>
    <row r="314" spans="4:12" ht="15.75" customHeight="1" x14ac:dyDescent="0.2">
      <c r="D314" s="23"/>
      <c r="E314" s="23"/>
      <c r="H314" s="7"/>
      <c r="I314" s="98"/>
      <c r="J314" s="98"/>
      <c r="K314" s="98"/>
      <c r="L314" s="7"/>
    </row>
    <row r="315" spans="4:12" ht="15.75" customHeight="1" x14ac:dyDescent="0.2">
      <c r="D315" s="23"/>
      <c r="E315" s="23"/>
      <c r="H315" s="7"/>
      <c r="I315" s="98"/>
      <c r="J315" s="98"/>
      <c r="K315" s="98"/>
      <c r="L315" s="7"/>
    </row>
    <row r="316" spans="4:12" ht="15.75" customHeight="1" x14ac:dyDescent="0.2">
      <c r="D316" s="23"/>
      <c r="E316" s="23"/>
      <c r="H316" s="7"/>
      <c r="I316" s="98"/>
      <c r="J316" s="98"/>
      <c r="K316" s="98"/>
      <c r="L316" s="7"/>
    </row>
    <row r="317" spans="4:12" ht="15.75" customHeight="1" x14ac:dyDescent="0.2">
      <c r="D317" s="23"/>
      <c r="E317" s="23"/>
      <c r="H317" s="7"/>
      <c r="I317" s="98"/>
      <c r="J317" s="98"/>
      <c r="K317" s="98"/>
      <c r="L317" s="7"/>
    </row>
    <row r="318" spans="4:12" ht="15.75" customHeight="1" x14ac:dyDescent="0.2">
      <c r="D318" s="23"/>
      <c r="E318" s="23"/>
      <c r="H318" s="7"/>
      <c r="I318" s="98"/>
      <c r="J318" s="98"/>
      <c r="K318" s="98"/>
      <c r="L318" s="7"/>
    </row>
    <row r="319" spans="4:12" ht="15.75" customHeight="1" x14ac:dyDescent="0.2">
      <c r="D319" s="23"/>
      <c r="E319" s="23"/>
      <c r="H319" s="7"/>
      <c r="I319" s="98"/>
      <c r="J319" s="98"/>
      <c r="K319" s="98"/>
      <c r="L319" s="7"/>
    </row>
    <row r="320" spans="4:12" ht="15.75" customHeight="1" x14ac:dyDescent="0.2">
      <c r="D320" s="23"/>
      <c r="E320" s="23"/>
      <c r="H320" s="7"/>
      <c r="I320" s="98"/>
      <c r="J320" s="98"/>
      <c r="K320" s="98"/>
      <c r="L320" s="7"/>
    </row>
    <row r="321" spans="4:12" ht="15.75" customHeight="1" x14ac:dyDescent="0.2">
      <c r="D321" s="23"/>
      <c r="E321" s="23"/>
      <c r="H321" s="7"/>
      <c r="I321" s="98"/>
      <c r="J321" s="98"/>
      <c r="K321" s="98"/>
      <c r="L321" s="7"/>
    </row>
    <row r="322" spans="4:12" ht="15.75" customHeight="1" x14ac:dyDescent="0.2">
      <c r="D322" s="23"/>
      <c r="E322" s="23"/>
      <c r="H322" s="7"/>
      <c r="I322" s="98"/>
      <c r="J322" s="98"/>
      <c r="K322" s="98"/>
      <c r="L322" s="7"/>
    </row>
    <row r="323" spans="4:12" ht="15.75" customHeight="1" x14ac:dyDescent="0.2">
      <c r="D323" s="23"/>
      <c r="E323" s="23"/>
      <c r="H323" s="7"/>
      <c r="I323" s="98"/>
      <c r="J323" s="98"/>
      <c r="K323" s="98"/>
      <c r="L323" s="7"/>
    </row>
    <row r="324" spans="4:12" ht="15.75" customHeight="1" x14ac:dyDescent="0.2">
      <c r="D324" s="23"/>
      <c r="E324" s="23"/>
      <c r="H324" s="7"/>
      <c r="I324" s="98"/>
      <c r="J324" s="98"/>
      <c r="K324" s="98"/>
      <c r="L324" s="7"/>
    </row>
    <row r="325" spans="4:12" ht="15.75" customHeight="1" x14ac:dyDescent="0.2">
      <c r="D325" s="23"/>
      <c r="E325" s="23"/>
      <c r="H325" s="7"/>
      <c r="I325" s="98"/>
      <c r="J325" s="98"/>
      <c r="K325" s="98"/>
      <c r="L325" s="7"/>
    </row>
    <row r="326" spans="4:12" ht="15.75" customHeight="1" x14ac:dyDescent="0.2">
      <c r="D326" s="23"/>
      <c r="E326" s="23"/>
      <c r="H326" s="7"/>
      <c r="I326" s="98"/>
      <c r="J326" s="98"/>
      <c r="K326" s="98"/>
      <c r="L326" s="7"/>
    </row>
    <row r="327" spans="4:12" ht="15.75" customHeight="1" x14ac:dyDescent="0.2">
      <c r="D327" s="23"/>
      <c r="E327" s="23"/>
      <c r="H327" s="7"/>
      <c r="I327" s="98"/>
      <c r="J327" s="98"/>
      <c r="K327" s="98"/>
      <c r="L327" s="7"/>
    </row>
    <row r="328" spans="4:12" ht="15.75" customHeight="1" x14ac:dyDescent="0.2">
      <c r="D328" s="23"/>
      <c r="E328" s="23"/>
      <c r="H328" s="7"/>
      <c r="I328" s="98"/>
      <c r="J328" s="98"/>
      <c r="K328" s="98"/>
      <c r="L328" s="7"/>
    </row>
    <row r="329" spans="4:12" ht="15.75" customHeight="1" x14ac:dyDescent="0.2">
      <c r="D329" s="23"/>
      <c r="E329" s="23"/>
      <c r="H329" s="7"/>
      <c r="I329" s="98"/>
      <c r="J329" s="98"/>
      <c r="K329" s="98"/>
      <c r="L329" s="7"/>
    </row>
    <row r="330" spans="4:12" ht="15.75" customHeight="1" x14ac:dyDescent="0.2">
      <c r="D330" s="23"/>
      <c r="E330" s="23"/>
      <c r="H330" s="7"/>
      <c r="I330" s="98"/>
      <c r="J330" s="98"/>
      <c r="K330" s="98"/>
      <c r="L330" s="7"/>
    </row>
    <row r="331" spans="4:12" ht="15.75" customHeight="1" x14ac:dyDescent="0.2">
      <c r="D331" s="23"/>
      <c r="E331" s="23"/>
      <c r="H331" s="7"/>
      <c r="I331" s="98"/>
      <c r="J331" s="98"/>
      <c r="K331" s="98"/>
      <c r="L331" s="7"/>
    </row>
    <row r="332" spans="4:12" ht="15.75" customHeight="1" x14ac:dyDescent="0.2">
      <c r="D332" s="23"/>
      <c r="E332" s="23"/>
      <c r="H332" s="7"/>
      <c r="I332" s="98"/>
      <c r="J332" s="98"/>
      <c r="K332" s="98"/>
      <c r="L332" s="7"/>
    </row>
    <row r="333" spans="4:12" ht="15.75" customHeight="1" x14ac:dyDescent="0.2">
      <c r="D333" s="23"/>
      <c r="E333" s="23"/>
      <c r="H333" s="7"/>
      <c r="I333" s="98"/>
      <c r="J333" s="98"/>
      <c r="K333" s="98"/>
      <c r="L333" s="7"/>
    </row>
    <row r="334" spans="4:12" ht="15.75" customHeight="1" x14ac:dyDescent="0.2">
      <c r="D334" s="23"/>
      <c r="E334" s="23"/>
      <c r="H334" s="7"/>
      <c r="I334" s="98"/>
      <c r="J334" s="98"/>
      <c r="K334" s="98"/>
      <c r="L334" s="7"/>
    </row>
    <row r="335" spans="4:12" ht="15.75" customHeight="1" x14ac:dyDescent="0.2">
      <c r="D335" s="23"/>
      <c r="E335" s="23"/>
      <c r="H335" s="7"/>
      <c r="I335" s="98"/>
      <c r="J335" s="98"/>
      <c r="K335" s="98"/>
      <c r="L335" s="7"/>
    </row>
    <row r="336" spans="4:12" ht="15.75" customHeight="1" x14ac:dyDescent="0.2">
      <c r="D336" s="23"/>
      <c r="E336" s="23"/>
      <c r="H336" s="7"/>
      <c r="I336" s="98"/>
      <c r="J336" s="98"/>
      <c r="K336" s="98"/>
      <c r="L336" s="7"/>
    </row>
    <row r="337" spans="4:12" ht="15.75" customHeight="1" x14ac:dyDescent="0.2">
      <c r="D337" s="23"/>
      <c r="E337" s="23"/>
      <c r="H337" s="7"/>
      <c r="I337" s="98"/>
      <c r="J337" s="98"/>
      <c r="K337" s="98"/>
      <c r="L337" s="7"/>
    </row>
    <row r="338" spans="4:12" ht="15.75" customHeight="1" x14ac:dyDescent="0.2">
      <c r="D338" s="23"/>
      <c r="E338" s="23"/>
      <c r="H338" s="7"/>
      <c r="I338" s="98"/>
      <c r="J338" s="98"/>
      <c r="K338" s="98"/>
      <c r="L338" s="7"/>
    </row>
    <row r="339" spans="4:12" ht="15.75" customHeight="1" x14ac:dyDescent="0.2">
      <c r="D339" s="23"/>
      <c r="E339" s="23"/>
      <c r="H339" s="7"/>
      <c r="I339" s="98"/>
      <c r="J339" s="98"/>
      <c r="K339" s="98"/>
      <c r="L339" s="7"/>
    </row>
    <row r="340" spans="4:12" ht="15.75" customHeight="1" x14ac:dyDescent="0.2">
      <c r="D340" s="23"/>
      <c r="E340" s="23"/>
      <c r="H340" s="7"/>
      <c r="I340" s="98"/>
      <c r="J340" s="98"/>
      <c r="K340" s="98"/>
      <c r="L340" s="7"/>
    </row>
    <row r="341" spans="4:12" ht="15.75" customHeight="1" x14ac:dyDescent="0.2">
      <c r="D341" s="23"/>
      <c r="E341" s="23"/>
      <c r="H341" s="7"/>
      <c r="I341" s="98"/>
      <c r="J341" s="98"/>
      <c r="K341" s="98"/>
      <c r="L341" s="7"/>
    </row>
    <row r="342" spans="4:12" ht="15.75" customHeight="1" x14ac:dyDescent="0.2">
      <c r="D342" s="23"/>
      <c r="E342" s="23"/>
      <c r="H342" s="7"/>
      <c r="I342" s="98"/>
      <c r="J342" s="98"/>
      <c r="K342" s="98"/>
      <c r="L342" s="7"/>
    </row>
    <row r="343" spans="4:12" ht="15.75" customHeight="1" x14ac:dyDescent="0.2">
      <c r="D343" s="23"/>
      <c r="E343" s="23"/>
      <c r="H343" s="7"/>
      <c r="I343" s="98"/>
      <c r="J343" s="98"/>
      <c r="K343" s="98"/>
      <c r="L343" s="7"/>
    </row>
    <row r="344" spans="4:12" ht="15.75" customHeight="1" x14ac:dyDescent="0.2">
      <c r="D344" s="23"/>
      <c r="E344" s="23"/>
      <c r="H344" s="7"/>
      <c r="I344" s="98"/>
      <c r="J344" s="98"/>
      <c r="K344" s="98"/>
      <c r="L344" s="7"/>
    </row>
    <row r="345" spans="4:12" ht="15.75" customHeight="1" x14ac:dyDescent="0.2">
      <c r="D345" s="23"/>
      <c r="E345" s="23"/>
      <c r="H345" s="7"/>
      <c r="I345" s="98"/>
      <c r="J345" s="98"/>
      <c r="K345" s="98"/>
      <c r="L345" s="7"/>
    </row>
    <row r="346" spans="4:12" ht="15.75" customHeight="1" x14ac:dyDescent="0.2">
      <c r="D346" s="23"/>
      <c r="E346" s="23"/>
      <c r="H346" s="7"/>
      <c r="I346" s="98"/>
      <c r="J346" s="98"/>
      <c r="K346" s="98"/>
      <c r="L346" s="7"/>
    </row>
    <row r="347" spans="4:12" ht="15.75" customHeight="1" x14ac:dyDescent="0.2">
      <c r="D347" s="23"/>
      <c r="E347" s="23"/>
      <c r="H347" s="7"/>
      <c r="I347" s="98"/>
      <c r="J347" s="98"/>
      <c r="K347" s="98"/>
      <c r="L347" s="7"/>
    </row>
    <row r="348" spans="4:12" ht="15.75" customHeight="1" x14ac:dyDescent="0.2">
      <c r="D348" s="23"/>
      <c r="E348" s="23"/>
      <c r="H348" s="7"/>
      <c r="I348" s="98"/>
      <c r="J348" s="98"/>
      <c r="K348" s="98"/>
      <c r="L348" s="7"/>
    </row>
    <row r="349" spans="4:12" ht="15.75" customHeight="1" x14ac:dyDescent="0.2">
      <c r="D349" s="23"/>
      <c r="E349" s="23"/>
      <c r="H349" s="7"/>
      <c r="I349" s="98"/>
      <c r="J349" s="98"/>
      <c r="K349" s="98"/>
      <c r="L349" s="7"/>
    </row>
    <row r="350" spans="4:12" ht="15.75" customHeight="1" x14ac:dyDescent="0.2">
      <c r="D350" s="23"/>
      <c r="E350" s="23"/>
      <c r="H350" s="7"/>
      <c r="I350" s="98"/>
      <c r="J350" s="98"/>
      <c r="K350" s="98"/>
      <c r="L350" s="7"/>
    </row>
    <row r="351" spans="4:12" ht="15.75" customHeight="1" x14ac:dyDescent="0.2">
      <c r="D351" s="23"/>
      <c r="E351" s="23"/>
      <c r="H351" s="7"/>
      <c r="I351" s="98"/>
      <c r="J351" s="98"/>
      <c r="K351" s="98"/>
      <c r="L351" s="7"/>
    </row>
    <row r="352" spans="4:12" ht="15.75" customHeight="1" x14ac:dyDescent="0.2">
      <c r="D352" s="23"/>
      <c r="E352" s="23"/>
      <c r="H352" s="7"/>
      <c r="I352" s="98"/>
      <c r="J352" s="98"/>
      <c r="K352" s="98"/>
      <c r="L352" s="7"/>
    </row>
    <row r="353" spans="4:12" ht="15.75" customHeight="1" x14ac:dyDescent="0.2">
      <c r="D353" s="23"/>
      <c r="E353" s="23"/>
      <c r="H353" s="7"/>
      <c r="I353" s="98"/>
      <c r="J353" s="98"/>
      <c r="K353" s="98"/>
      <c r="L353" s="7"/>
    </row>
    <row r="354" spans="4:12" ht="15.75" customHeight="1" x14ac:dyDescent="0.2">
      <c r="D354" s="23"/>
      <c r="E354" s="23"/>
      <c r="H354" s="7"/>
      <c r="I354" s="98"/>
      <c r="J354" s="98"/>
      <c r="K354" s="98"/>
      <c r="L354" s="7"/>
    </row>
    <row r="355" spans="4:12" ht="15.75" customHeight="1" x14ac:dyDescent="0.2">
      <c r="D355" s="23"/>
      <c r="E355" s="23"/>
      <c r="H355" s="7"/>
      <c r="I355" s="98"/>
      <c r="J355" s="98"/>
      <c r="K355" s="98"/>
      <c r="L355" s="7"/>
    </row>
    <row r="356" spans="4:12" ht="15.75" customHeight="1" x14ac:dyDescent="0.2">
      <c r="D356" s="23"/>
      <c r="E356" s="23"/>
      <c r="H356" s="7"/>
      <c r="I356" s="98"/>
      <c r="J356" s="98"/>
      <c r="K356" s="98"/>
      <c r="L356" s="7"/>
    </row>
    <row r="357" spans="4:12" ht="15.75" customHeight="1" x14ac:dyDescent="0.2">
      <c r="D357" s="23"/>
      <c r="E357" s="23"/>
      <c r="H357" s="7"/>
      <c r="I357" s="98"/>
      <c r="J357" s="98"/>
      <c r="K357" s="98"/>
      <c r="L357" s="7"/>
    </row>
    <row r="358" spans="4:12" ht="15.75" customHeight="1" x14ac:dyDescent="0.2">
      <c r="D358" s="23"/>
      <c r="E358" s="23"/>
      <c r="H358" s="7"/>
      <c r="I358" s="98"/>
      <c r="J358" s="98"/>
      <c r="K358" s="98"/>
      <c r="L358" s="7"/>
    </row>
    <row r="359" spans="4:12" ht="15.75" customHeight="1" x14ac:dyDescent="0.2">
      <c r="D359" s="23"/>
      <c r="E359" s="23"/>
      <c r="H359" s="7"/>
      <c r="I359" s="98"/>
      <c r="J359" s="98"/>
      <c r="K359" s="98"/>
      <c r="L359" s="7"/>
    </row>
    <row r="360" spans="4:12" ht="15.75" customHeight="1" x14ac:dyDescent="0.2">
      <c r="D360" s="23"/>
      <c r="E360" s="23"/>
      <c r="H360" s="7"/>
      <c r="I360" s="98"/>
      <c r="J360" s="98"/>
      <c r="K360" s="98"/>
      <c r="L360" s="7"/>
    </row>
    <row r="361" spans="4:12" ht="15.75" customHeight="1" x14ac:dyDescent="0.2">
      <c r="D361" s="23"/>
      <c r="E361" s="23"/>
      <c r="H361" s="7"/>
      <c r="I361" s="98"/>
      <c r="J361" s="98"/>
      <c r="K361" s="98"/>
      <c r="L361" s="7"/>
    </row>
    <row r="362" spans="4:12" ht="15.75" customHeight="1" x14ac:dyDescent="0.2">
      <c r="D362" s="23"/>
      <c r="E362" s="23"/>
      <c r="H362" s="7"/>
      <c r="I362" s="98"/>
      <c r="J362" s="98"/>
      <c r="K362" s="98"/>
      <c r="L362" s="7"/>
    </row>
    <row r="363" spans="4:12" ht="15.75" customHeight="1" x14ac:dyDescent="0.2">
      <c r="D363" s="23"/>
      <c r="E363" s="23"/>
      <c r="H363" s="7"/>
      <c r="I363" s="98"/>
      <c r="J363" s="98"/>
      <c r="K363" s="98"/>
      <c r="L363" s="7"/>
    </row>
    <row r="364" spans="4:12" ht="15.75" customHeight="1" x14ac:dyDescent="0.2">
      <c r="D364" s="23"/>
      <c r="E364" s="23"/>
      <c r="H364" s="7"/>
      <c r="I364" s="98"/>
      <c r="J364" s="98"/>
      <c r="K364" s="98"/>
      <c r="L364" s="7"/>
    </row>
    <row r="365" spans="4:12" ht="15.75" customHeight="1" x14ac:dyDescent="0.2">
      <c r="D365" s="23"/>
      <c r="E365" s="23"/>
      <c r="H365" s="7"/>
      <c r="I365" s="98"/>
      <c r="J365" s="98"/>
      <c r="K365" s="98"/>
      <c r="L365" s="7"/>
    </row>
    <row r="366" spans="4:12" ht="15.75" customHeight="1" x14ac:dyDescent="0.2">
      <c r="D366" s="23"/>
      <c r="E366" s="23"/>
      <c r="H366" s="7"/>
      <c r="I366" s="98"/>
      <c r="J366" s="98"/>
      <c r="K366" s="98"/>
      <c r="L366" s="7"/>
    </row>
    <row r="367" spans="4:12" ht="15.75" customHeight="1" x14ac:dyDescent="0.2">
      <c r="D367" s="23"/>
      <c r="E367" s="23"/>
      <c r="H367" s="7"/>
      <c r="I367" s="98"/>
      <c r="J367" s="98"/>
      <c r="K367" s="98"/>
      <c r="L367" s="7"/>
    </row>
    <row r="368" spans="4:12" ht="15.75" customHeight="1" x14ac:dyDescent="0.2">
      <c r="D368" s="23"/>
      <c r="E368" s="23"/>
      <c r="H368" s="7"/>
      <c r="I368" s="98"/>
      <c r="J368" s="98"/>
      <c r="K368" s="98"/>
      <c r="L368" s="7"/>
    </row>
    <row r="369" spans="4:12" ht="15.75" customHeight="1" x14ac:dyDescent="0.2">
      <c r="D369" s="23"/>
      <c r="E369" s="23"/>
      <c r="H369" s="7"/>
      <c r="I369" s="98"/>
      <c r="J369" s="98"/>
      <c r="K369" s="98"/>
      <c r="L369" s="7"/>
    </row>
    <row r="370" spans="4:12" ht="15.75" customHeight="1" x14ac:dyDescent="0.2">
      <c r="D370" s="23"/>
      <c r="E370" s="23"/>
      <c r="H370" s="7"/>
      <c r="I370" s="98"/>
      <c r="J370" s="98"/>
      <c r="K370" s="98"/>
      <c r="L370" s="7"/>
    </row>
    <row r="371" spans="4:12" ht="15.75" customHeight="1" x14ac:dyDescent="0.2">
      <c r="D371" s="23"/>
      <c r="E371" s="23"/>
      <c r="H371" s="7"/>
      <c r="I371" s="98"/>
      <c r="J371" s="98"/>
      <c r="K371" s="98"/>
      <c r="L371" s="7"/>
    </row>
    <row r="372" spans="4:12" ht="15.75" customHeight="1" x14ac:dyDescent="0.2">
      <c r="D372" s="23"/>
      <c r="E372" s="23"/>
      <c r="H372" s="7"/>
      <c r="I372" s="98"/>
      <c r="J372" s="98"/>
      <c r="K372" s="98"/>
      <c r="L372" s="7"/>
    </row>
    <row r="373" spans="4:12" ht="15.75" customHeight="1" x14ac:dyDescent="0.2">
      <c r="D373" s="23"/>
      <c r="E373" s="23"/>
      <c r="H373" s="7"/>
      <c r="I373" s="98"/>
      <c r="J373" s="98"/>
      <c r="K373" s="98"/>
      <c r="L373" s="7"/>
    </row>
    <row r="374" spans="4:12" ht="15.75" customHeight="1" x14ac:dyDescent="0.2">
      <c r="D374" s="23"/>
      <c r="E374" s="23"/>
      <c r="H374" s="7"/>
      <c r="I374" s="98"/>
      <c r="J374" s="98"/>
      <c r="K374" s="98"/>
      <c r="L374" s="7"/>
    </row>
    <row r="375" spans="4:12" ht="15.75" customHeight="1" x14ac:dyDescent="0.2">
      <c r="D375" s="23"/>
      <c r="E375" s="23"/>
      <c r="H375" s="7"/>
      <c r="I375" s="98"/>
      <c r="J375" s="98"/>
      <c r="K375" s="98"/>
      <c r="L375" s="7"/>
    </row>
    <row r="376" spans="4:12" ht="15.75" customHeight="1" x14ac:dyDescent="0.2">
      <c r="D376" s="23"/>
      <c r="E376" s="23"/>
      <c r="H376" s="7"/>
      <c r="I376" s="98"/>
      <c r="J376" s="98"/>
      <c r="K376" s="98"/>
      <c r="L376" s="7"/>
    </row>
    <row r="377" spans="4:12" ht="15.75" customHeight="1" x14ac:dyDescent="0.2">
      <c r="D377" s="23"/>
      <c r="E377" s="23"/>
      <c r="H377" s="7"/>
      <c r="I377" s="98"/>
      <c r="J377" s="98"/>
      <c r="K377" s="98"/>
      <c r="L377" s="7"/>
    </row>
    <row r="378" spans="4:12" ht="15.75" customHeight="1" x14ac:dyDescent="0.2">
      <c r="D378" s="23"/>
      <c r="E378" s="23"/>
      <c r="H378" s="7"/>
      <c r="I378" s="98"/>
      <c r="J378" s="98"/>
      <c r="K378" s="98"/>
      <c r="L378" s="7"/>
    </row>
    <row r="379" spans="4:12" ht="15.75" customHeight="1" x14ac:dyDescent="0.2">
      <c r="D379" s="23"/>
      <c r="E379" s="23"/>
      <c r="H379" s="7"/>
      <c r="I379" s="98"/>
      <c r="J379" s="98"/>
      <c r="K379" s="98"/>
      <c r="L379" s="7"/>
    </row>
    <row r="380" spans="4:12" ht="15.75" customHeight="1" x14ac:dyDescent="0.2">
      <c r="D380" s="23"/>
      <c r="E380" s="23"/>
      <c r="H380" s="7"/>
      <c r="I380" s="98"/>
      <c r="J380" s="98"/>
      <c r="K380" s="98"/>
      <c r="L380" s="7"/>
    </row>
    <row r="381" spans="4:12" ht="15.75" customHeight="1" x14ac:dyDescent="0.2">
      <c r="D381" s="23"/>
      <c r="E381" s="23"/>
      <c r="H381" s="7"/>
      <c r="I381" s="98"/>
      <c r="J381" s="98"/>
      <c r="K381" s="98"/>
      <c r="L381" s="7"/>
    </row>
    <row r="382" spans="4:12" ht="15.75" customHeight="1" x14ac:dyDescent="0.2">
      <c r="D382" s="23"/>
      <c r="E382" s="23"/>
      <c r="H382" s="7"/>
      <c r="I382" s="98"/>
      <c r="J382" s="98"/>
      <c r="K382" s="98"/>
      <c r="L382" s="7"/>
    </row>
    <row r="383" spans="4:12" ht="15.75" customHeight="1" x14ac:dyDescent="0.2">
      <c r="D383" s="23"/>
      <c r="E383" s="23"/>
      <c r="H383" s="7"/>
      <c r="I383" s="98"/>
      <c r="J383" s="98"/>
      <c r="K383" s="98"/>
      <c r="L383" s="7"/>
    </row>
    <row r="384" spans="4:12" ht="15.75" customHeight="1" x14ac:dyDescent="0.2">
      <c r="D384" s="23"/>
      <c r="E384" s="23"/>
      <c r="H384" s="7"/>
      <c r="I384" s="98"/>
      <c r="J384" s="98"/>
      <c r="K384" s="98"/>
      <c r="L384" s="7"/>
    </row>
    <row r="385" spans="4:12" ht="15.75" customHeight="1" x14ac:dyDescent="0.2">
      <c r="D385" s="23"/>
      <c r="E385" s="23"/>
      <c r="H385" s="7"/>
      <c r="I385" s="98"/>
      <c r="J385" s="98"/>
      <c r="K385" s="98"/>
      <c r="L385" s="7"/>
    </row>
    <row r="386" spans="4:12" ht="15.75" customHeight="1" x14ac:dyDescent="0.2">
      <c r="D386" s="23"/>
      <c r="E386" s="23"/>
      <c r="H386" s="7"/>
      <c r="I386" s="98"/>
      <c r="J386" s="98"/>
      <c r="K386" s="98"/>
      <c r="L386" s="7"/>
    </row>
    <row r="387" spans="4:12" ht="15.75" customHeight="1" x14ac:dyDescent="0.2">
      <c r="D387" s="23"/>
      <c r="E387" s="23"/>
      <c r="H387" s="7"/>
      <c r="I387" s="98"/>
      <c r="J387" s="98"/>
      <c r="K387" s="98"/>
      <c r="L387" s="7"/>
    </row>
    <row r="388" spans="4:12" ht="15.75" customHeight="1" x14ac:dyDescent="0.2">
      <c r="D388" s="23"/>
      <c r="E388" s="23"/>
      <c r="H388" s="7"/>
      <c r="I388" s="98"/>
      <c r="J388" s="98"/>
      <c r="K388" s="98"/>
      <c r="L388" s="7"/>
    </row>
    <row r="389" spans="4:12" ht="15.75" customHeight="1" x14ac:dyDescent="0.2">
      <c r="D389" s="23"/>
      <c r="E389" s="23"/>
      <c r="H389" s="7"/>
      <c r="I389" s="98"/>
      <c r="J389" s="98"/>
      <c r="K389" s="98"/>
      <c r="L389" s="7"/>
    </row>
    <row r="390" spans="4:12" ht="15.75" customHeight="1" x14ac:dyDescent="0.2">
      <c r="D390" s="23"/>
      <c r="E390" s="23"/>
      <c r="H390" s="7"/>
      <c r="I390" s="98"/>
      <c r="J390" s="98"/>
      <c r="K390" s="98"/>
      <c r="L390" s="7"/>
    </row>
    <row r="391" spans="4:12" ht="15.75" customHeight="1" x14ac:dyDescent="0.2">
      <c r="D391" s="23"/>
      <c r="E391" s="23"/>
      <c r="H391" s="7"/>
      <c r="I391" s="98"/>
      <c r="J391" s="98"/>
      <c r="K391" s="98"/>
      <c r="L391" s="7"/>
    </row>
    <row r="392" spans="4:12" ht="15.75" customHeight="1" x14ac:dyDescent="0.2">
      <c r="D392" s="23"/>
      <c r="E392" s="23"/>
      <c r="H392" s="7"/>
      <c r="I392" s="98"/>
      <c r="J392" s="98"/>
      <c r="K392" s="98"/>
      <c r="L392" s="7"/>
    </row>
    <row r="393" spans="4:12" ht="15.75" customHeight="1" x14ac:dyDescent="0.2">
      <c r="D393" s="23"/>
      <c r="E393" s="23"/>
      <c r="H393" s="7"/>
      <c r="I393" s="98"/>
      <c r="J393" s="98"/>
      <c r="K393" s="98"/>
      <c r="L393" s="7"/>
    </row>
    <row r="394" spans="4:12" ht="15.75" customHeight="1" x14ac:dyDescent="0.2">
      <c r="D394" s="23"/>
      <c r="E394" s="23"/>
      <c r="H394" s="7"/>
      <c r="I394" s="98"/>
      <c r="J394" s="98"/>
      <c r="K394" s="98"/>
      <c r="L394" s="7"/>
    </row>
    <row r="395" spans="4:12" ht="15.75" customHeight="1" x14ac:dyDescent="0.2">
      <c r="D395" s="23"/>
      <c r="E395" s="23"/>
      <c r="H395" s="7"/>
      <c r="I395" s="98"/>
      <c r="J395" s="98"/>
      <c r="K395" s="98"/>
      <c r="L395" s="7"/>
    </row>
    <row r="396" spans="4:12" ht="15.75" customHeight="1" x14ac:dyDescent="0.2">
      <c r="D396" s="23"/>
      <c r="E396" s="23"/>
      <c r="H396" s="7"/>
      <c r="I396" s="98"/>
      <c r="J396" s="98"/>
      <c r="K396" s="98"/>
      <c r="L396" s="7"/>
    </row>
    <row r="397" spans="4:12" ht="15.75" customHeight="1" x14ac:dyDescent="0.2">
      <c r="D397" s="23"/>
      <c r="E397" s="23"/>
      <c r="H397" s="7"/>
      <c r="I397" s="98"/>
      <c r="J397" s="98"/>
      <c r="K397" s="98"/>
      <c r="L397" s="7"/>
    </row>
    <row r="398" spans="4:12" ht="15.75" customHeight="1" x14ac:dyDescent="0.2">
      <c r="D398" s="23"/>
      <c r="E398" s="23"/>
      <c r="H398" s="7"/>
      <c r="I398" s="98"/>
      <c r="J398" s="98"/>
      <c r="K398" s="98"/>
      <c r="L398" s="7"/>
    </row>
    <row r="399" spans="4:12" ht="15.75" customHeight="1" x14ac:dyDescent="0.2">
      <c r="D399" s="23"/>
      <c r="E399" s="23"/>
      <c r="H399" s="7"/>
      <c r="I399" s="98"/>
      <c r="J399" s="98"/>
      <c r="K399" s="98"/>
      <c r="L399" s="7"/>
    </row>
    <row r="400" spans="4:12" ht="15.75" customHeight="1" x14ac:dyDescent="0.2">
      <c r="D400" s="23"/>
      <c r="E400" s="23"/>
      <c r="H400" s="7"/>
      <c r="I400" s="98"/>
      <c r="J400" s="98"/>
      <c r="K400" s="98"/>
      <c r="L400" s="7"/>
    </row>
    <row r="401" spans="4:12" ht="15.75" customHeight="1" x14ac:dyDescent="0.2">
      <c r="D401" s="23"/>
      <c r="E401" s="23"/>
      <c r="H401" s="7"/>
      <c r="I401" s="98"/>
      <c r="J401" s="98"/>
      <c r="K401" s="98"/>
      <c r="L401" s="7"/>
    </row>
    <row r="402" spans="4:12" ht="15.75" customHeight="1" x14ac:dyDescent="0.2">
      <c r="D402" s="23"/>
      <c r="E402" s="23"/>
      <c r="H402" s="7"/>
      <c r="I402" s="98"/>
      <c r="J402" s="98"/>
      <c r="K402" s="98"/>
      <c r="L402" s="7"/>
    </row>
    <row r="403" spans="4:12" ht="15.75" customHeight="1" x14ac:dyDescent="0.2">
      <c r="D403" s="23"/>
      <c r="E403" s="23"/>
      <c r="H403" s="7"/>
      <c r="I403" s="98"/>
      <c r="J403" s="98"/>
      <c r="K403" s="98"/>
      <c r="L403" s="7"/>
    </row>
    <row r="404" spans="4:12" ht="15.75" customHeight="1" x14ac:dyDescent="0.2">
      <c r="D404" s="23"/>
      <c r="E404" s="23"/>
      <c r="H404" s="7"/>
      <c r="I404" s="98"/>
      <c r="J404" s="98"/>
      <c r="K404" s="98"/>
      <c r="L404" s="7"/>
    </row>
    <row r="405" spans="4:12" ht="15.75" customHeight="1" x14ac:dyDescent="0.2">
      <c r="D405" s="23"/>
      <c r="E405" s="23"/>
      <c r="H405" s="7"/>
      <c r="I405" s="98"/>
      <c r="J405" s="98"/>
      <c r="K405" s="98"/>
      <c r="L405" s="7"/>
    </row>
    <row r="406" spans="4:12" ht="15.75" customHeight="1" x14ac:dyDescent="0.2">
      <c r="D406" s="23"/>
      <c r="E406" s="23"/>
      <c r="H406" s="7"/>
      <c r="I406" s="98"/>
      <c r="J406" s="98"/>
      <c r="K406" s="98"/>
      <c r="L406" s="7"/>
    </row>
    <row r="407" spans="4:12" ht="15.75" customHeight="1" x14ac:dyDescent="0.2">
      <c r="D407" s="23"/>
      <c r="E407" s="23"/>
      <c r="H407" s="7"/>
      <c r="I407" s="98"/>
      <c r="J407" s="98"/>
      <c r="K407" s="98"/>
      <c r="L407" s="7"/>
    </row>
    <row r="408" spans="4:12" ht="15.75" customHeight="1" x14ac:dyDescent="0.2">
      <c r="D408" s="23"/>
      <c r="E408" s="23"/>
      <c r="H408" s="7"/>
      <c r="I408" s="98"/>
      <c r="J408" s="98"/>
      <c r="K408" s="98"/>
      <c r="L408" s="7"/>
    </row>
    <row r="409" spans="4:12" ht="15.75" customHeight="1" x14ac:dyDescent="0.2">
      <c r="D409" s="23"/>
      <c r="E409" s="23"/>
      <c r="H409" s="7"/>
      <c r="I409" s="98"/>
      <c r="J409" s="98"/>
      <c r="K409" s="98"/>
      <c r="L409" s="7"/>
    </row>
    <row r="410" spans="4:12" ht="15.75" customHeight="1" x14ac:dyDescent="0.2">
      <c r="D410" s="23"/>
      <c r="E410" s="23"/>
      <c r="H410" s="7"/>
      <c r="I410" s="98"/>
      <c r="J410" s="98"/>
      <c r="K410" s="98"/>
      <c r="L410" s="7"/>
    </row>
    <row r="411" spans="4:12" ht="15.75" customHeight="1" x14ac:dyDescent="0.2">
      <c r="D411" s="23"/>
      <c r="E411" s="23"/>
      <c r="H411" s="7"/>
      <c r="I411" s="98"/>
      <c r="J411" s="98"/>
      <c r="K411" s="98"/>
      <c r="L411" s="7"/>
    </row>
    <row r="412" spans="4:12" ht="15.75" customHeight="1" x14ac:dyDescent="0.2">
      <c r="D412" s="23"/>
      <c r="E412" s="23"/>
      <c r="H412" s="7"/>
      <c r="I412" s="98"/>
      <c r="J412" s="98"/>
      <c r="K412" s="98"/>
      <c r="L412" s="7"/>
    </row>
    <row r="413" spans="4:12" ht="15.75" customHeight="1" x14ac:dyDescent="0.2">
      <c r="D413" s="23"/>
      <c r="E413" s="23"/>
      <c r="H413" s="7"/>
      <c r="I413" s="98"/>
      <c r="J413" s="98"/>
      <c r="K413" s="98"/>
      <c r="L413" s="7"/>
    </row>
    <row r="414" spans="4:12" ht="15.75" customHeight="1" x14ac:dyDescent="0.2">
      <c r="D414" s="23"/>
      <c r="E414" s="23"/>
      <c r="H414" s="7"/>
      <c r="I414" s="98"/>
      <c r="J414" s="98"/>
      <c r="K414" s="98"/>
      <c r="L414" s="7"/>
    </row>
    <row r="415" spans="4:12" ht="15.75" customHeight="1" x14ac:dyDescent="0.2">
      <c r="D415" s="23"/>
      <c r="E415" s="23"/>
      <c r="H415" s="7"/>
      <c r="I415" s="98"/>
      <c r="J415" s="98"/>
      <c r="K415" s="98"/>
      <c r="L415" s="7"/>
    </row>
    <row r="416" spans="4:12" ht="15.75" customHeight="1" x14ac:dyDescent="0.2">
      <c r="D416" s="23"/>
      <c r="E416" s="23"/>
      <c r="H416" s="7"/>
      <c r="I416" s="98"/>
      <c r="J416" s="98"/>
      <c r="K416" s="98"/>
      <c r="L416" s="7"/>
    </row>
    <row r="417" spans="4:12" ht="15.75" customHeight="1" x14ac:dyDescent="0.2">
      <c r="D417" s="23"/>
      <c r="E417" s="23"/>
      <c r="H417" s="7"/>
      <c r="I417" s="98"/>
      <c r="J417" s="98"/>
      <c r="K417" s="98"/>
      <c r="L417" s="7"/>
    </row>
    <row r="418" spans="4:12" ht="15.75" customHeight="1" x14ac:dyDescent="0.2">
      <c r="D418" s="23"/>
      <c r="E418" s="23"/>
      <c r="H418" s="7"/>
      <c r="I418" s="98"/>
      <c r="J418" s="98"/>
      <c r="K418" s="98"/>
      <c r="L418" s="7"/>
    </row>
    <row r="419" spans="4:12" ht="15.75" customHeight="1" x14ac:dyDescent="0.2">
      <c r="D419" s="23"/>
      <c r="E419" s="23"/>
      <c r="H419" s="7"/>
      <c r="I419" s="98"/>
      <c r="J419" s="98"/>
      <c r="K419" s="98"/>
      <c r="L419" s="7"/>
    </row>
    <row r="420" spans="4:12" ht="15.75" customHeight="1" x14ac:dyDescent="0.2">
      <c r="D420" s="23"/>
      <c r="E420" s="23"/>
      <c r="H420" s="7"/>
      <c r="I420" s="98"/>
      <c r="J420" s="98"/>
      <c r="K420" s="98"/>
      <c r="L420" s="7"/>
    </row>
    <row r="421" spans="4:12" ht="15.75" customHeight="1" x14ac:dyDescent="0.2">
      <c r="D421" s="23"/>
      <c r="E421" s="23"/>
      <c r="H421" s="7"/>
      <c r="I421" s="98"/>
      <c r="J421" s="98"/>
      <c r="K421" s="98"/>
      <c r="L421" s="7"/>
    </row>
    <row r="422" spans="4:12" ht="15.75" customHeight="1" x14ac:dyDescent="0.2">
      <c r="D422" s="23"/>
      <c r="E422" s="23"/>
      <c r="H422" s="7"/>
      <c r="I422" s="98"/>
      <c r="J422" s="98"/>
      <c r="K422" s="98"/>
      <c r="L422" s="7"/>
    </row>
    <row r="423" spans="4:12" ht="15.75" customHeight="1" x14ac:dyDescent="0.2">
      <c r="D423" s="23"/>
      <c r="E423" s="23"/>
      <c r="H423" s="7"/>
      <c r="I423" s="98"/>
      <c r="J423" s="98"/>
      <c r="K423" s="98"/>
      <c r="L423" s="7"/>
    </row>
    <row r="424" spans="4:12" ht="15.75" customHeight="1" x14ac:dyDescent="0.2">
      <c r="D424" s="23"/>
      <c r="E424" s="23"/>
      <c r="H424" s="7"/>
      <c r="I424" s="98"/>
      <c r="J424" s="98"/>
      <c r="K424" s="98"/>
      <c r="L424" s="7"/>
    </row>
    <row r="425" spans="4:12" ht="15.75" customHeight="1" x14ac:dyDescent="0.2">
      <c r="D425" s="23"/>
      <c r="E425" s="23"/>
      <c r="H425" s="7"/>
      <c r="I425" s="98"/>
      <c r="J425" s="98"/>
      <c r="K425" s="98"/>
      <c r="L425" s="7"/>
    </row>
    <row r="426" spans="4:12" ht="15.75" customHeight="1" x14ac:dyDescent="0.2">
      <c r="D426" s="23"/>
      <c r="E426" s="23"/>
      <c r="H426" s="7"/>
      <c r="I426" s="98"/>
      <c r="J426" s="98"/>
      <c r="K426" s="98"/>
      <c r="L426" s="7"/>
    </row>
    <row r="427" spans="4:12" ht="15.75" customHeight="1" x14ac:dyDescent="0.2">
      <c r="D427" s="23"/>
      <c r="E427" s="23"/>
      <c r="H427" s="7"/>
      <c r="I427" s="98"/>
      <c r="J427" s="98"/>
      <c r="K427" s="98"/>
      <c r="L427" s="7"/>
    </row>
    <row r="428" spans="4:12" ht="15.75" customHeight="1" x14ac:dyDescent="0.2">
      <c r="D428" s="23"/>
      <c r="E428" s="23"/>
      <c r="H428" s="7"/>
      <c r="I428" s="98"/>
      <c r="J428" s="98"/>
      <c r="K428" s="98"/>
      <c r="L428" s="7"/>
    </row>
    <row r="429" spans="4:12" ht="15.75" customHeight="1" x14ac:dyDescent="0.2">
      <c r="D429" s="23"/>
      <c r="E429" s="23"/>
      <c r="H429" s="7"/>
      <c r="I429" s="98"/>
      <c r="J429" s="98"/>
      <c r="K429" s="98"/>
      <c r="L429" s="7"/>
    </row>
    <row r="430" spans="4:12" ht="15.75" customHeight="1" x14ac:dyDescent="0.2">
      <c r="D430" s="23"/>
      <c r="E430" s="23"/>
      <c r="H430" s="7"/>
      <c r="I430" s="98"/>
      <c r="J430" s="98"/>
      <c r="K430" s="98"/>
      <c r="L430" s="7"/>
    </row>
    <row r="431" spans="4:12" ht="15.75" customHeight="1" x14ac:dyDescent="0.2">
      <c r="D431" s="23"/>
      <c r="E431" s="23"/>
      <c r="H431" s="7"/>
      <c r="I431" s="98"/>
      <c r="J431" s="98"/>
      <c r="K431" s="98"/>
      <c r="L431" s="7"/>
    </row>
    <row r="432" spans="4:12" ht="15.75" customHeight="1" x14ac:dyDescent="0.2">
      <c r="D432" s="23"/>
      <c r="E432" s="23"/>
      <c r="H432" s="7"/>
      <c r="I432" s="98"/>
      <c r="J432" s="98"/>
      <c r="K432" s="98"/>
      <c r="L432" s="7"/>
    </row>
    <row r="433" spans="4:12" ht="15.75" customHeight="1" x14ac:dyDescent="0.2">
      <c r="D433" s="23"/>
      <c r="E433" s="23"/>
      <c r="H433" s="7"/>
      <c r="I433" s="98"/>
      <c r="J433" s="98"/>
      <c r="K433" s="98"/>
      <c r="L433" s="7"/>
    </row>
    <row r="434" spans="4:12" ht="15.75" customHeight="1" x14ac:dyDescent="0.2">
      <c r="D434" s="23"/>
      <c r="E434" s="23"/>
      <c r="H434" s="7"/>
      <c r="I434" s="98"/>
      <c r="J434" s="98"/>
      <c r="K434" s="98"/>
      <c r="L434" s="7"/>
    </row>
    <row r="435" spans="4:12" ht="15.75" customHeight="1" x14ac:dyDescent="0.2">
      <c r="D435" s="23"/>
      <c r="E435" s="23"/>
      <c r="H435" s="7"/>
      <c r="I435" s="98"/>
      <c r="J435" s="98"/>
      <c r="K435" s="98"/>
      <c r="L435" s="7"/>
    </row>
    <row r="436" spans="4:12" ht="15.75" customHeight="1" x14ac:dyDescent="0.2">
      <c r="D436" s="23"/>
      <c r="E436" s="23"/>
      <c r="H436" s="7"/>
      <c r="I436" s="98"/>
      <c r="J436" s="98"/>
      <c r="K436" s="98"/>
      <c r="L436" s="7"/>
    </row>
    <row r="437" spans="4:12" ht="15.75" customHeight="1" x14ac:dyDescent="0.2">
      <c r="D437" s="23"/>
      <c r="E437" s="23"/>
      <c r="H437" s="7"/>
      <c r="I437" s="98"/>
      <c r="J437" s="98"/>
      <c r="K437" s="98"/>
      <c r="L437" s="7"/>
    </row>
    <row r="438" spans="4:12" ht="15.75" customHeight="1" x14ac:dyDescent="0.2">
      <c r="D438" s="23"/>
      <c r="E438" s="23"/>
      <c r="H438" s="7"/>
      <c r="I438" s="98"/>
      <c r="J438" s="98"/>
      <c r="K438" s="98"/>
      <c r="L438" s="7"/>
    </row>
    <row r="439" spans="4:12" ht="15.75" customHeight="1" x14ac:dyDescent="0.2">
      <c r="D439" s="23"/>
      <c r="E439" s="23"/>
      <c r="H439" s="7"/>
      <c r="I439" s="98"/>
      <c r="J439" s="98"/>
      <c r="K439" s="98"/>
      <c r="L439" s="7"/>
    </row>
    <row r="440" spans="4:12" ht="15.75" customHeight="1" x14ac:dyDescent="0.2">
      <c r="D440" s="23"/>
      <c r="E440" s="23"/>
      <c r="H440" s="7"/>
      <c r="I440" s="98"/>
      <c r="J440" s="98"/>
      <c r="K440" s="98"/>
      <c r="L440" s="7"/>
    </row>
    <row r="441" spans="4:12" ht="15.75" customHeight="1" x14ac:dyDescent="0.2">
      <c r="D441" s="23"/>
      <c r="E441" s="23"/>
      <c r="H441" s="7"/>
      <c r="I441" s="98"/>
      <c r="J441" s="98"/>
      <c r="K441" s="98"/>
      <c r="L441" s="7"/>
    </row>
    <row r="442" spans="4:12" ht="15.75" customHeight="1" x14ac:dyDescent="0.2">
      <c r="D442" s="23"/>
      <c r="E442" s="23"/>
      <c r="H442" s="7"/>
      <c r="I442" s="98"/>
      <c r="J442" s="98"/>
      <c r="K442" s="98"/>
      <c r="L442" s="7"/>
    </row>
    <row r="443" spans="4:12" ht="15.75" customHeight="1" x14ac:dyDescent="0.2">
      <c r="D443" s="23"/>
      <c r="E443" s="23"/>
      <c r="H443" s="7"/>
      <c r="I443" s="98"/>
      <c r="J443" s="98"/>
      <c r="K443" s="98"/>
      <c r="L443" s="7"/>
    </row>
    <row r="444" spans="4:12" ht="15.75" customHeight="1" x14ac:dyDescent="0.2">
      <c r="D444" s="23"/>
      <c r="E444" s="23"/>
      <c r="H444" s="7"/>
      <c r="I444" s="98"/>
      <c r="J444" s="98"/>
      <c r="K444" s="98"/>
      <c r="L444" s="7"/>
    </row>
    <row r="445" spans="4:12" ht="15.75" customHeight="1" x14ac:dyDescent="0.2">
      <c r="D445" s="23"/>
      <c r="E445" s="23"/>
      <c r="H445" s="7"/>
      <c r="I445" s="98"/>
      <c r="J445" s="98"/>
      <c r="K445" s="98"/>
      <c r="L445" s="7"/>
    </row>
    <row r="446" spans="4:12" ht="15.75" customHeight="1" x14ac:dyDescent="0.2">
      <c r="D446" s="23"/>
      <c r="E446" s="23"/>
      <c r="H446" s="7"/>
      <c r="I446" s="98"/>
      <c r="J446" s="98"/>
      <c r="K446" s="98"/>
      <c r="L446" s="7"/>
    </row>
    <row r="447" spans="4:12" ht="15.75" customHeight="1" x14ac:dyDescent="0.2">
      <c r="D447" s="23"/>
      <c r="E447" s="23"/>
      <c r="H447" s="7"/>
      <c r="I447" s="98"/>
      <c r="J447" s="98"/>
      <c r="K447" s="98"/>
      <c r="L447" s="7"/>
    </row>
    <row r="448" spans="4:12" ht="15.75" customHeight="1" x14ac:dyDescent="0.2">
      <c r="D448" s="23"/>
      <c r="E448" s="23"/>
      <c r="H448" s="7"/>
      <c r="I448" s="98"/>
      <c r="J448" s="98"/>
      <c r="K448" s="98"/>
      <c r="L448" s="7"/>
    </row>
    <row r="449" spans="4:12" ht="15.75" customHeight="1" x14ac:dyDescent="0.2">
      <c r="D449" s="23"/>
      <c r="E449" s="23"/>
      <c r="H449" s="7"/>
      <c r="I449" s="98"/>
      <c r="J449" s="98"/>
      <c r="K449" s="98"/>
      <c r="L449" s="7"/>
    </row>
    <row r="450" spans="4:12" ht="15.75" customHeight="1" x14ac:dyDescent="0.2">
      <c r="D450" s="23"/>
      <c r="E450" s="23"/>
      <c r="H450" s="7"/>
      <c r="I450" s="98"/>
      <c r="J450" s="98"/>
      <c r="K450" s="98"/>
      <c r="L450" s="7"/>
    </row>
    <row r="451" spans="4:12" ht="15.75" customHeight="1" x14ac:dyDescent="0.2">
      <c r="D451" s="23"/>
      <c r="E451" s="23"/>
      <c r="H451" s="7"/>
      <c r="I451" s="98"/>
      <c r="J451" s="98"/>
      <c r="K451" s="98"/>
      <c r="L451" s="7"/>
    </row>
    <row r="452" spans="4:12" ht="15.75" customHeight="1" x14ac:dyDescent="0.2">
      <c r="D452" s="23"/>
      <c r="E452" s="23"/>
      <c r="H452" s="7"/>
      <c r="I452" s="98"/>
      <c r="J452" s="98"/>
      <c r="K452" s="98"/>
      <c r="L452" s="7"/>
    </row>
    <row r="453" spans="4:12" ht="15.75" customHeight="1" x14ac:dyDescent="0.2">
      <c r="D453" s="23"/>
      <c r="E453" s="23"/>
      <c r="H453" s="7"/>
      <c r="I453" s="98"/>
      <c r="J453" s="98"/>
      <c r="K453" s="98"/>
      <c r="L453" s="7"/>
    </row>
    <row r="454" spans="4:12" ht="15.75" customHeight="1" x14ac:dyDescent="0.2">
      <c r="D454" s="23"/>
      <c r="E454" s="23"/>
      <c r="H454" s="7"/>
      <c r="I454" s="98"/>
      <c r="J454" s="98"/>
      <c r="K454" s="98"/>
      <c r="L454" s="7"/>
    </row>
    <row r="455" spans="4:12" ht="15.75" customHeight="1" x14ac:dyDescent="0.2">
      <c r="D455" s="23"/>
      <c r="E455" s="23"/>
      <c r="H455" s="7"/>
      <c r="I455" s="98"/>
      <c r="J455" s="98"/>
      <c r="K455" s="98"/>
      <c r="L455" s="7"/>
    </row>
    <row r="456" spans="4:12" ht="15.75" customHeight="1" x14ac:dyDescent="0.2">
      <c r="D456" s="23"/>
      <c r="E456" s="23"/>
      <c r="H456" s="7"/>
      <c r="I456" s="98"/>
      <c r="J456" s="98"/>
      <c r="K456" s="98"/>
      <c r="L456" s="7"/>
    </row>
    <row r="457" spans="4:12" ht="15.75" customHeight="1" x14ac:dyDescent="0.2">
      <c r="D457" s="23"/>
      <c r="E457" s="23"/>
      <c r="H457" s="7"/>
      <c r="I457" s="98"/>
      <c r="J457" s="98"/>
      <c r="K457" s="98"/>
      <c r="L457" s="7"/>
    </row>
    <row r="458" spans="4:12" ht="15.75" customHeight="1" x14ac:dyDescent="0.2">
      <c r="D458" s="23"/>
      <c r="E458" s="23"/>
      <c r="H458" s="7"/>
      <c r="I458" s="98"/>
      <c r="J458" s="98"/>
      <c r="K458" s="98"/>
      <c r="L458" s="7"/>
    </row>
    <row r="459" spans="4:12" ht="15.75" customHeight="1" x14ac:dyDescent="0.2">
      <c r="D459" s="23"/>
      <c r="E459" s="23"/>
      <c r="H459" s="7"/>
      <c r="I459" s="98"/>
      <c r="J459" s="98"/>
      <c r="K459" s="98"/>
      <c r="L459" s="7"/>
    </row>
    <row r="460" spans="4:12" ht="15.75" customHeight="1" x14ac:dyDescent="0.2">
      <c r="D460" s="23"/>
      <c r="E460" s="23"/>
      <c r="H460" s="7"/>
      <c r="I460" s="98"/>
      <c r="J460" s="98"/>
      <c r="K460" s="98"/>
      <c r="L460" s="7"/>
    </row>
    <row r="461" spans="4:12" ht="15.75" customHeight="1" x14ac:dyDescent="0.2">
      <c r="D461" s="23"/>
      <c r="E461" s="23"/>
      <c r="H461" s="7"/>
      <c r="I461" s="98"/>
      <c r="J461" s="98"/>
      <c r="K461" s="98"/>
      <c r="L461" s="7"/>
    </row>
    <row r="462" spans="4:12" ht="15.75" customHeight="1" x14ac:dyDescent="0.2">
      <c r="D462" s="23"/>
      <c r="E462" s="23"/>
      <c r="H462" s="7"/>
      <c r="I462" s="98"/>
      <c r="J462" s="98"/>
      <c r="K462" s="98"/>
      <c r="L462" s="7"/>
    </row>
    <row r="463" spans="4:12" ht="15.75" customHeight="1" x14ac:dyDescent="0.2">
      <c r="D463" s="23"/>
      <c r="E463" s="23"/>
      <c r="H463" s="7"/>
      <c r="I463" s="98"/>
      <c r="J463" s="98"/>
      <c r="K463" s="98"/>
      <c r="L463" s="7"/>
    </row>
    <row r="464" spans="4:12" ht="15.75" customHeight="1" x14ac:dyDescent="0.2">
      <c r="D464" s="23"/>
      <c r="E464" s="23"/>
      <c r="H464" s="7"/>
      <c r="I464" s="98"/>
      <c r="J464" s="98"/>
      <c r="K464" s="98"/>
      <c r="L464" s="7"/>
    </row>
    <row r="465" spans="4:12" ht="15.75" customHeight="1" x14ac:dyDescent="0.2">
      <c r="D465" s="23"/>
      <c r="E465" s="23"/>
      <c r="H465" s="7"/>
      <c r="I465" s="98"/>
      <c r="J465" s="98"/>
      <c r="K465" s="98"/>
      <c r="L465" s="7"/>
    </row>
    <row r="466" spans="4:12" ht="15.75" customHeight="1" x14ac:dyDescent="0.2">
      <c r="D466" s="23"/>
      <c r="E466" s="23"/>
      <c r="H466" s="7"/>
      <c r="I466" s="98"/>
      <c r="J466" s="98"/>
      <c r="K466" s="98"/>
      <c r="L466" s="7"/>
    </row>
    <row r="467" spans="4:12" ht="15.75" customHeight="1" x14ac:dyDescent="0.2">
      <c r="D467" s="23"/>
      <c r="E467" s="23"/>
      <c r="H467" s="7"/>
      <c r="I467" s="98"/>
      <c r="J467" s="98"/>
      <c r="K467" s="98"/>
      <c r="L467" s="7"/>
    </row>
    <row r="468" spans="4:12" ht="15.75" customHeight="1" x14ac:dyDescent="0.2">
      <c r="D468" s="23"/>
      <c r="E468" s="23"/>
      <c r="H468" s="7"/>
      <c r="I468" s="98"/>
      <c r="J468" s="98"/>
      <c r="K468" s="98"/>
      <c r="L468" s="7"/>
    </row>
    <row r="469" spans="4:12" ht="15.75" customHeight="1" x14ac:dyDescent="0.2">
      <c r="D469" s="23"/>
      <c r="E469" s="23"/>
      <c r="H469" s="7"/>
      <c r="I469" s="98"/>
      <c r="J469" s="98"/>
      <c r="K469" s="98"/>
      <c r="L469" s="7"/>
    </row>
    <row r="470" spans="4:12" ht="15.75" customHeight="1" x14ac:dyDescent="0.2">
      <c r="D470" s="23"/>
      <c r="E470" s="23"/>
      <c r="H470" s="7"/>
      <c r="I470" s="98"/>
      <c r="J470" s="98"/>
      <c r="K470" s="98"/>
      <c r="L470" s="7"/>
    </row>
    <row r="471" spans="4:12" ht="15.75" customHeight="1" x14ac:dyDescent="0.2">
      <c r="D471" s="23"/>
      <c r="E471" s="23"/>
      <c r="H471" s="7"/>
      <c r="I471" s="98"/>
      <c r="J471" s="98"/>
      <c r="K471" s="98"/>
      <c r="L471" s="7"/>
    </row>
    <row r="472" spans="4:12" ht="15.75" customHeight="1" x14ac:dyDescent="0.2">
      <c r="D472" s="23"/>
      <c r="E472" s="23"/>
      <c r="H472" s="7"/>
      <c r="I472" s="98"/>
      <c r="J472" s="98"/>
      <c r="K472" s="98"/>
      <c r="L472" s="7"/>
    </row>
    <row r="473" spans="4:12" ht="15.75" customHeight="1" x14ac:dyDescent="0.2">
      <c r="D473" s="23"/>
      <c r="E473" s="23"/>
      <c r="H473" s="7"/>
      <c r="I473" s="98"/>
      <c r="J473" s="98"/>
      <c r="K473" s="98"/>
      <c r="L473" s="7"/>
    </row>
    <row r="474" spans="4:12" ht="15.75" customHeight="1" x14ac:dyDescent="0.2">
      <c r="D474" s="23"/>
      <c r="E474" s="23"/>
      <c r="H474" s="7"/>
      <c r="I474" s="98"/>
      <c r="J474" s="98"/>
      <c r="K474" s="98"/>
      <c r="L474" s="7"/>
    </row>
    <row r="475" spans="4:12" ht="15.75" customHeight="1" x14ac:dyDescent="0.2">
      <c r="D475" s="23"/>
      <c r="E475" s="23"/>
      <c r="H475" s="7"/>
      <c r="I475" s="98"/>
      <c r="J475" s="98"/>
      <c r="K475" s="98"/>
      <c r="L475" s="7"/>
    </row>
    <row r="476" spans="4:12" ht="15.75" customHeight="1" x14ac:dyDescent="0.2">
      <c r="D476" s="23"/>
      <c r="E476" s="23"/>
      <c r="H476" s="7"/>
      <c r="I476" s="98"/>
      <c r="J476" s="98"/>
      <c r="K476" s="98"/>
      <c r="L476" s="7"/>
    </row>
    <row r="477" spans="4:12" ht="15.75" customHeight="1" x14ac:dyDescent="0.2">
      <c r="D477" s="23"/>
      <c r="E477" s="23"/>
      <c r="H477" s="7"/>
      <c r="I477" s="98"/>
      <c r="J477" s="98"/>
      <c r="K477" s="98"/>
      <c r="L477" s="7"/>
    </row>
    <row r="478" spans="4:12" ht="15.75" customHeight="1" x14ac:dyDescent="0.2">
      <c r="D478" s="23"/>
      <c r="E478" s="23"/>
      <c r="H478" s="7"/>
      <c r="I478" s="98"/>
      <c r="J478" s="98"/>
      <c r="K478" s="98"/>
      <c r="L478" s="7"/>
    </row>
    <row r="479" spans="4:12" ht="15.75" customHeight="1" x14ac:dyDescent="0.2">
      <c r="D479" s="23"/>
      <c r="E479" s="23"/>
      <c r="H479" s="7"/>
      <c r="I479" s="98"/>
      <c r="J479" s="98"/>
      <c r="K479" s="98"/>
      <c r="L479" s="7"/>
    </row>
    <row r="480" spans="4:12" ht="15.75" customHeight="1" x14ac:dyDescent="0.2">
      <c r="D480" s="23"/>
      <c r="E480" s="23"/>
      <c r="H480" s="7"/>
      <c r="I480" s="98"/>
      <c r="J480" s="98"/>
      <c r="K480" s="98"/>
      <c r="L480" s="7"/>
    </row>
    <row r="481" spans="4:12" ht="15.75" customHeight="1" x14ac:dyDescent="0.2">
      <c r="D481" s="23"/>
      <c r="E481" s="23"/>
      <c r="H481" s="7"/>
      <c r="I481" s="98"/>
      <c r="J481" s="98"/>
      <c r="K481" s="98"/>
      <c r="L481" s="7"/>
    </row>
    <row r="482" spans="4:12" ht="15.75" customHeight="1" x14ac:dyDescent="0.2">
      <c r="D482" s="23"/>
      <c r="E482" s="23"/>
      <c r="H482" s="7"/>
      <c r="I482" s="98"/>
      <c r="J482" s="98"/>
      <c r="K482" s="98"/>
      <c r="L482" s="7"/>
    </row>
    <row r="483" spans="4:12" ht="15.75" customHeight="1" x14ac:dyDescent="0.2">
      <c r="D483" s="23"/>
      <c r="E483" s="23"/>
      <c r="H483" s="7"/>
      <c r="I483" s="98"/>
      <c r="J483" s="98"/>
      <c r="K483" s="98"/>
      <c r="L483" s="7"/>
    </row>
    <row r="484" spans="4:12" ht="15.75" customHeight="1" x14ac:dyDescent="0.2">
      <c r="D484" s="23"/>
      <c r="E484" s="23"/>
      <c r="H484" s="7"/>
      <c r="I484" s="98"/>
      <c r="J484" s="98"/>
      <c r="K484" s="98"/>
      <c r="L484" s="7"/>
    </row>
    <row r="485" spans="4:12" ht="15.75" customHeight="1" x14ac:dyDescent="0.2">
      <c r="D485" s="23"/>
      <c r="E485" s="23"/>
      <c r="H485" s="7"/>
      <c r="I485" s="98"/>
      <c r="J485" s="98"/>
      <c r="K485" s="98"/>
      <c r="L485" s="7"/>
    </row>
    <row r="486" spans="4:12" ht="15.75" customHeight="1" x14ac:dyDescent="0.2">
      <c r="D486" s="23"/>
      <c r="E486" s="23"/>
      <c r="H486" s="7"/>
      <c r="I486" s="98"/>
      <c r="J486" s="98"/>
      <c r="K486" s="98"/>
      <c r="L486" s="7"/>
    </row>
    <row r="487" spans="4:12" ht="15.75" customHeight="1" x14ac:dyDescent="0.2">
      <c r="D487" s="23"/>
      <c r="E487" s="23"/>
      <c r="H487" s="7"/>
      <c r="I487" s="98"/>
      <c r="J487" s="98"/>
      <c r="K487" s="98"/>
      <c r="L487" s="7"/>
    </row>
    <row r="488" spans="4:12" ht="15.75" customHeight="1" x14ac:dyDescent="0.2">
      <c r="D488" s="23"/>
      <c r="E488" s="23"/>
      <c r="H488" s="7"/>
      <c r="I488" s="98"/>
      <c r="J488" s="98"/>
      <c r="K488" s="98"/>
      <c r="L488" s="7"/>
    </row>
    <row r="489" spans="4:12" ht="15.75" customHeight="1" x14ac:dyDescent="0.2">
      <c r="D489" s="23"/>
      <c r="E489" s="23"/>
      <c r="H489" s="7"/>
      <c r="I489" s="98"/>
      <c r="J489" s="98"/>
      <c r="K489" s="98"/>
      <c r="L489" s="7"/>
    </row>
    <row r="490" spans="4:12" ht="15.75" customHeight="1" x14ac:dyDescent="0.2">
      <c r="D490" s="23"/>
      <c r="E490" s="23"/>
      <c r="H490" s="7"/>
      <c r="I490" s="98"/>
      <c r="J490" s="98"/>
      <c r="K490" s="98"/>
      <c r="L490" s="7"/>
    </row>
    <row r="491" spans="4:12" ht="15.75" customHeight="1" x14ac:dyDescent="0.2">
      <c r="D491" s="23"/>
      <c r="E491" s="23"/>
      <c r="H491" s="7"/>
      <c r="I491" s="98"/>
      <c r="J491" s="98"/>
      <c r="K491" s="98"/>
      <c r="L491" s="7"/>
    </row>
    <row r="492" spans="4:12" ht="15.75" customHeight="1" x14ac:dyDescent="0.2">
      <c r="D492" s="23"/>
      <c r="E492" s="23"/>
      <c r="H492" s="7"/>
      <c r="I492" s="98"/>
      <c r="J492" s="98"/>
      <c r="K492" s="98"/>
      <c r="L492" s="7"/>
    </row>
    <row r="493" spans="4:12" ht="15.75" customHeight="1" x14ac:dyDescent="0.2">
      <c r="D493" s="23"/>
      <c r="E493" s="23"/>
      <c r="H493" s="7"/>
      <c r="I493" s="98"/>
      <c r="J493" s="98"/>
      <c r="K493" s="98"/>
      <c r="L493" s="7"/>
    </row>
    <row r="494" spans="4:12" ht="15.75" customHeight="1" x14ac:dyDescent="0.2">
      <c r="D494" s="23"/>
      <c r="E494" s="23"/>
      <c r="H494" s="7"/>
      <c r="I494" s="98"/>
      <c r="J494" s="98"/>
      <c r="K494" s="98"/>
      <c r="L494" s="7"/>
    </row>
    <row r="495" spans="4:12" ht="15.75" customHeight="1" x14ac:dyDescent="0.2">
      <c r="D495" s="23"/>
      <c r="E495" s="23"/>
      <c r="H495" s="7"/>
      <c r="I495" s="98"/>
      <c r="J495" s="98"/>
      <c r="K495" s="98"/>
      <c r="L495" s="7"/>
    </row>
    <row r="496" spans="4:12" ht="15.75" customHeight="1" x14ac:dyDescent="0.2">
      <c r="D496" s="23"/>
      <c r="E496" s="23"/>
      <c r="H496" s="7"/>
      <c r="I496" s="98"/>
      <c r="J496" s="98"/>
      <c r="K496" s="98"/>
      <c r="L496" s="7"/>
    </row>
    <row r="497" spans="4:12" ht="15.75" customHeight="1" x14ac:dyDescent="0.2">
      <c r="D497" s="23"/>
      <c r="E497" s="23"/>
      <c r="H497" s="7"/>
      <c r="I497" s="98"/>
      <c r="J497" s="98"/>
      <c r="K497" s="98"/>
      <c r="L497" s="7"/>
    </row>
    <row r="498" spans="4:12" ht="15.75" customHeight="1" x14ac:dyDescent="0.2">
      <c r="D498" s="23"/>
      <c r="E498" s="23"/>
      <c r="H498" s="7"/>
      <c r="I498" s="98"/>
      <c r="J498" s="98"/>
      <c r="K498" s="98"/>
      <c r="L498" s="7"/>
    </row>
    <row r="499" spans="4:12" ht="15.75" customHeight="1" x14ac:dyDescent="0.2">
      <c r="D499" s="23"/>
      <c r="E499" s="23"/>
      <c r="H499" s="7"/>
      <c r="I499" s="98"/>
      <c r="J499" s="98"/>
      <c r="K499" s="98"/>
      <c r="L499" s="7"/>
    </row>
    <row r="500" spans="4:12" ht="15.75" customHeight="1" x14ac:dyDescent="0.2">
      <c r="D500" s="23"/>
      <c r="E500" s="23"/>
      <c r="H500" s="7"/>
      <c r="I500" s="98"/>
      <c r="J500" s="98"/>
      <c r="K500" s="98"/>
      <c r="L500" s="7"/>
    </row>
    <row r="501" spans="4:12" ht="15.75" customHeight="1" x14ac:dyDescent="0.2">
      <c r="D501" s="23"/>
      <c r="E501" s="23"/>
      <c r="H501" s="7"/>
      <c r="I501" s="98"/>
      <c r="J501" s="98"/>
      <c r="K501" s="98"/>
      <c r="L501" s="7"/>
    </row>
    <row r="502" spans="4:12" ht="15.75" customHeight="1" x14ac:dyDescent="0.2">
      <c r="D502" s="23"/>
      <c r="E502" s="23"/>
      <c r="H502" s="7"/>
      <c r="I502" s="98"/>
      <c r="J502" s="98"/>
      <c r="K502" s="98"/>
      <c r="L502" s="7"/>
    </row>
    <row r="503" spans="4:12" ht="15.75" customHeight="1" x14ac:dyDescent="0.2">
      <c r="D503" s="23"/>
      <c r="E503" s="23"/>
      <c r="H503" s="7"/>
      <c r="I503" s="98"/>
      <c r="J503" s="98"/>
      <c r="K503" s="98"/>
      <c r="L503" s="7"/>
    </row>
    <row r="504" spans="4:12" ht="15.75" customHeight="1" x14ac:dyDescent="0.2">
      <c r="D504" s="23"/>
      <c r="E504" s="23"/>
      <c r="H504" s="7"/>
      <c r="I504" s="98"/>
      <c r="J504" s="98"/>
      <c r="K504" s="98"/>
      <c r="L504" s="7"/>
    </row>
    <row r="505" spans="4:12" ht="15.75" customHeight="1" x14ac:dyDescent="0.2">
      <c r="D505" s="23"/>
      <c r="E505" s="23"/>
      <c r="H505" s="7"/>
      <c r="I505" s="98"/>
      <c r="J505" s="98"/>
      <c r="K505" s="98"/>
      <c r="L505" s="7"/>
    </row>
    <row r="506" spans="4:12" ht="15.75" customHeight="1" x14ac:dyDescent="0.2">
      <c r="D506" s="23"/>
      <c r="E506" s="23"/>
      <c r="H506" s="7"/>
      <c r="I506" s="98"/>
      <c r="J506" s="98"/>
      <c r="K506" s="98"/>
      <c r="L506" s="7"/>
    </row>
    <row r="507" spans="4:12" ht="15.75" customHeight="1" x14ac:dyDescent="0.2">
      <c r="D507" s="23"/>
      <c r="E507" s="23"/>
      <c r="H507" s="7"/>
      <c r="I507" s="98"/>
      <c r="J507" s="98"/>
      <c r="K507" s="98"/>
      <c r="L507" s="7"/>
    </row>
    <row r="508" spans="4:12" ht="15.75" customHeight="1" x14ac:dyDescent="0.2">
      <c r="D508" s="23"/>
      <c r="E508" s="23"/>
      <c r="H508" s="7"/>
      <c r="I508" s="98"/>
      <c r="J508" s="98"/>
      <c r="K508" s="98"/>
      <c r="L508" s="7"/>
    </row>
    <row r="509" spans="4:12" ht="15.75" customHeight="1" x14ac:dyDescent="0.2">
      <c r="D509" s="23"/>
      <c r="E509" s="23"/>
      <c r="H509" s="7"/>
      <c r="I509" s="98"/>
      <c r="J509" s="98"/>
      <c r="K509" s="98"/>
      <c r="L509" s="7"/>
    </row>
    <row r="510" spans="4:12" ht="15.75" customHeight="1" x14ac:dyDescent="0.2">
      <c r="D510" s="23"/>
      <c r="E510" s="23"/>
      <c r="H510" s="7"/>
      <c r="I510" s="98"/>
      <c r="J510" s="98"/>
      <c r="K510" s="98"/>
      <c r="L510" s="7"/>
    </row>
    <row r="511" spans="4:12" ht="15.75" customHeight="1" x14ac:dyDescent="0.2">
      <c r="D511" s="23"/>
      <c r="E511" s="23"/>
      <c r="H511" s="7"/>
      <c r="I511" s="98"/>
      <c r="J511" s="98"/>
      <c r="K511" s="98"/>
      <c r="L511" s="7"/>
    </row>
    <row r="512" spans="4:12" ht="15.75" customHeight="1" x14ac:dyDescent="0.2">
      <c r="D512" s="23"/>
      <c r="E512" s="23"/>
      <c r="H512" s="7"/>
      <c r="I512" s="98"/>
      <c r="J512" s="98"/>
      <c r="K512" s="98"/>
      <c r="L512" s="7"/>
    </row>
    <row r="513" spans="4:12" ht="15.75" customHeight="1" x14ac:dyDescent="0.2">
      <c r="D513" s="23"/>
      <c r="E513" s="23"/>
      <c r="H513" s="7"/>
      <c r="I513" s="98"/>
      <c r="J513" s="98"/>
      <c r="K513" s="98"/>
      <c r="L513" s="7"/>
    </row>
    <row r="514" spans="4:12" ht="15.75" customHeight="1" x14ac:dyDescent="0.2">
      <c r="D514" s="23"/>
      <c r="E514" s="23"/>
      <c r="H514" s="7"/>
      <c r="I514" s="98"/>
      <c r="J514" s="98"/>
      <c r="K514" s="98"/>
      <c r="L514" s="7"/>
    </row>
    <row r="515" spans="4:12" ht="15.75" customHeight="1" x14ac:dyDescent="0.2">
      <c r="D515" s="23"/>
      <c r="E515" s="23"/>
      <c r="H515" s="7"/>
      <c r="I515" s="98"/>
      <c r="J515" s="98"/>
      <c r="K515" s="98"/>
      <c r="L515" s="7"/>
    </row>
    <row r="516" spans="4:12" ht="15.75" customHeight="1" x14ac:dyDescent="0.2">
      <c r="D516" s="23"/>
      <c r="E516" s="23"/>
      <c r="H516" s="7"/>
      <c r="I516" s="98"/>
      <c r="J516" s="98"/>
      <c r="K516" s="98"/>
      <c r="L516" s="7"/>
    </row>
    <row r="517" spans="4:12" ht="15.75" customHeight="1" x14ac:dyDescent="0.2">
      <c r="D517" s="23"/>
      <c r="E517" s="23"/>
      <c r="H517" s="7"/>
      <c r="I517" s="98"/>
      <c r="J517" s="98"/>
      <c r="K517" s="98"/>
      <c r="L517" s="7"/>
    </row>
    <row r="518" spans="4:12" ht="15.75" customHeight="1" x14ac:dyDescent="0.2">
      <c r="D518" s="23"/>
      <c r="E518" s="23"/>
      <c r="H518" s="7"/>
      <c r="I518" s="98"/>
      <c r="J518" s="98"/>
      <c r="K518" s="98"/>
      <c r="L518" s="7"/>
    </row>
    <row r="519" spans="4:12" ht="15.75" customHeight="1" x14ac:dyDescent="0.2">
      <c r="D519" s="23"/>
      <c r="E519" s="23"/>
      <c r="H519" s="7"/>
      <c r="I519" s="98"/>
      <c r="J519" s="98"/>
      <c r="K519" s="98"/>
      <c r="L519" s="7"/>
    </row>
    <row r="520" spans="4:12" ht="15.75" customHeight="1" x14ac:dyDescent="0.2">
      <c r="D520" s="23"/>
      <c r="E520" s="23"/>
      <c r="H520" s="7"/>
      <c r="I520" s="98"/>
      <c r="J520" s="98"/>
      <c r="K520" s="98"/>
      <c r="L520" s="7"/>
    </row>
    <row r="521" spans="4:12" ht="15.75" customHeight="1" x14ac:dyDescent="0.2">
      <c r="D521" s="23"/>
      <c r="E521" s="23"/>
      <c r="H521" s="7"/>
      <c r="I521" s="98"/>
      <c r="J521" s="98"/>
      <c r="K521" s="98"/>
      <c r="L521" s="7"/>
    </row>
    <row r="522" spans="4:12" ht="15.75" customHeight="1" x14ac:dyDescent="0.2">
      <c r="D522" s="23"/>
      <c r="E522" s="23"/>
      <c r="H522" s="7"/>
      <c r="I522" s="98"/>
      <c r="J522" s="98"/>
      <c r="K522" s="98"/>
      <c r="L522" s="7"/>
    </row>
    <row r="523" spans="4:12" ht="15.75" customHeight="1" x14ac:dyDescent="0.2">
      <c r="D523" s="23"/>
      <c r="E523" s="23"/>
      <c r="H523" s="7"/>
      <c r="I523" s="98"/>
      <c r="J523" s="98"/>
      <c r="K523" s="98"/>
      <c r="L523" s="7"/>
    </row>
    <row r="524" spans="4:12" ht="15.75" customHeight="1" x14ac:dyDescent="0.2">
      <c r="D524" s="23"/>
      <c r="E524" s="23"/>
      <c r="H524" s="7"/>
      <c r="I524" s="98"/>
      <c r="J524" s="98"/>
      <c r="K524" s="98"/>
      <c r="L524" s="7"/>
    </row>
    <row r="525" spans="4:12" ht="15.75" customHeight="1" x14ac:dyDescent="0.2">
      <c r="D525" s="23"/>
      <c r="E525" s="23"/>
      <c r="H525" s="7"/>
      <c r="I525" s="98"/>
      <c r="J525" s="98"/>
      <c r="K525" s="98"/>
      <c r="L525" s="7"/>
    </row>
    <row r="526" spans="4:12" ht="15.75" customHeight="1" x14ac:dyDescent="0.2">
      <c r="D526" s="23"/>
      <c r="E526" s="23"/>
      <c r="H526" s="7"/>
      <c r="I526" s="98"/>
      <c r="J526" s="98"/>
      <c r="K526" s="98"/>
      <c r="L526" s="7"/>
    </row>
    <row r="527" spans="4:12" ht="15.75" customHeight="1" x14ac:dyDescent="0.2">
      <c r="D527" s="23"/>
      <c r="E527" s="23"/>
      <c r="H527" s="7"/>
      <c r="I527" s="98"/>
      <c r="J527" s="98"/>
      <c r="K527" s="98"/>
      <c r="L527" s="7"/>
    </row>
    <row r="528" spans="4:12" ht="15.75" customHeight="1" x14ac:dyDescent="0.2">
      <c r="D528" s="23"/>
      <c r="E528" s="23"/>
      <c r="H528" s="7"/>
      <c r="I528" s="98"/>
      <c r="J528" s="98"/>
      <c r="K528" s="98"/>
      <c r="L528" s="7"/>
    </row>
    <row r="529" spans="4:12" ht="15.75" customHeight="1" x14ac:dyDescent="0.2">
      <c r="D529" s="23"/>
      <c r="E529" s="23"/>
      <c r="H529" s="7"/>
      <c r="I529" s="98"/>
      <c r="J529" s="98"/>
      <c r="K529" s="98"/>
      <c r="L529" s="7"/>
    </row>
    <row r="530" spans="4:12" ht="15.75" customHeight="1" x14ac:dyDescent="0.2">
      <c r="D530" s="23"/>
      <c r="E530" s="23"/>
      <c r="H530" s="7"/>
      <c r="I530" s="98"/>
      <c r="J530" s="98"/>
      <c r="K530" s="98"/>
      <c r="L530" s="7"/>
    </row>
    <row r="531" spans="4:12" ht="15.75" customHeight="1" x14ac:dyDescent="0.2">
      <c r="D531" s="23"/>
      <c r="E531" s="23"/>
      <c r="H531" s="7"/>
      <c r="I531" s="98"/>
      <c r="J531" s="98"/>
      <c r="K531" s="98"/>
      <c r="L531" s="7"/>
    </row>
    <row r="532" spans="4:12" ht="15.75" customHeight="1" x14ac:dyDescent="0.2">
      <c r="D532" s="23"/>
      <c r="E532" s="23"/>
      <c r="H532" s="7"/>
      <c r="I532" s="98"/>
      <c r="J532" s="98"/>
      <c r="K532" s="98"/>
      <c r="L532" s="7"/>
    </row>
    <row r="533" spans="4:12" ht="15.75" customHeight="1" x14ac:dyDescent="0.2">
      <c r="D533" s="23"/>
      <c r="E533" s="23"/>
      <c r="H533" s="7"/>
      <c r="I533" s="98"/>
      <c r="J533" s="98"/>
      <c r="K533" s="98"/>
      <c r="L533" s="7"/>
    </row>
    <row r="534" spans="4:12" ht="15.75" customHeight="1" x14ac:dyDescent="0.2">
      <c r="D534" s="23"/>
      <c r="E534" s="23"/>
      <c r="H534" s="7"/>
      <c r="I534" s="98"/>
      <c r="J534" s="98"/>
      <c r="K534" s="98"/>
      <c r="L534" s="7"/>
    </row>
    <row r="535" spans="4:12" ht="15.75" customHeight="1" x14ac:dyDescent="0.2">
      <c r="D535" s="23"/>
      <c r="E535" s="23"/>
      <c r="H535" s="7"/>
      <c r="I535" s="98"/>
      <c r="J535" s="98"/>
      <c r="K535" s="98"/>
      <c r="L535" s="7"/>
    </row>
    <row r="536" spans="4:12" ht="15.75" customHeight="1" x14ac:dyDescent="0.2">
      <c r="D536" s="23"/>
      <c r="E536" s="23"/>
      <c r="H536" s="7"/>
      <c r="I536" s="98"/>
      <c r="J536" s="98"/>
      <c r="K536" s="98"/>
      <c r="L536" s="7"/>
    </row>
    <row r="537" spans="4:12" ht="15.75" customHeight="1" x14ac:dyDescent="0.2">
      <c r="D537" s="23"/>
      <c r="E537" s="23"/>
      <c r="H537" s="7"/>
      <c r="I537" s="98"/>
      <c r="J537" s="98"/>
      <c r="K537" s="98"/>
      <c r="L537" s="7"/>
    </row>
    <row r="538" spans="4:12" ht="15.75" customHeight="1" x14ac:dyDescent="0.2">
      <c r="D538" s="23"/>
      <c r="E538" s="23"/>
      <c r="H538" s="7"/>
      <c r="I538" s="98"/>
      <c r="J538" s="98"/>
      <c r="K538" s="98"/>
      <c r="L538" s="7"/>
    </row>
    <row r="539" spans="4:12" ht="15.75" customHeight="1" x14ac:dyDescent="0.2">
      <c r="D539" s="23"/>
      <c r="E539" s="23"/>
      <c r="H539" s="7"/>
      <c r="I539" s="98"/>
      <c r="J539" s="98"/>
      <c r="K539" s="98"/>
      <c r="L539" s="7"/>
    </row>
    <row r="540" spans="4:12" ht="15.75" customHeight="1" x14ac:dyDescent="0.2">
      <c r="D540" s="23"/>
      <c r="E540" s="23"/>
      <c r="H540" s="7"/>
      <c r="I540" s="98"/>
      <c r="J540" s="98"/>
      <c r="K540" s="98"/>
      <c r="L540" s="7"/>
    </row>
    <row r="541" spans="4:12" ht="15.75" customHeight="1" x14ac:dyDescent="0.2">
      <c r="D541" s="23"/>
      <c r="E541" s="23"/>
      <c r="H541" s="7"/>
      <c r="I541" s="98"/>
      <c r="J541" s="98"/>
      <c r="K541" s="98"/>
      <c r="L541" s="7"/>
    </row>
    <row r="542" spans="4:12" ht="15.75" customHeight="1" x14ac:dyDescent="0.2">
      <c r="D542" s="23"/>
      <c r="E542" s="23"/>
      <c r="H542" s="7"/>
      <c r="I542" s="98"/>
      <c r="J542" s="98"/>
      <c r="K542" s="98"/>
      <c r="L542" s="7"/>
    </row>
    <row r="543" spans="4:12" ht="15.75" customHeight="1" x14ac:dyDescent="0.2">
      <c r="D543" s="23"/>
      <c r="E543" s="23"/>
      <c r="H543" s="7"/>
      <c r="I543" s="98"/>
      <c r="J543" s="98"/>
      <c r="K543" s="98"/>
      <c r="L543" s="7"/>
    </row>
    <row r="544" spans="4:12" ht="15.75" customHeight="1" x14ac:dyDescent="0.2">
      <c r="D544" s="23"/>
      <c r="E544" s="23"/>
      <c r="H544" s="7"/>
      <c r="I544" s="98"/>
      <c r="J544" s="98"/>
      <c r="K544" s="98"/>
      <c r="L544" s="7"/>
    </row>
    <row r="545" spans="4:12" ht="15.75" customHeight="1" x14ac:dyDescent="0.2">
      <c r="D545" s="23"/>
      <c r="E545" s="23"/>
      <c r="H545" s="7"/>
      <c r="I545" s="98"/>
      <c r="J545" s="98"/>
      <c r="K545" s="98"/>
      <c r="L545" s="7"/>
    </row>
    <row r="546" spans="4:12" ht="15.75" customHeight="1" x14ac:dyDescent="0.2">
      <c r="D546" s="23"/>
      <c r="E546" s="23"/>
      <c r="H546" s="7"/>
      <c r="I546" s="98"/>
      <c r="J546" s="98"/>
      <c r="K546" s="98"/>
      <c r="L546" s="7"/>
    </row>
    <row r="547" spans="4:12" ht="15.75" customHeight="1" x14ac:dyDescent="0.2">
      <c r="D547" s="23"/>
      <c r="E547" s="23"/>
      <c r="H547" s="7"/>
      <c r="I547" s="98"/>
      <c r="J547" s="98"/>
      <c r="K547" s="98"/>
      <c r="L547" s="7"/>
    </row>
    <row r="548" spans="4:12" ht="15.75" customHeight="1" x14ac:dyDescent="0.2">
      <c r="D548" s="23"/>
      <c r="E548" s="23"/>
      <c r="H548" s="7"/>
      <c r="I548" s="98"/>
      <c r="J548" s="98"/>
      <c r="K548" s="98"/>
      <c r="L548" s="7"/>
    </row>
    <row r="549" spans="4:12" ht="15.75" customHeight="1" x14ac:dyDescent="0.2">
      <c r="D549" s="23"/>
      <c r="E549" s="23"/>
      <c r="H549" s="7"/>
      <c r="I549" s="98"/>
      <c r="J549" s="98"/>
      <c r="K549" s="98"/>
      <c r="L549" s="7"/>
    </row>
    <row r="550" spans="4:12" ht="15.75" customHeight="1" x14ac:dyDescent="0.2">
      <c r="D550" s="23"/>
      <c r="E550" s="23"/>
      <c r="H550" s="7"/>
      <c r="I550" s="98"/>
      <c r="J550" s="98"/>
      <c r="K550" s="98"/>
      <c r="L550" s="7"/>
    </row>
    <row r="551" spans="4:12" ht="15.75" customHeight="1" x14ac:dyDescent="0.2">
      <c r="D551" s="23"/>
      <c r="E551" s="23"/>
      <c r="H551" s="7"/>
      <c r="I551" s="98"/>
      <c r="J551" s="98"/>
      <c r="K551" s="98"/>
      <c r="L551" s="7"/>
    </row>
    <row r="552" spans="4:12" ht="15.75" customHeight="1" x14ac:dyDescent="0.2">
      <c r="D552" s="23"/>
      <c r="E552" s="23"/>
      <c r="H552" s="7"/>
      <c r="I552" s="98"/>
      <c r="J552" s="98"/>
      <c r="K552" s="98"/>
      <c r="L552" s="7"/>
    </row>
    <row r="553" spans="4:12" ht="15.75" customHeight="1" x14ac:dyDescent="0.2">
      <c r="D553" s="23"/>
      <c r="E553" s="23"/>
      <c r="H553" s="7"/>
      <c r="I553" s="98"/>
      <c r="J553" s="98"/>
      <c r="K553" s="98"/>
      <c r="L553" s="7"/>
    </row>
    <row r="554" spans="4:12" ht="15.75" customHeight="1" x14ac:dyDescent="0.2">
      <c r="D554" s="23"/>
      <c r="E554" s="23"/>
      <c r="H554" s="7"/>
      <c r="I554" s="98"/>
      <c r="J554" s="98"/>
      <c r="K554" s="98"/>
      <c r="L554" s="7"/>
    </row>
    <row r="555" spans="4:12" ht="15.75" customHeight="1" x14ac:dyDescent="0.2">
      <c r="D555" s="23"/>
      <c r="E555" s="23"/>
      <c r="H555" s="7"/>
      <c r="I555" s="98"/>
      <c r="J555" s="98"/>
      <c r="K555" s="98"/>
      <c r="L555" s="7"/>
    </row>
    <row r="556" spans="4:12" ht="15.75" customHeight="1" x14ac:dyDescent="0.2">
      <c r="D556" s="23"/>
      <c r="E556" s="23"/>
      <c r="H556" s="7"/>
      <c r="I556" s="98"/>
      <c r="J556" s="98"/>
      <c r="K556" s="98"/>
      <c r="L556" s="7"/>
    </row>
    <row r="557" spans="4:12" ht="15.75" customHeight="1" x14ac:dyDescent="0.2">
      <c r="D557" s="23"/>
      <c r="E557" s="23"/>
      <c r="H557" s="7"/>
      <c r="I557" s="98"/>
      <c r="J557" s="98"/>
      <c r="K557" s="98"/>
      <c r="L557" s="7"/>
    </row>
    <row r="558" spans="4:12" ht="15.75" customHeight="1" x14ac:dyDescent="0.2">
      <c r="D558" s="23"/>
      <c r="E558" s="23"/>
      <c r="H558" s="7"/>
      <c r="I558" s="98"/>
      <c r="J558" s="98"/>
      <c r="K558" s="98"/>
      <c r="L558" s="7"/>
    </row>
    <row r="559" spans="4:12" ht="15.75" customHeight="1" x14ac:dyDescent="0.2">
      <c r="D559" s="23"/>
      <c r="E559" s="23"/>
      <c r="H559" s="7"/>
      <c r="I559" s="98"/>
      <c r="J559" s="98"/>
      <c r="K559" s="98"/>
      <c r="L559" s="7"/>
    </row>
    <row r="560" spans="4:12" ht="15.75" customHeight="1" x14ac:dyDescent="0.2">
      <c r="D560" s="23"/>
      <c r="E560" s="23"/>
      <c r="H560" s="7"/>
      <c r="I560" s="98"/>
      <c r="J560" s="98"/>
      <c r="K560" s="98"/>
      <c r="L560" s="7"/>
    </row>
    <row r="561" spans="4:12" ht="15.75" customHeight="1" x14ac:dyDescent="0.2">
      <c r="D561" s="23"/>
      <c r="E561" s="23"/>
      <c r="H561" s="7"/>
      <c r="I561" s="98"/>
      <c r="J561" s="98"/>
      <c r="K561" s="98"/>
      <c r="L561" s="7"/>
    </row>
    <row r="562" spans="4:12" ht="15.75" customHeight="1" x14ac:dyDescent="0.2">
      <c r="D562" s="23"/>
      <c r="E562" s="23"/>
      <c r="H562" s="7"/>
      <c r="I562" s="98"/>
      <c r="J562" s="98"/>
      <c r="K562" s="98"/>
      <c r="L562" s="7"/>
    </row>
    <row r="563" spans="4:12" ht="15.75" customHeight="1" x14ac:dyDescent="0.2">
      <c r="D563" s="23"/>
      <c r="E563" s="23"/>
      <c r="H563" s="7"/>
      <c r="I563" s="98"/>
      <c r="J563" s="98"/>
      <c r="K563" s="98"/>
      <c r="L563" s="7"/>
    </row>
    <row r="564" spans="4:12" ht="15.75" customHeight="1" x14ac:dyDescent="0.2">
      <c r="D564" s="23"/>
      <c r="E564" s="23"/>
      <c r="H564" s="7"/>
      <c r="I564" s="98"/>
      <c r="J564" s="98"/>
      <c r="K564" s="98"/>
      <c r="L564" s="7"/>
    </row>
    <row r="565" spans="4:12" ht="15.75" customHeight="1" x14ac:dyDescent="0.2">
      <c r="D565" s="23"/>
      <c r="E565" s="23"/>
      <c r="H565" s="7"/>
      <c r="I565" s="98"/>
      <c r="J565" s="98"/>
      <c r="K565" s="98"/>
      <c r="L565" s="7"/>
    </row>
    <row r="566" spans="4:12" ht="15.75" customHeight="1" x14ac:dyDescent="0.2">
      <c r="D566" s="23"/>
      <c r="E566" s="23"/>
      <c r="H566" s="7"/>
      <c r="I566" s="98"/>
      <c r="J566" s="98"/>
      <c r="K566" s="98"/>
      <c r="L566" s="7"/>
    </row>
    <row r="567" spans="4:12" ht="15.75" customHeight="1" x14ac:dyDescent="0.2">
      <c r="D567" s="23"/>
      <c r="E567" s="23"/>
      <c r="H567" s="7"/>
      <c r="I567" s="98"/>
      <c r="J567" s="98"/>
      <c r="K567" s="98"/>
      <c r="L567" s="7"/>
    </row>
    <row r="568" spans="4:12" ht="15.75" customHeight="1" x14ac:dyDescent="0.2">
      <c r="D568" s="23"/>
      <c r="E568" s="23"/>
      <c r="H568" s="7"/>
      <c r="I568" s="98"/>
      <c r="J568" s="98"/>
      <c r="K568" s="98"/>
      <c r="L568" s="7"/>
    </row>
    <row r="569" spans="4:12" ht="15.75" customHeight="1" x14ac:dyDescent="0.2">
      <c r="D569" s="23"/>
      <c r="E569" s="23"/>
      <c r="H569" s="7"/>
      <c r="I569" s="98"/>
      <c r="J569" s="98"/>
      <c r="K569" s="98"/>
      <c r="L569" s="7"/>
    </row>
    <row r="570" spans="4:12" ht="15.75" customHeight="1" x14ac:dyDescent="0.2">
      <c r="D570" s="23"/>
      <c r="E570" s="23"/>
      <c r="H570" s="7"/>
      <c r="I570" s="98"/>
      <c r="J570" s="98"/>
      <c r="K570" s="98"/>
      <c r="L570" s="7"/>
    </row>
    <row r="571" spans="4:12" ht="15.75" customHeight="1" x14ac:dyDescent="0.2">
      <c r="D571" s="23"/>
      <c r="E571" s="23"/>
      <c r="H571" s="7"/>
      <c r="I571" s="98"/>
      <c r="J571" s="98"/>
      <c r="K571" s="98"/>
      <c r="L571" s="7"/>
    </row>
    <row r="572" spans="4:12" ht="15.75" customHeight="1" x14ac:dyDescent="0.2">
      <c r="D572" s="23"/>
      <c r="E572" s="23"/>
      <c r="H572" s="7"/>
      <c r="I572" s="98"/>
      <c r="J572" s="98"/>
      <c r="K572" s="98"/>
      <c r="L572" s="7"/>
    </row>
    <row r="573" spans="4:12" ht="15.75" customHeight="1" x14ac:dyDescent="0.2">
      <c r="D573" s="23"/>
      <c r="E573" s="23"/>
      <c r="H573" s="7"/>
      <c r="I573" s="98"/>
      <c r="J573" s="98"/>
      <c r="K573" s="98"/>
      <c r="L573" s="7"/>
    </row>
    <row r="574" spans="4:12" ht="15.75" customHeight="1" x14ac:dyDescent="0.2">
      <c r="D574" s="23"/>
      <c r="E574" s="23"/>
      <c r="H574" s="7"/>
      <c r="I574" s="98"/>
      <c r="J574" s="98"/>
      <c r="K574" s="98"/>
      <c r="L574" s="7"/>
    </row>
    <row r="575" spans="4:12" ht="15.75" customHeight="1" x14ac:dyDescent="0.2">
      <c r="D575" s="23"/>
      <c r="E575" s="23"/>
      <c r="H575" s="7"/>
      <c r="I575" s="98"/>
      <c r="J575" s="98"/>
      <c r="K575" s="98"/>
      <c r="L575" s="7"/>
    </row>
    <row r="576" spans="4:12" ht="15.75" customHeight="1" x14ac:dyDescent="0.2">
      <c r="D576" s="23"/>
      <c r="E576" s="23"/>
      <c r="H576" s="7"/>
      <c r="I576" s="98"/>
      <c r="J576" s="98"/>
      <c r="K576" s="98"/>
      <c r="L576" s="7"/>
    </row>
    <row r="577" spans="4:12" ht="15.75" customHeight="1" x14ac:dyDescent="0.2">
      <c r="D577" s="23"/>
      <c r="E577" s="23"/>
      <c r="H577" s="7"/>
      <c r="I577" s="98"/>
      <c r="J577" s="98"/>
      <c r="K577" s="98"/>
      <c r="L577" s="7"/>
    </row>
    <row r="578" spans="4:12" ht="15.75" customHeight="1" x14ac:dyDescent="0.2">
      <c r="D578" s="23"/>
      <c r="E578" s="23"/>
      <c r="H578" s="7"/>
      <c r="I578" s="98"/>
      <c r="J578" s="98"/>
      <c r="K578" s="98"/>
      <c r="L578" s="7"/>
    </row>
    <row r="579" spans="4:12" ht="15.75" customHeight="1" x14ac:dyDescent="0.2">
      <c r="D579" s="23"/>
      <c r="E579" s="23"/>
      <c r="H579" s="7"/>
      <c r="I579" s="98"/>
      <c r="J579" s="98"/>
      <c r="K579" s="98"/>
      <c r="L579" s="7"/>
    </row>
    <row r="580" spans="4:12" ht="15.75" customHeight="1" x14ac:dyDescent="0.2">
      <c r="D580" s="23"/>
      <c r="E580" s="23"/>
      <c r="H580" s="7"/>
      <c r="I580" s="98"/>
      <c r="J580" s="98"/>
      <c r="K580" s="98"/>
      <c r="L580" s="7"/>
    </row>
    <row r="581" spans="4:12" ht="15.75" customHeight="1" x14ac:dyDescent="0.2">
      <c r="D581" s="23"/>
      <c r="E581" s="23"/>
      <c r="H581" s="7"/>
      <c r="I581" s="98"/>
      <c r="J581" s="98"/>
      <c r="K581" s="98"/>
      <c r="L581" s="7"/>
    </row>
    <row r="582" spans="4:12" ht="15.75" customHeight="1" x14ac:dyDescent="0.2">
      <c r="D582" s="23"/>
      <c r="E582" s="23"/>
      <c r="H582" s="7"/>
      <c r="I582" s="98"/>
      <c r="J582" s="98"/>
      <c r="K582" s="98"/>
      <c r="L582" s="7"/>
    </row>
    <row r="583" spans="4:12" ht="15.75" customHeight="1" x14ac:dyDescent="0.2">
      <c r="D583" s="23"/>
      <c r="E583" s="23"/>
      <c r="H583" s="7"/>
      <c r="I583" s="98"/>
      <c r="J583" s="98"/>
      <c r="K583" s="98"/>
      <c r="L583" s="7"/>
    </row>
    <row r="584" spans="4:12" ht="15.75" customHeight="1" x14ac:dyDescent="0.2">
      <c r="D584" s="23"/>
      <c r="E584" s="23"/>
      <c r="H584" s="7"/>
      <c r="I584" s="98"/>
      <c r="J584" s="98"/>
      <c r="K584" s="98"/>
      <c r="L584" s="7"/>
    </row>
    <row r="585" spans="4:12" ht="15.75" customHeight="1" x14ac:dyDescent="0.2">
      <c r="D585" s="23"/>
      <c r="E585" s="23"/>
      <c r="H585" s="7"/>
      <c r="I585" s="98"/>
      <c r="J585" s="98"/>
      <c r="K585" s="98"/>
      <c r="L585" s="7"/>
    </row>
    <row r="586" spans="4:12" ht="15.75" customHeight="1" x14ac:dyDescent="0.2">
      <c r="D586" s="23"/>
      <c r="E586" s="23"/>
      <c r="H586" s="7"/>
      <c r="I586" s="98"/>
      <c r="J586" s="98"/>
      <c r="K586" s="98"/>
      <c r="L586" s="7"/>
    </row>
    <row r="587" spans="4:12" ht="15.75" customHeight="1" x14ac:dyDescent="0.2">
      <c r="D587" s="23"/>
      <c r="E587" s="23"/>
      <c r="H587" s="7"/>
      <c r="I587" s="98"/>
      <c r="J587" s="98"/>
      <c r="K587" s="98"/>
      <c r="L587" s="7"/>
    </row>
    <row r="588" spans="4:12" ht="15.75" customHeight="1" x14ac:dyDescent="0.2">
      <c r="D588" s="23"/>
      <c r="E588" s="23"/>
      <c r="H588" s="7"/>
      <c r="I588" s="98"/>
      <c r="J588" s="98"/>
      <c r="K588" s="98"/>
      <c r="L588" s="7"/>
    </row>
    <row r="589" spans="4:12" ht="15.75" customHeight="1" x14ac:dyDescent="0.2">
      <c r="D589" s="23"/>
      <c r="E589" s="23"/>
      <c r="H589" s="7"/>
      <c r="I589" s="98"/>
      <c r="J589" s="98"/>
      <c r="K589" s="98"/>
      <c r="L589" s="7"/>
    </row>
    <row r="590" spans="4:12" ht="15.75" customHeight="1" x14ac:dyDescent="0.2">
      <c r="D590" s="23"/>
      <c r="E590" s="23"/>
      <c r="H590" s="7"/>
      <c r="I590" s="98"/>
      <c r="J590" s="98"/>
      <c r="K590" s="98"/>
      <c r="L590" s="7"/>
    </row>
    <row r="591" spans="4:12" ht="15.75" customHeight="1" x14ac:dyDescent="0.2">
      <c r="D591" s="23"/>
      <c r="E591" s="23"/>
      <c r="H591" s="7"/>
      <c r="I591" s="98"/>
      <c r="J591" s="98"/>
      <c r="K591" s="98"/>
      <c r="L591" s="7"/>
    </row>
    <row r="592" spans="4:12" ht="15.75" customHeight="1" x14ac:dyDescent="0.2">
      <c r="D592" s="23"/>
      <c r="E592" s="23"/>
      <c r="H592" s="7"/>
      <c r="I592" s="98"/>
      <c r="J592" s="98"/>
      <c r="K592" s="98"/>
      <c r="L592" s="7"/>
    </row>
    <row r="593" spans="4:12" ht="15.75" customHeight="1" x14ac:dyDescent="0.2">
      <c r="D593" s="23"/>
      <c r="E593" s="23"/>
      <c r="H593" s="7"/>
      <c r="I593" s="98"/>
      <c r="J593" s="98"/>
      <c r="K593" s="98"/>
      <c r="L593" s="7"/>
    </row>
    <row r="594" spans="4:12" ht="15.75" customHeight="1" x14ac:dyDescent="0.2">
      <c r="D594" s="23"/>
      <c r="E594" s="23"/>
      <c r="H594" s="7"/>
      <c r="I594" s="98"/>
      <c r="J594" s="98"/>
      <c r="K594" s="98"/>
      <c r="L594" s="7"/>
    </row>
    <row r="595" spans="4:12" ht="15.75" customHeight="1" x14ac:dyDescent="0.2">
      <c r="D595" s="23"/>
      <c r="E595" s="23"/>
      <c r="H595" s="7"/>
      <c r="I595" s="98"/>
      <c r="J595" s="98"/>
      <c r="K595" s="98"/>
      <c r="L595" s="7"/>
    </row>
    <row r="596" spans="4:12" ht="15.75" customHeight="1" x14ac:dyDescent="0.2">
      <c r="D596" s="23"/>
      <c r="E596" s="23"/>
      <c r="H596" s="7"/>
      <c r="I596" s="98"/>
      <c r="J596" s="98"/>
      <c r="K596" s="98"/>
      <c r="L596" s="7"/>
    </row>
    <row r="597" spans="4:12" ht="15.75" customHeight="1" x14ac:dyDescent="0.2">
      <c r="D597" s="23"/>
      <c r="E597" s="23"/>
      <c r="H597" s="7"/>
      <c r="I597" s="98"/>
      <c r="J597" s="98"/>
      <c r="K597" s="98"/>
      <c r="L597" s="7"/>
    </row>
    <row r="598" spans="4:12" ht="15.75" customHeight="1" x14ac:dyDescent="0.2">
      <c r="D598" s="23"/>
      <c r="E598" s="23"/>
      <c r="H598" s="7"/>
      <c r="I598" s="98"/>
      <c r="J598" s="98"/>
      <c r="K598" s="98"/>
      <c r="L598" s="7"/>
    </row>
    <row r="599" spans="4:12" ht="15.75" customHeight="1" x14ac:dyDescent="0.2">
      <c r="D599" s="23"/>
      <c r="E599" s="23"/>
      <c r="H599" s="7"/>
      <c r="I599" s="98"/>
      <c r="J599" s="98"/>
      <c r="K599" s="98"/>
      <c r="L599" s="7"/>
    </row>
    <row r="600" spans="4:12" ht="15.75" customHeight="1" x14ac:dyDescent="0.2">
      <c r="D600" s="23"/>
      <c r="E600" s="23"/>
      <c r="H600" s="7"/>
      <c r="I600" s="98"/>
      <c r="J600" s="98"/>
      <c r="K600" s="98"/>
      <c r="L600" s="7"/>
    </row>
    <row r="601" spans="4:12" ht="15.75" customHeight="1" x14ac:dyDescent="0.2">
      <c r="D601" s="23"/>
      <c r="E601" s="23"/>
      <c r="H601" s="7"/>
      <c r="I601" s="98"/>
      <c r="J601" s="98"/>
      <c r="K601" s="98"/>
      <c r="L601" s="7"/>
    </row>
    <row r="602" spans="4:12" ht="15.75" customHeight="1" x14ac:dyDescent="0.2">
      <c r="D602" s="23"/>
      <c r="E602" s="23"/>
      <c r="H602" s="7"/>
      <c r="I602" s="98"/>
      <c r="J602" s="98"/>
      <c r="K602" s="98"/>
      <c r="L602" s="7"/>
    </row>
    <row r="603" spans="4:12" ht="15.75" customHeight="1" x14ac:dyDescent="0.2">
      <c r="D603" s="23"/>
      <c r="E603" s="23"/>
      <c r="H603" s="7"/>
      <c r="I603" s="98"/>
      <c r="J603" s="98"/>
      <c r="K603" s="98"/>
      <c r="L603" s="7"/>
    </row>
    <row r="604" spans="4:12" ht="15.75" customHeight="1" x14ac:dyDescent="0.2">
      <c r="D604" s="23"/>
      <c r="E604" s="23"/>
      <c r="H604" s="7"/>
      <c r="I604" s="98"/>
      <c r="J604" s="98"/>
      <c r="K604" s="98"/>
      <c r="L604" s="7"/>
    </row>
    <row r="605" spans="4:12" ht="15.75" customHeight="1" x14ac:dyDescent="0.2">
      <c r="D605" s="23"/>
      <c r="E605" s="23"/>
      <c r="H605" s="7"/>
      <c r="I605" s="98"/>
      <c r="J605" s="98"/>
      <c r="K605" s="98"/>
      <c r="L605" s="7"/>
    </row>
    <row r="606" spans="4:12" ht="15.75" customHeight="1" x14ac:dyDescent="0.2">
      <c r="D606" s="23"/>
      <c r="E606" s="23"/>
      <c r="H606" s="7"/>
      <c r="I606" s="98"/>
      <c r="J606" s="98"/>
      <c r="K606" s="98"/>
      <c r="L606" s="7"/>
    </row>
    <row r="607" spans="4:12" ht="15.75" customHeight="1" x14ac:dyDescent="0.2">
      <c r="D607" s="23"/>
      <c r="E607" s="23"/>
      <c r="H607" s="7"/>
      <c r="I607" s="98"/>
      <c r="J607" s="98"/>
      <c r="K607" s="98"/>
      <c r="L607" s="7"/>
    </row>
    <row r="608" spans="4:12" ht="15.75" customHeight="1" x14ac:dyDescent="0.2">
      <c r="D608" s="23"/>
      <c r="E608" s="23"/>
      <c r="H608" s="7"/>
      <c r="I608" s="98"/>
      <c r="J608" s="98"/>
      <c r="K608" s="98"/>
      <c r="L608" s="7"/>
    </row>
    <row r="609" spans="4:12" ht="15.75" customHeight="1" x14ac:dyDescent="0.2">
      <c r="D609" s="23"/>
      <c r="E609" s="23"/>
      <c r="H609" s="7"/>
      <c r="I609" s="98"/>
      <c r="J609" s="98"/>
      <c r="K609" s="98"/>
      <c r="L609" s="7"/>
    </row>
    <row r="610" spans="4:12" ht="15.75" customHeight="1" x14ac:dyDescent="0.2">
      <c r="D610" s="23"/>
      <c r="E610" s="23"/>
      <c r="H610" s="7"/>
      <c r="I610" s="98"/>
      <c r="J610" s="98"/>
      <c r="K610" s="98"/>
      <c r="L610" s="7"/>
    </row>
    <row r="611" spans="4:12" ht="15.75" customHeight="1" x14ac:dyDescent="0.2">
      <c r="D611" s="23"/>
      <c r="E611" s="23"/>
      <c r="H611" s="7"/>
      <c r="I611" s="98"/>
      <c r="J611" s="98"/>
      <c r="K611" s="98"/>
      <c r="L611" s="7"/>
    </row>
    <row r="612" spans="4:12" ht="15.75" customHeight="1" x14ac:dyDescent="0.2">
      <c r="D612" s="23"/>
      <c r="E612" s="23"/>
      <c r="H612" s="7"/>
      <c r="I612" s="98"/>
      <c r="J612" s="98"/>
      <c r="K612" s="98"/>
      <c r="L612" s="7"/>
    </row>
    <row r="613" spans="4:12" ht="15.75" customHeight="1" x14ac:dyDescent="0.2">
      <c r="D613" s="23"/>
      <c r="E613" s="23"/>
      <c r="H613" s="7"/>
      <c r="I613" s="98"/>
      <c r="J613" s="98"/>
      <c r="K613" s="98"/>
      <c r="L613" s="7"/>
    </row>
    <row r="614" spans="4:12" ht="15.75" customHeight="1" x14ac:dyDescent="0.2">
      <c r="D614" s="23"/>
      <c r="E614" s="23"/>
      <c r="H614" s="7"/>
      <c r="I614" s="98"/>
      <c r="J614" s="98"/>
      <c r="K614" s="98"/>
      <c r="L614" s="7"/>
    </row>
    <row r="615" spans="4:12" ht="15.75" customHeight="1" x14ac:dyDescent="0.2">
      <c r="D615" s="23"/>
      <c r="E615" s="23"/>
      <c r="H615" s="7"/>
      <c r="I615" s="98"/>
      <c r="J615" s="98"/>
      <c r="K615" s="98"/>
      <c r="L615" s="7"/>
    </row>
    <row r="616" spans="4:12" ht="15.75" customHeight="1" x14ac:dyDescent="0.2">
      <c r="D616" s="23"/>
      <c r="E616" s="23"/>
      <c r="H616" s="7"/>
      <c r="I616" s="98"/>
      <c r="J616" s="98"/>
      <c r="K616" s="98"/>
      <c r="L616" s="7"/>
    </row>
    <row r="617" spans="4:12" ht="15.75" customHeight="1" x14ac:dyDescent="0.2">
      <c r="D617" s="23"/>
      <c r="E617" s="23"/>
      <c r="H617" s="7"/>
      <c r="I617" s="98"/>
      <c r="J617" s="98"/>
      <c r="K617" s="98"/>
      <c r="L617" s="7"/>
    </row>
    <row r="618" spans="4:12" ht="15.75" customHeight="1" x14ac:dyDescent="0.2">
      <c r="D618" s="23"/>
      <c r="E618" s="23"/>
      <c r="H618" s="7"/>
      <c r="I618" s="98"/>
      <c r="J618" s="98"/>
      <c r="K618" s="98"/>
      <c r="L618" s="7"/>
    </row>
    <row r="619" spans="4:12" ht="15.75" customHeight="1" x14ac:dyDescent="0.2">
      <c r="D619" s="23"/>
      <c r="E619" s="23"/>
      <c r="H619" s="7"/>
      <c r="I619" s="98"/>
      <c r="J619" s="98"/>
      <c r="K619" s="98"/>
      <c r="L619" s="7"/>
    </row>
    <row r="620" spans="4:12" ht="15.75" customHeight="1" x14ac:dyDescent="0.2">
      <c r="D620" s="23"/>
      <c r="E620" s="23"/>
      <c r="H620" s="7"/>
      <c r="I620" s="98"/>
      <c r="J620" s="98"/>
      <c r="K620" s="98"/>
      <c r="L620" s="7"/>
    </row>
    <row r="621" spans="4:12" ht="15.75" customHeight="1" x14ac:dyDescent="0.2">
      <c r="D621" s="23"/>
      <c r="E621" s="23"/>
      <c r="H621" s="7"/>
      <c r="I621" s="98"/>
      <c r="J621" s="98"/>
      <c r="K621" s="98"/>
      <c r="L621" s="7"/>
    </row>
    <row r="622" spans="4:12" ht="15.75" customHeight="1" x14ac:dyDescent="0.2">
      <c r="D622" s="23"/>
      <c r="E622" s="23"/>
      <c r="H622" s="7"/>
      <c r="I622" s="98"/>
      <c r="J622" s="98"/>
      <c r="K622" s="98"/>
      <c r="L622" s="7"/>
    </row>
    <row r="623" spans="4:12" ht="15.75" customHeight="1" x14ac:dyDescent="0.2">
      <c r="D623" s="23"/>
      <c r="E623" s="23"/>
      <c r="H623" s="7"/>
      <c r="I623" s="98"/>
      <c r="J623" s="98"/>
      <c r="K623" s="98"/>
      <c r="L623" s="7"/>
    </row>
    <row r="624" spans="4:12" ht="15.75" customHeight="1" x14ac:dyDescent="0.2">
      <c r="D624" s="23"/>
      <c r="E624" s="23"/>
      <c r="H624" s="7"/>
      <c r="I624" s="98"/>
      <c r="J624" s="98"/>
      <c r="K624" s="98"/>
      <c r="L624" s="7"/>
    </row>
    <row r="625" spans="4:12" ht="15.75" customHeight="1" x14ac:dyDescent="0.2">
      <c r="D625" s="23"/>
      <c r="E625" s="23"/>
      <c r="H625" s="7"/>
      <c r="I625" s="98"/>
      <c r="J625" s="98"/>
      <c r="K625" s="98"/>
      <c r="L625" s="7"/>
    </row>
    <row r="626" spans="4:12" ht="15.75" customHeight="1" x14ac:dyDescent="0.2">
      <c r="D626" s="23"/>
      <c r="E626" s="23"/>
      <c r="H626" s="7"/>
      <c r="I626" s="98"/>
      <c r="J626" s="98"/>
      <c r="K626" s="98"/>
      <c r="L626" s="7"/>
    </row>
    <row r="627" spans="4:12" ht="15.75" customHeight="1" x14ac:dyDescent="0.2">
      <c r="D627" s="23"/>
      <c r="E627" s="23"/>
      <c r="H627" s="7"/>
      <c r="I627" s="98"/>
      <c r="J627" s="98"/>
      <c r="K627" s="98"/>
      <c r="L627" s="7"/>
    </row>
    <row r="628" spans="4:12" ht="15.75" customHeight="1" x14ac:dyDescent="0.2">
      <c r="D628" s="23"/>
      <c r="E628" s="23"/>
      <c r="H628" s="7"/>
      <c r="I628" s="98"/>
      <c r="J628" s="98"/>
      <c r="K628" s="98"/>
      <c r="L628" s="7"/>
    </row>
    <row r="629" spans="4:12" ht="15.75" customHeight="1" x14ac:dyDescent="0.2">
      <c r="D629" s="23"/>
      <c r="E629" s="23"/>
      <c r="H629" s="7"/>
      <c r="I629" s="98"/>
      <c r="J629" s="98"/>
      <c r="K629" s="98"/>
      <c r="L629" s="7"/>
    </row>
    <row r="630" spans="4:12" ht="15.75" customHeight="1" x14ac:dyDescent="0.2">
      <c r="D630" s="23"/>
      <c r="E630" s="23"/>
      <c r="H630" s="7"/>
      <c r="I630" s="98"/>
      <c r="J630" s="98"/>
      <c r="K630" s="98"/>
      <c r="L630" s="7"/>
    </row>
    <row r="631" spans="4:12" ht="15.75" customHeight="1" x14ac:dyDescent="0.2">
      <c r="D631" s="23"/>
      <c r="E631" s="23"/>
      <c r="H631" s="7"/>
      <c r="I631" s="98"/>
      <c r="J631" s="98"/>
      <c r="K631" s="98"/>
      <c r="L631" s="7"/>
    </row>
    <row r="632" spans="4:12" ht="15.75" customHeight="1" x14ac:dyDescent="0.2">
      <c r="D632" s="23"/>
      <c r="E632" s="23"/>
      <c r="H632" s="7"/>
      <c r="I632" s="98"/>
      <c r="J632" s="98"/>
      <c r="K632" s="98"/>
      <c r="L632" s="7"/>
    </row>
    <row r="633" spans="4:12" ht="15.75" customHeight="1" x14ac:dyDescent="0.2">
      <c r="D633" s="23"/>
      <c r="E633" s="23"/>
      <c r="H633" s="7"/>
      <c r="I633" s="98"/>
      <c r="J633" s="98"/>
      <c r="K633" s="98"/>
      <c r="L633" s="7"/>
    </row>
    <row r="634" spans="4:12" ht="15.75" customHeight="1" x14ac:dyDescent="0.2">
      <c r="D634" s="23"/>
      <c r="E634" s="23"/>
      <c r="H634" s="7"/>
      <c r="I634" s="98"/>
      <c r="J634" s="98"/>
      <c r="K634" s="98"/>
      <c r="L634" s="7"/>
    </row>
    <row r="635" spans="4:12" ht="15.75" customHeight="1" x14ac:dyDescent="0.2">
      <c r="D635" s="23"/>
      <c r="E635" s="23"/>
      <c r="H635" s="7"/>
      <c r="I635" s="98"/>
      <c r="J635" s="98"/>
      <c r="K635" s="98"/>
      <c r="L635" s="7"/>
    </row>
    <row r="636" spans="4:12" ht="15.75" customHeight="1" x14ac:dyDescent="0.2">
      <c r="D636" s="23"/>
      <c r="E636" s="23"/>
      <c r="H636" s="7"/>
      <c r="I636" s="98"/>
      <c r="J636" s="98"/>
      <c r="K636" s="98"/>
      <c r="L636" s="7"/>
    </row>
    <row r="637" spans="4:12" ht="15.75" customHeight="1" x14ac:dyDescent="0.2">
      <c r="D637" s="23"/>
      <c r="E637" s="23"/>
      <c r="H637" s="7"/>
      <c r="I637" s="98"/>
      <c r="J637" s="98"/>
      <c r="K637" s="98"/>
      <c r="L637" s="7"/>
    </row>
    <row r="638" spans="4:12" ht="15.75" customHeight="1" x14ac:dyDescent="0.2">
      <c r="D638" s="23"/>
      <c r="E638" s="23"/>
      <c r="H638" s="7"/>
      <c r="I638" s="98"/>
      <c r="J638" s="98"/>
      <c r="K638" s="98"/>
      <c r="L638" s="7"/>
    </row>
    <row r="639" spans="4:12" ht="15.75" customHeight="1" x14ac:dyDescent="0.2">
      <c r="D639" s="23"/>
      <c r="E639" s="23"/>
      <c r="H639" s="7"/>
      <c r="I639" s="98"/>
      <c r="J639" s="98"/>
      <c r="K639" s="98"/>
      <c r="L639" s="7"/>
    </row>
    <row r="640" spans="4:12" ht="15.75" customHeight="1" x14ac:dyDescent="0.2">
      <c r="D640" s="23"/>
      <c r="E640" s="23"/>
      <c r="H640" s="7"/>
      <c r="I640" s="98"/>
      <c r="J640" s="98"/>
      <c r="K640" s="98"/>
      <c r="L640" s="7"/>
    </row>
    <row r="641" spans="4:12" ht="15.75" customHeight="1" x14ac:dyDescent="0.2">
      <c r="D641" s="23"/>
      <c r="E641" s="23"/>
      <c r="H641" s="7"/>
      <c r="I641" s="98"/>
      <c r="J641" s="98"/>
      <c r="K641" s="98"/>
      <c r="L641" s="7"/>
    </row>
    <row r="642" spans="4:12" ht="15.75" customHeight="1" x14ac:dyDescent="0.2">
      <c r="D642" s="23"/>
      <c r="E642" s="23"/>
      <c r="H642" s="7"/>
      <c r="I642" s="98"/>
      <c r="J642" s="98"/>
      <c r="K642" s="98"/>
      <c r="L642" s="7"/>
    </row>
    <row r="643" spans="4:12" ht="15.75" customHeight="1" x14ac:dyDescent="0.2">
      <c r="D643" s="23"/>
      <c r="E643" s="23"/>
      <c r="H643" s="7"/>
      <c r="I643" s="98"/>
      <c r="J643" s="98"/>
      <c r="K643" s="98"/>
      <c r="L643" s="7"/>
    </row>
    <row r="644" spans="4:12" ht="15.75" customHeight="1" x14ac:dyDescent="0.2">
      <c r="D644" s="23"/>
      <c r="E644" s="23"/>
      <c r="H644" s="7"/>
      <c r="I644" s="98"/>
      <c r="J644" s="98"/>
      <c r="K644" s="98"/>
      <c r="L644" s="7"/>
    </row>
    <row r="645" spans="4:12" ht="15.75" customHeight="1" x14ac:dyDescent="0.2">
      <c r="D645" s="23"/>
      <c r="E645" s="23"/>
      <c r="H645" s="7"/>
      <c r="I645" s="98"/>
      <c r="J645" s="98"/>
      <c r="K645" s="98"/>
      <c r="L645" s="7"/>
    </row>
    <row r="646" spans="4:12" ht="15.75" customHeight="1" x14ac:dyDescent="0.2">
      <c r="D646" s="23"/>
      <c r="E646" s="23"/>
      <c r="H646" s="7"/>
      <c r="I646" s="98"/>
      <c r="J646" s="98"/>
      <c r="K646" s="98"/>
      <c r="L646" s="7"/>
    </row>
    <row r="647" spans="4:12" ht="15.75" customHeight="1" x14ac:dyDescent="0.2">
      <c r="D647" s="23"/>
      <c r="E647" s="23"/>
      <c r="H647" s="7"/>
      <c r="I647" s="98"/>
      <c r="J647" s="98"/>
      <c r="K647" s="98"/>
      <c r="L647" s="7"/>
    </row>
    <row r="648" spans="4:12" ht="15.75" customHeight="1" x14ac:dyDescent="0.2">
      <c r="D648" s="23"/>
      <c r="E648" s="23"/>
      <c r="H648" s="7"/>
      <c r="I648" s="98"/>
      <c r="J648" s="98"/>
      <c r="K648" s="98"/>
      <c r="L648" s="7"/>
    </row>
    <row r="649" spans="4:12" ht="15.75" customHeight="1" x14ac:dyDescent="0.2">
      <c r="D649" s="23"/>
      <c r="E649" s="23"/>
      <c r="H649" s="7"/>
      <c r="I649" s="98"/>
      <c r="J649" s="98"/>
      <c r="K649" s="98"/>
      <c r="L649" s="7"/>
    </row>
    <row r="650" spans="4:12" ht="15.75" customHeight="1" x14ac:dyDescent="0.2">
      <c r="D650" s="23"/>
      <c r="E650" s="23"/>
      <c r="H650" s="7"/>
      <c r="I650" s="98"/>
      <c r="J650" s="98"/>
      <c r="K650" s="98"/>
      <c r="L650" s="7"/>
    </row>
    <row r="651" spans="4:12" ht="15.75" customHeight="1" x14ac:dyDescent="0.2">
      <c r="D651" s="23"/>
      <c r="E651" s="23"/>
      <c r="H651" s="7"/>
      <c r="I651" s="98"/>
      <c r="J651" s="98"/>
      <c r="K651" s="98"/>
      <c r="L651" s="7"/>
    </row>
    <row r="652" spans="4:12" ht="15.75" customHeight="1" x14ac:dyDescent="0.2">
      <c r="D652" s="23"/>
      <c r="E652" s="23"/>
      <c r="H652" s="7"/>
      <c r="I652" s="98"/>
      <c r="J652" s="98"/>
      <c r="K652" s="98"/>
      <c r="L652" s="7"/>
    </row>
    <row r="653" spans="4:12" ht="15.75" customHeight="1" x14ac:dyDescent="0.2">
      <c r="D653" s="23"/>
      <c r="E653" s="23"/>
      <c r="H653" s="7"/>
      <c r="I653" s="98"/>
      <c r="J653" s="98"/>
      <c r="K653" s="98"/>
      <c r="L653" s="7"/>
    </row>
    <row r="654" spans="4:12" ht="15.75" customHeight="1" x14ac:dyDescent="0.2">
      <c r="D654" s="23"/>
      <c r="E654" s="23"/>
      <c r="H654" s="7"/>
      <c r="I654" s="98"/>
      <c r="J654" s="98"/>
      <c r="K654" s="98"/>
      <c r="L654" s="7"/>
    </row>
    <row r="655" spans="4:12" ht="15.75" customHeight="1" x14ac:dyDescent="0.2">
      <c r="D655" s="23"/>
      <c r="E655" s="23"/>
      <c r="H655" s="7"/>
      <c r="I655" s="98"/>
      <c r="J655" s="98"/>
      <c r="K655" s="98"/>
      <c r="L655" s="7"/>
    </row>
    <row r="656" spans="4:12" ht="15.75" customHeight="1" x14ac:dyDescent="0.2">
      <c r="D656" s="23"/>
      <c r="E656" s="23"/>
      <c r="H656" s="7"/>
      <c r="I656" s="98"/>
      <c r="J656" s="98"/>
      <c r="K656" s="98"/>
      <c r="L656" s="7"/>
    </row>
    <row r="657" spans="4:12" ht="15.75" customHeight="1" x14ac:dyDescent="0.2">
      <c r="D657" s="23"/>
      <c r="E657" s="23"/>
      <c r="H657" s="7"/>
      <c r="I657" s="98"/>
      <c r="J657" s="98"/>
      <c r="K657" s="98"/>
      <c r="L657" s="7"/>
    </row>
    <row r="658" spans="4:12" ht="15.75" customHeight="1" x14ac:dyDescent="0.2">
      <c r="D658" s="23"/>
      <c r="E658" s="23"/>
      <c r="H658" s="7"/>
      <c r="I658" s="98"/>
      <c r="J658" s="98"/>
      <c r="K658" s="98"/>
      <c r="L658" s="7"/>
    </row>
    <row r="659" spans="4:12" ht="15.75" customHeight="1" x14ac:dyDescent="0.2">
      <c r="D659" s="23"/>
      <c r="E659" s="23"/>
      <c r="H659" s="7"/>
      <c r="I659" s="98"/>
      <c r="J659" s="98"/>
      <c r="K659" s="98"/>
      <c r="L659" s="7"/>
    </row>
    <row r="660" spans="4:12" ht="15.75" customHeight="1" x14ac:dyDescent="0.2">
      <c r="D660" s="23"/>
      <c r="E660" s="23"/>
      <c r="H660" s="7"/>
      <c r="I660" s="98"/>
      <c r="J660" s="98"/>
      <c r="K660" s="98"/>
      <c r="L660" s="7"/>
    </row>
    <row r="661" spans="4:12" ht="15.75" customHeight="1" x14ac:dyDescent="0.2">
      <c r="D661" s="23"/>
      <c r="E661" s="23"/>
      <c r="H661" s="7"/>
      <c r="I661" s="98"/>
      <c r="J661" s="98"/>
      <c r="K661" s="98"/>
      <c r="L661" s="7"/>
    </row>
    <row r="662" spans="4:12" ht="15.75" customHeight="1" x14ac:dyDescent="0.2">
      <c r="D662" s="23"/>
      <c r="E662" s="23"/>
      <c r="H662" s="7"/>
      <c r="I662" s="98"/>
      <c r="J662" s="98"/>
      <c r="K662" s="98"/>
      <c r="L662" s="7"/>
    </row>
    <row r="663" spans="4:12" ht="15.75" customHeight="1" x14ac:dyDescent="0.2">
      <c r="D663" s="23"/>
      <c r="E663" s="23"/>
      <c r="H663" s="7"/>
      <c r="I663" s="98"/>
      <c r="J663" s="98"/>
      <c r="K663" s="98"/>
      <c r="L663" s="7"/>
    </row>
    <row r="664" spans="4:12" ht="15.75" customHeight="1" x14ac:dyDescent="0.2">
      <c r="D664" s="23"/>
      <c r="E664" s="23"/>
      <c r="H664" s="7"/>
      <c r="I664" s="98"/>
      <c r="J664" s="98"/>
      <c r="K664" s="98"/>
      <c r="L664" s="7"/>
    </row>
    <row r="665" spans="4:12" ht="15.75" customHeight="1" x14ac:dyDescent="0.2">
      <c r="D665" s="23"/>
      <c r="E665" s="23"/>
      <c r="H665" s="7"/>
      <c r="I665" s="98"/>
      <c r="J665" s="98"/>
      <c r="K665" s="98"/>
      <c r="L665" s="7"/>
    </row>
    <row r="666" spans="4:12" ht="15.75" customHeight="1" x14ac:dyDescent="0.2">
      <c r="D666" s="23"/>
      <c r="E666" s="23"/>
      <c r="H666" s="7"/>
      <c r="I666" s="98"/>
      <c r="J666" s="98"/>
      <c r="K666" s="98"/>
      <c r="L666" s="7"/>
    </row>
    <row r="667" spans="4:12" ht="15.75" customHeight="1" x14ac:dyDescent="0.2">
      <c r="D667" s="23"/>
      <c r="E667" s="23"/>
      <c r="H667" s="7"/>
      <c r="I667" s="98"/>
      <c r="J667" s="98"/>
      <c r="K667" s="98"/>
      <c r="L667" s="7"/>
    </row>
    <row r="668" spans="4:12" ht="15.75" customHeight="1" x14ac:dyDescent="0.2">
      <c r="D668" s="23"/>
      <c r="E668" s="23"/>
      <c r="H668" s="7"/>
      <c r="I668" s="98"/>
      <c r="J668" s="98"/>
      <c r="K668" s="98"/>
      <c r="L668" s="7"/>
    </row>
    <row r="669" spans="4:12" ht="15.75" customHeight="1" x14ac:dyDescent="0.2">
      <c r="D669" s="23"/>
      <c r="E669" s="23"/>
      <c r="H669" s="7"/>
      <c r="I669" s="98"/>
      <c r="J669" s="98"/>
      <c r="K669" s="98"/>
      <c r="L669" s="7"/>
    </row>
    <row r="670" spans="4:12" ht="15.75" customHeight="1" x14ac:dyDescent="0.2">
      <c r="D670" s="23"/>
      <c r="E670" s="23"/>
      <c r="H670" s="7"/>
      <c r="I670" s="98"/>
      <c r="J670" s="98"/>
      <c r="K670" s="98"/>
      <c r="L670" s="7"/>
    </row>
    <row r="671" spans="4:12" ht="15.75" customHeight="1" x14ac:dyDescent="0.2">
      <c r="D671" s="23"/>
      <c r="E671" s="23"/>
      <c r="H671" s="7"/>
      <c r="I671" s="98"/>
      <c r="J671" s="98"/>
      <c r="K671" s="98"/>
      <c r="L671" s="7"/>
    </row>
    <row r="672" spans="4:12" ht="15.75" customHeight="1" x14ac:dyDescent="0.2">
      <c r="D672" s="23"/>
      <c r="E672" s="23"/>
      <c r="H672" s="7"/>
      <c r="I672" s="98"/>
      <c r="J672" s="98"/>
      <c r="K672" s="98"/>
      <c r="L672" s="7"/>
    </row>
    <row r="673" spans="4:12" ht="15.75" customHeight="1" x14ac:dyDescent="0.2">
      <c r="D673" s="23"/>
      <c r="E673" s="23"/>
      <c r="H673" s="7"/>
      <c r="I673" s="98"/>
      <c r="J673" s="98"/>
      <c r="K673" s="98"/>
      <c r="L673" s="7"/>
    </row>
    <row r="674" spans="4:12" ht="15.75" customHeight="1" x14ac:dyDescent="0.2">
      <c r="D674" s="23"/>
      <c r="E674" s="23"/>
      <c r="H674" s="7"/>
      <c r="I674" s="98"/>
      <c r="J674" s="98"/>
      <c r="K674" s="98"/>
      <c r="L674" s="7"/>
    </row>
    <row r="675" spans="4:12" ht="15.75" customHeight="1" x14ac:dyDescent="0.2">
      <c r="D675" s="23"/>
      <c r="E675" s="23"/>
      <c r="H675" s="7"/>
      <c r="I675" s="98"/>
      <c r="J675" s="98"/>
      <c r="K675" s="98"/>
      <c r="L675" s="7"/>
    </row>
    <row r="676" spans="4:12" ht="15.75" customHeight="1" x14ac:dyDescent="0.2">
      <c r="D676" s="23"/>
      <c r="E676" s="23"/>
      <c r="H676" s="7"/>
      <c r="I676" s="98"/>
      <c r="J676" s="98"/>
      <c r="K676" s="98"/>
      <c r="L676" s="7"/>
    </row>
    <row r="677" spans="4:12" ht="15.75" customHeight="1" x14ac:dyDescent="0.2">
      <c r="D677" s="23"/>
      <c r="E677" s="23"/>
      <c r="H677" s="7"/>
      <c r="I677" s="98"/>
      <c r="J677" s="98"/>
      <c r="K677" s="98"/>
      <c r="L677" s="7"/>
    </row>
    <row r="678" spans="4:12" ht="15.75" customHeight="1" x14ac:dyDescent="0.2">
      <c r="D678" s="23"/>
      <c r="E678" s="23"/>
      <c r="H678" s="7"/>
      <c r="I678" s="98"/>
      <c r="J678" s="98"/>
      <c r="K678" s="98"/>
      <c r="L678" s="7"/>
    </row>
    <row r="679" spans="4:12" ht="15.75" customHeight="1" x14ac:dyDescent="0.2">
      <c r="D679" s="23"/>
      <c r="E679" s="23"/>
      <c r="H679" s="7"/>
      <c r="I679" s="98"/>
      <c r="J679" s="98"/>
      <c r="K679" s="98"/>
      <c r="L679" s="7"/>
    </row>
    <row r="680" spans="4:12" ht="15.75" customHeight="1" x14ac:dyDescent="0.2">
      <c r="D680" s="23"/>
      <c r="E680" s="23"/>
      <c r="H680" s="7"/>
      <c r="I680" s="98"/>
      <c r="J680" s="98"/>
      <c r="K680" s="98"/>
      <c r="L680" s="7"/>
    </row>
    <row r="681" spans="4:12" ht="15.75" customHeight="1" x14ac:dyDescent="0.2">
      <c r="D681" s="23"/>
      <c r="E681" s="23"/>
      <c r="H681" s="7"/>
      <c r="I681" s="98"/>
      <c r="J681" s="98"/>
      <c r="K681" s="98"/>
      <c r="L681" s="7"/>
    </row>
    <row r="682" spans="4:12" ht="15.75" customHeight="1" x14ac:dyDescent="0.2">
      <c r="D682" s="23"/>
      <c r="E682" s="23"/>
      <c r="H682" s="7"/>
      <c r="I682" s="98"/>
      <c r="J682" s="98"/>
      <c r="K682" s="98"/>
      <c r="L682" s="7"/>
    </row>
    <row r="683" spans="4:12" ht="15.75" customHeight="1" x14ac:dyDescent="0.2">
      <c r="D683" s="23"/>
      <c r="E683" s="23"/>
      <c r="H683" s="7"/>
      <c r="I683" s="98"/>
      <c r="J683" s="98"/>
      <c r="K683" s="98"/>
      <c r="L683" s="7"/>
    </row>
    <row r="684" spans="4:12" ht="15.75" customHeight="1" x14ac:dyDescent="0.2">
      <c r="D684" s="23"/>
      <c r="E684" s="23"/>
      <c r="H684" s="7"/>
      <c r="I684" s="98"/>
      <c r="J684" s="98"/>
      <c r="K684" s="98"/>
      <c r="L684" s="7"/>
    </row>
    <row r="685" spans="4:12" ht="15.75" customHeight="1" x14ac:dyDescent="0.2">
      <c r="D685" s="23"/>
      <c r="E685" s="23"/>
      <c r="H685" s="7"/>
      <c r="I685" s="98"/>
      <c r="J685" s="98"/>
      <c r="K685" s="98"/>
      <c r="L685" s="7"/>
    </row>
    <row r="686" spans="4:12" ht="15.75" customHeight="1" x14ac:dyDescent="0.2">
      <c r="D686" s="23"/>
      <c r="E686" s="23"/>
      <c r="H686" s="7"/>
      <c r="I686" s="98"/>
      <c r="J686" s="98"/>
      <c r="K686" s="98"/>
      <c r="L686" s="7"/>
    </row>
    <row r="687" spans="4:12" ht="15.75" customHeight="1" x14ac:dyDescent="0.2">
      <c r="D687" s="23"/>
      <c r="E687" s="23"/>
      <c r="H687" s="7"/>
      <c r="I687" s="98"/>
      <c r="J687" s="98"/>
      <c r="K687" s="98"/>
      <c r="L687" s="7"/>
    </row>
    <row r="688" spans="4:12" ht="15.75" customHeight="1" x14ac:dyDescent="0.2">
      <c r="D688" s="23"/>
      <c r="E688" s="23"/>
      <c r="H688" s="7"/>
      <c r="I688" s="98"/>
      <c r="J688" s="98"/>
      <c r="K688" s="98"/>
      <c r="L688" s="7"/>
    </row>
    <row r="689" spans="4:12" ht="15.75" customHeight="1" x14ac:dyDescent="0.2">
      <c r="D689" s="23"/>
      <c r="E689" s="23"/>
      <c r="H689" s="7"/>
      <c r="I689" s="98"/>
      <c r="J689" s="98"/>
      <c r="K689" s="98"/>
      <c r="L689" s="7"/>
    </row>
    <row r="690" spans="4:12" ht="15.75" customHeight="1" x14ac:dyDescent="0.2">
      <c r="D690" s="23"/>
      <c r="E690" s="23"/>
      <c r="H690" s="7"/>
      <c r="I690" s="98"/>
      <c r="J690" s="98"/>
      <c r="K690" s="98"/>
      <c r="L690" s="7"/>
    </row>
    <row r="691" spans="4:12" ht="15.75" customHeight="1" x14ac:dyDescent="0.2">
      <c r="D691" s="23"/>
      <c r="E691" s="23"/>
      <c r="H691" s="7"/>
      <c r="I691" s="98"/>
      <c r="J691" s="98"/>
      <c r="K691" s="98"/>
      <c r="L691" s="7"/>
    </row>
    <row r="692" spans="4:12" ht="15.75" customHeight="1" x14ac:dyDescent="0.2">
      <c r="D692" s="23"/>
      <c r="E692" s="23"/>
      <c r="H692" s="7"/>
      <c r="I692" s="98"/>
      <c r="J692" s="98"/>
      <c r="K692" s="98"/>
      <c r="L692" s="7"/>
    </row>
    <row r="693" spans="4:12" ht="15.75" customHeight="1" x14ac:dyDescent="0.2">
      <c r="D693" s="23"/>
      <c r="E693" s="23"/>
      <c r="H693" s="7"/>
      <c r="I693" s="98"/>
      <c r="J693" s="98"/>
      <c r="K693" s="98"/>
      <c r="L693" s="7"/>
    </row>
    <row r="694" spans="4:12" ht="15.75" customHeight="1" x14ac:dyDescent="0.2">
      <c r="D694" s="23"/>
      <c r="E694" s="23"/>
      <c r="H694" s="7"/>
      <c r="I694" s="98"/>
      <c r="J694" s="98"/>
      <c r="K694" s="98"/>
      <c r="L694" s="7"/>
    </row>
    <row r="695" spans="4:12" ht="15.75" customHeight="1" x14ac:dyDescent="0.2">
      <c r="D695" s="23"/>
      <c r="E695" s="23"/>
      <c r="H695" s="7"/>
      <c r="I695" s="98"/>
      <c r="J695" s="98"/>
      <c r="K695" s="98"/>
      <c r="L695" s="7"/>
    </row>
    <row r="696" spans="4:12" ht="15.75" customHeight="1" x14ac:dyDescent="0.2">
      <c r="D696" s="23"/>
      <c r="E696" s="23"/>
      <c r="H696" s="7"/>
      <c r="I696" s="98"/>
      <c r="J696" s="98"/>
      <c r="K696" s="98"/>
      <c r="L696" s="7"/>
    </row>
    <row r="697" spans="4:12" ht="15.75" customHeight="1" x14ac:dyDescent="0.2">
      <c r="D697" s="23"/>
      <c r="E697" s="23"/>
      <c r="H697" s="7"/>
      <c r="I697" s="98"/>
      <c r="J697" s="98"/>
      <c r="K697" s="98"/>
      <c r="L697" s="7"/>
    </row>
    <row r="698" spans="4:12" ht="15.75" customHeight="1" x14ac:dyDescent="0.2">
      <c r="D698" s="23"/>
      <c r="E698" s="23"/>
      <c r="H698" s="7"/>
      <c r="I698" s="98"/>
      <c r="J698" s="98"/>
      <c r="K698" s="98"/>
      <c r="L698" s="7"/>
    </row>
    <row r="699" spans="4:12" ht="15.75" customHeight="1" x14ac:dyDescent="0.2">
      <c r="D699" s="23"/>
      <c r="E699" s="23"/>
      <c r="H699" s="7"/>
      <c r="I699" s="98"/>
      <c r="J699" s="98"/>
      <c r="K699" s="98"/>
      <c r="L699" s="7"/>
    </row>
    <row r="700" spans="4:12" ht="15.75" customHeight="1" x14ac:dyDescent="0.2">
      <c r="D700" s="23"/>
      <c r="E700" s="23"/>
      <c r="H700" s="7"/>
      <c r="I700" s="98"/>
      <c r="J700" s="98"/>
      <c r="K700" s="98"/>
      <c r="L700" s="7"/>
    </row>
    <row r="701" spans="4:12" ht="15.75" customHeight="1" x14ac:dyDescent="0.2">
      <c r="D701" s="23"/>
      <c r="E701" s="23"/>
      <c r="H701" s="7"/>
      <c r="I701" s="98"/>
      <c r="J701" s="98"/>
      <c r="K701" s="98"/>
      <c r="L701" s="7"/>
    </row>
    <row r="702" spans="4:12" ht="15.75" customHeight="1" x14ac:dyDescent="0.2">
      <c r="D702" s="23"/>
      <c r="E702" s="23"/>
      <c r="H702" s="7"/>
      <c r="I702" s="98"/>
      <c r="J702" s="98"/>
      <c r="K702" s="98"/>
      <c r="L702" s="7"/>
    </row>
    <row r="703" spans="4:12" ht="15.75" customHeight="1" x14ac:dyDescent="0.2">
      <c r="D703" s="23"/>
      <c r="E703" s="23"/>
      <c r="H703" s="7"/>
      <c r="I703" s="98"/>
      <c r="J703" s="98"/>
      <c r="K703" s="98"/>
      <c r="L703" s="7"/>
    </row>
    <row r="704" spans="4:12" ht="15.75" customHeight="1" x14ac:dyDescent="0.2">
      <c r="D704" s="23"/>
      <c r="E704" s="23"/>
      <c r="H704" s="7"/>
      <c r="I704" s="98"/>
      <c r="J704" s="98"/>
      <c r="K704" s="98"/>
      <c r="L704" s="7"/>
    </row>
    <row r="705" spans="4:12" ht="15.75" customHeight="1" x14ac:dyDescent="0.2">
      <c r="D705" s="23"/>
      <c r="E705" s="23"/>
      <c r="H705" s="7"/>
      <c r="I705" s="98"/>
      <c r="J705" s="98"/>
      <c r="K705" s="98"/>
      <c r="L705" s="7"/>
    </row>
    <row r="706" spans="4:12" ht="15.75" customHeight="1" x14ac:dyDescent="0.2">
      <c r="D706" s="23"/>
      <c r="E706" s="23"/>
      <c r="H706" s="7"/>
      <c r="I706" s="98"/>
      <c r="J706" s="98"/>
      <c r="K706" s="98"/>
      <c r="L706" s="7"/>
    </row>
    <row r="707" spans="4:12" ht="15.75" customHeight="1" x14ac:dyDescent="0.2">
      <c r="D707" s="23"/>
      <c r="E707" s="23"/>
      <c r="H707" s="7"/>
      <c r="I707" s="98"/>
      <c r="J707" s="98"/>
      <c r="K707" s="98"/>
      <c r="L707" s="7"/>
    </row>
    <row r="708" spans="4:12" ht="15.75" customHeight="1" x14ac:dyDescent="0.2">
      <c r="D708" s="23"/>
      <c r="E708" s="23"/>
      <c r="H708" s="7"/>
      <c r="I708" s="98"/>
      <c r="J708" s="98"/>
      <c r="K708" s="98"/>
      <c r="L708" s="7"/>
    </row>
    <row r="709" spans="4:12" ht="15.75" customHeight="1" x14ac:dyDescent="0.2">
      <c r="D709" s="23"/>
      <c r="E709" s="23"/>
      <c r="H709" s="7"/>
      <c r="I709" s="98"/>
      <c r="J709" s="98"/>
      <c r="K709" s="98"/>
      <c r="L709" s="7"/>
    </row>
    <row r="710" spans="4:12" ht="15.75" customHeight="1" x14ac:dyDescent="0.2">
      <c r="D710" s="23"/>
      <c r="E710" s="23"/>
      <c r="H710" s="7"/>
      <c r="I710" s="98"/>
      <c r="J710" s="98"/>
      <c r="K710" s="98"/>
      <c r="L710" s="7"/>
    </row>
    <row r="711" spans="4:12" ht="15.75" customHeight="1" x14ac:dyDescent="0.2">
      <c r="D711" s="23"/>
      <c r="E711" s="23"/>
      <c r="H711" s="7"/>
      <c r="I711" s="98"/>
      <c r="J711" s="98"/>
      <c r="K711" s="98"/>
      <c r="L711" s="7"/>
    </row>
    <row r="712" spans="4:12" ht="15.75" customHeight="1" x14ac:dyDescent="0.2">
      <c r="D712" s="23"/>
      <c r="E712" s="23"/>
      <c r="H712" s="7"/>
      <c r="I712" s="98"/>
      <c r="J712" s="98"/>
      <c r="K712" s="98"/>
      <c r="L712" s="7"/>
    </row>
    <row r="713" spans="4:12" ht="15.75" customHeight="1" x14ac:dyDescent="0.2">
      <c r="D713" s="23"/>
      <c r="E713" s="23"/>
      <c r="H713" s="7"/>
      <c r="I713" s="98"/>
      <c r="J713" s="98"/>
      <c r="K713" s="98"/>
      <c r="L713" s="7"/>
    </row>
    <row r="714" spans="4:12" ht="15.75" customHeight="1" x14ac:dyDescent="0.2">
      <c r="D714" s="23"/>
      <c r="E714" s="23"/>
      <c r="H714" s="7"/>
      <c r="I714" s="98"/>
      <c r="J714" s="98"/>
      <c r="K714" s="98"/>
      <c r="L714" s="7"/>
    </row>
    <row r="715" spans="4:12" ht="15.75" customHeight="1" x14ac:dyDescent="0.2">
      <c r="D715" s="23"/>
      <c r="E715" s="23"/>
      <c r="H715" s="7"/>
      <c r="I715" s="98"/>
      <c r="J715" s="98"/>
      <c r="K715" s="98"/>
      <c r="L715" s="7"/>
    </row>
    <row r="716" spans="4:12" ht="15.75" customHeight="1" x14ac:dyDescent="0.2">
      <c r="D716" s="23"/>
      <c r="E716" s="23"/>
      <c r="H716" s="7"/>
      <c r="I716" s="98"/>
      <c r="J716" s="98"/>
      <c r="K716" s="98"/>
      <c r="L716" s="7"/>
    </row>
    <row r="717" spans="4:12" ht="15.75" customHeight="1" x14ac:dyDescent="0.2">
      <c r="D717" s="23"/>
      <c r="E717" s="23"/>
      <c r="H717" s="7"/>
      <c r="I717" s="98"/>
      <c r="J717" s="98"/>
      <c r="K717" s="98"/>
      <c r="L717" s="7"/>
    </row>
    <row r="718" spans="4:12" ht="15.75" customHeight="1" x14ac:dyDescent="0.2">
      <c r="D718" s="23"/>
      <c r="E718" s="23"/>
      <c r="H718" s="7"/>
      <c r="I718" s="98"/>
      <c r="J718" s="98"/>
      <c r="K718" s="98"/>
      <c r="L718" s="7"/>
    </row>
    <row r="719" spans="4:12" ht="15.75" customHeight="1" x14ac:dyDescent="0.2">
      <c r="D719" s="23"/>
      <c r="E719" s="23"/>
      <c r="H719" s="7"/>
      <c r="I719" s="98"/>
      <c r="J719" s="98"/>
      <c r="K719" s="98"/>
      <c r="L719" s="7"/>
    </row>
    <row r="720" spans="4:12" ht="15.75" customHeight="1" x14ac:dyDescent="0.2">
      <c r="D720" s="23"/>
      <c r="E720" s="23"/>
      <c r="H720" s="7"/>
      <c r="I720" s="98"/>
      <c r="J720" s="98"/>
      <c r="K720" s="98"/>
      <c r="L720" s="7"/>
    </row>
    <row r="721" spans="4:12" ht="15.75" customHeight="1" x14ac:dyDescent="0.2">
      <c r="D721" s="23"/>
      <c r="E721" s="23"/>
      <c r="H721" s="7"/>
      <c r="I721" s="98"/>
      <c r="J721" s="98"/>
      <c r="K721" s="98"/>
      <c r="L721" s="7"/>
    </row>
    <row r="722" spans="4:12" ht="15.75" customHeight="1" x14ac:dyDescent="0.2">
      <c r="D722" s="23"/>
      <c r="E722" s="23"/>
      <c r="H722" s="7"/>
      <c r="I722" s="98"/>
      <c r="J722" s="98"/>
      <c r="K722" s="98"/>
      <c r="L722" s="7"/>
    </row>
    <row r="723" spans="4:12" ht="15.75" customHeight="1" x14ac:dyDescent="0.2">
      <c r="D723" s="23"/>
      <c r="E723" s="23"/>
      <c r="H723" s="7"/>
      <c r="I723" s="98"/>
      <c r="J723" s="98"/>
      <c r="K723" s="98"/>
      <c r="L723" s="7"/>
    </row>
    <row r="724" spans="4:12" ht="15.75" customHeight="1" x14ac:dyDescent="0.2">
      <c r="D724" s="23"/>
      <c r="E724" s="23"/>
      <c r="H724" s="7"/>
      <c r="I724" s="98"/>
      <c r="J724" s="98"/>
      <c r="K724" s="98"/>
      <c r="L724" s="7"/>
    </row>
    <row r="725" spans="4:12" ht="15.75" customHeight="1" x14ac:dyDescent="0.2">
      <c r="D725" s="23"/>
      <c r="E725" s="23"/>
      <c r="H725" s="7"/>
      <c r="I725" s="98"/>
      <c r="J725" s="98"/>
      <c r="K725" s="98"/>
      <c r="L725" s="7"/>
    </row>
    <row r="726" spans="4:12" ht="15.75" customHeight="1" x14ac:dyDescent="0.2">
      <c r="D726" s="23"/>
      <c r="E726" s="23"/>
      <c r="H726" s="7"/>
      <c r="I726" s="98"/>
      <c r="J726" s="98"/>
      <c r="K726" s="98"/>
      <c r="L726" s="7"/>
    </row>
    <row r="727" spans="4:12" ht="15.75" customHeight="1" x14ac:dyDescent="0.2">
      <c r="D727" s="23"/>
      <c r="E727" s="23"/>
      <c r="H727" s="7"/>
      <c r="I727" s="98"/>
      <c r="J727" s="98"/>
      <c r="K727" s="98"/>
      <c r="L727" s="7"/>
    </row>
    <row r="728" spans="4:12" ht="15.75" customHeight="1" x14ac:dyDescent="0.2">
      <c r="D728" s="23"/>
      <c r="E728" s="23"/>
      <c r="H728" s="7"/>
      <c r="I728" s="98"/>
      <c r="J728" s="98"/>
      <c r="K728" s="98"/>
      <c r="L728" s="7"/>
    </row>
    <row r="729" spans="4:12" ht="15.75" customHeight="1" x14ac:dyDescent="0.2">
      <c r="D729" s="23"/>
      <c r="E729" s="23"/>
      <c r="H729" s="7"/>
      <c r="I729" s="98"/>
      <c r="J729" s="98"/>
      <c r="K729" s="98"/>
      <c r="L729" s="7"/>
    </row>
    <row r="730" spans="4:12" ht="15.75" customHeight="1" x14ac:dyDescent="0.2">
      <c r="D730" s="23"/>
      <c r="E730" s="23"/>
      <c r="H730" s="7"/>
      <c r="I730" s="98"/>
      <c r="J730" s="98"/>
      <c r="K730" s="98"/>
      <c r="L730" s="7"/>
    </row>
    <row r="731" spans="4:12" ht="15.75" customHeight="1" x14ac:dyDescent="0.2">
      <c r="D731" s="23"/>
      <c r="E731" s="23"/>
      <c r="H731" s="7"/>
      <c r="I731" s="98"/>
      <c r="J731" s="98"/>
      <c r="K731" s="98"/>
      <c r="L731" s="7"/>
    </row>
    <row r="732" spans="4:12" ht="15.75" customHeight="1" x14ac:dyDescent="0.2">
      <c r="D732" s="23"/>
      <c r="E732" s="23"/>
      <c r="H732" s="7"/>
      <c r="I732" s="98"/>
      <c r="J732" s="98"/>
      <c r="K732" s="98"/>
      <c r="L732" s="7"/>
    </row>
    <row r="733" spans="4:12" ht="15.75" customHeight="1" x14ac:dyDescent="0.2">
      <c r="D733" s="23"/>
      <c r="E733" s="23"/>
      <c r="H733" s="7"/>
      <c r="I733" s="98"/>
      <c r="J733" s="98"/>
      <c r="K733" s="98"/>
      <c r="L733" s="7"/>
    </row>
    <row r="734" spans="4:12" ht="15.75" customHeight="1" x14ac:dyDescent="0.2">
      <c r="D734" s="23"/>
      <c r="E734" s="23"/>
      <c r="H734" s="7"/>
      <c r="I734" s="98"/>
      <c r="J734" s="98"/>
      <c r="K734" s="98"/>
      <c r="L734" s="7"/>
    </row>
    <row r="735" spans="4:12" ht="15.75" customHeight="1" x14ac:dyDescent="0.2">
      <c r="D735" s="23"/>
      <c r="E735" s="23"/>
      <c r="H735" s="7"/>
      <c r="I735" s="98"/>
      <c r="J735" s="98"/>
      <c r="K735" s="98"/>
      <c r="L735" s="7"/>
    </row>
    <row r="736" spans="4:12" ht="15.75" customHeight="1" x14ac:dyDescent="0.2">
      <c r="D736" s="23"/>
      <c r="E736" s="23"/>
      <c r="H736" s="7"/>
      <c r="I736" s="98"/>
      <c r="J736" s="98"/>
      <c r="K736" s="98"/>
      <c r="L736" s="7"/>
    </row>
    <row r="737" spans="4:12" ht="15.75" customHeight="1" x14ac:dyDescent="0.2">
      <c r="D737" s="23"/>
      <c r="E737" s="23"/>
      <c r="H737" s="7"/>
      <c r="I737" s="98"/>
      <c r="J737" s="98"/>
      <c r="K737" s="98"/>
      <c r="L737" s="7"/>
    </row>
    <row r="738" spans="4:12" ht="15.75" customHeight="1" x14ac:dyDescent="0.2">
      <c r="D738" s="23"/>
      <c r="E738" s="23"/>
      <c r="H738" s="7"/>
      <c r="I738" s="98"/>
      <c r="J738" s="98"/>
      <c r="K738" s="98"/>
      <c r="L738" s="7"/>
    </row>
    <row r="739" spans="4:12" ht="15.75" customHeight="1" x14ac:dyDescent="0.2">
      <c r="D739" s="23"/>
      <c r="E739" s="23"/>
      <c r="H739" s="7"/>
      <c r="I739" s="98"/>
      <c r="J739" s="98"/>
      <c r="K739" s="98"/>
      <c r="L739" s="7"/>
    </row>
    <row r="740" spans="4:12" ht="15.75" customHeight="1" x14ac:dyDescent="0.2">
      <c r="D740" s="23"/>
      <c r="E740" s="23"/>
      <c r="H740" s="7"/>
      <c r="I740" s="98"/>
      <c r="J740" s="98"/>
      <c r="K740" s="98"/>
      <c r="L740" s="7"/>
    </row>
    <row r="741" spans="4:12" ht="15.75" customHeight="1" x14ac:dyDescent="0.2">
      <c r="D741" s="23"/>
      <c r="E741" s="23"/>
      <c r="H741" s="7"/>
      <c r="I741" s="98"/>
      <c r="J741" s="98"/>
      <c r="K741" s="98"/>
      <c r="L741" s="7"/>
    </row>
    <row r="742" spans="4:12" ht="15.75" customHeight="1" x14ac:dyDescent="0.2">
      <c r="D742" s="23"/>
      <c r="E742" s="23"/>
      <c r="H742" s="7"/>
      <c r="I742" s="98"/>
      <c r="J742" s="98"/>
      <c r="K742" s="98"/>
      <c r="L742" s="7"/>
    </row>
    <row r="743" spans="4:12" ht="15.75" customHeight="1" x14ac:dyDescent="0.2">
      <c r="D743" s="23"/>
      <c r="E743" s="23"/>
      <c r="H743" s="7"/>
      <c r="I743" s="98"/>
      <c r="J743" s="98"/>
      <c r="K743" s="98"/>
      <c r="L743" s="7"/>
    </row>
    <row r="744" spans="4:12" ht="15.75" customHeight="1" x14ac:dyDescent="0.2">
      <c r="D744" s="23"/>
      <c r="E744" s="23"/>
      <c r="H744" s="7"/>
      <c r="I744" s="98"/>
      <c r="J744" s="98"/>
      <c r="K744" s="98"/>
      <c r="L744" s="7"/>
    </row>
    <row r="745" spans="4:12" ht="15.75" customHeight="1" x14ac:dyDescent="0.2">
      <c r="D745" s="23"/>
      <c r="E745" s="23"/>
      <c r="H745" s="7"/>
      <c r="I745" s="98"/>
      <c r="J745" s="98"/>
      <c r="K745" s="98"/>
      <c r="L745" s="7"/>
    </row>
    <row r="746" spans="4:12" ht="15.75" customHeight="1" x14ac:dyDescent="0.2">
      <c r="D746" s="23"/>
      <c r="E746" s="23"/>
      <c r="H746" s="7"/>
      <c r="I746" s="98"/>
      <c r="J746" s="98"/>
      <c r="K746" s="98"/>
      <c r="L746" s="7"/>
    </row>
    <row r="747" spans="4:12" ht="15.75" customHeight="1" x14ac:dyDescent="0.2">
      <c r="D747" s="23"/>
      <c r="E747" s="23"/>
      <c r="H747" s="7"/>
      <c r="I747" s="98"/>
      <c r="J747" s="98"/>
      <c r="K747" s="98"/>
      <c r="L747" s="7"/>
    </row>
    <row r="748" spans="4:12" ht="15.75" customHeight="1" x14ac:dyDescent="0.2">
      <c r="D748" s="23"/>
      <c r="E748" s="23"/>
      <c r="H748" s="7"/>
      <c r="I748" s="98"/>
      <c r="J748" s="98"/>
      <c r="K748" s="98"/>
      <c r="L748" s="7"/>
    </row>
    <row r="749" spans="4:12" ht="15.75" customHeight="1" x14ac:dyDescent="0.2">
      <c r="D749" s="23"/>
      <c r="E749" s="23"/>
      <c r="H749" s="7"/>
      <c r="I749" s="98"/>
      <c r="J749" s="98"/>
      <c r="K749" s="98"/>
      <c r="L749" s="7"/>
    </row>
    <row r="750" spans="4:12" ht="15.75" customHeight="1" x14ac:dyDescent="0.2">
      <c r="D750" s="23"/>
      <c r="E750" s="23"/>
      <c r="H750" s="7"/>
      <c r="I750" s="98"/>
      <c r="J750" s="98"/>
      <c r="K750" s="98"/>
      <c r="L750" s="7"/>
    </row>
    <row r="751" spans="4:12" ht="15.75" customHeight="1" x14ac:dyDescent="0.2">
      <c r="D751" s="23"/>
      <c r="E751" s="23"/>
      <c r="H751" s="7"/>
      <c r="I751" s="98"/>
      <c r="J751" s="98"/>
      <c r="K751" s="98"/>
      <c r="L751" s="7"/>
    </row>
    <row r="752" spans="4:12" ht="15.75" customHeight="1" x14ac:dyDescent="0.2">
      <c r="D752" s="23"/>
      <c r="E752" s="23"/>
      <c r="H752" s="7"/>
      <c r="I752" s="98"/>
      <c r="J752" s="98"/>
      <c r="K752" s="98"/>
      <c r="L752" s="7"/>
    </row>
    <row r="753" spans="4:12" ht="15.75" customHeight="1" x14ac:dyDescent="0.2">
      <c r="D753" s="23"/>
      <c r="E753" s="23"/>
      <c r="H753" s="7"/>
      <c r="I753" s="98"/>
      <c r="J753" s="98"/>
      <c r="K753" s="98"/>
      <c r="L753" s="7"/>
    </row>
    <row r="754" spans="4:12" ht="15.75" customHeight="1" x14ac:dyDescent="0.2">
      <c r="D754" s="23"/>
      <c r="E754" s="23"/>
      <c r="H754" s="7"/>
      <c r="I754" s="98"/>
      <c r="J754" s="98"/>
      <c r="K754" s="98"/>
      <c r="L754" s="7"/>
    </row>
    <row r="755" spans="4:12" ht="15.75" customHeight="1" x14ac:dyDescent="0.2">
      <c r="D755" s="23"/>
      <c r="E755" s="23"/>
      <c r="H755" s="7"/>
      <c r="I755" s="98"/>
      <c r="J755" s="98"/>
      <c r="K755" s="98"/>
      <c r="L755" s="7"/>
    </row>
    <row r="756" spans="4:12" ht="15.75" customHeight="1" x14ac:dyDescent="0.2">
      <c r="D756" s="23"/>
      <c r="E756" s="23"/>
      <c r="H756" s="7"/>
      <c r="I756" s="98"/>
      <c r="J756" s="98"/>
      <c r="K756" s="98"/>
      <c r="L756" s="7"/>
    </row>
    <row r="757" spans="4:12" ht="15.75" customHeight="1" x14ac:dyDescent="0.2">
      <c r="D757" s="23"/>
      <c r="E757" s="23"/>
      <c r="H757" s="7"/>
      <c r="I757" s="98"/>
      <c r="J757" s="98"/>
      <c r="K757" s="98"/>
      <c r="L757" s="7"/>
    </row>
    <row r="758" spans="4:12" ht="15.75" customHeight="1" x14ac:dyDescent="0.2">
      <c r="D758" s="23"/>
      <c r="E758" s="23"/>
      <c r="H758" s="7"/>
      <c r="I758" s="98"/>
      <c r="J758" s="98"/>
      <c r="K758" s="98"/>
      <c r="L758" s="7"/>
    </row>
    <row r="759" spans="4:12" ht="15.75" customHeight="1" x14ac:dyDescent="0.2">
      <c r="D759" s="23"/>
      <c r="E759" s="23"/>
      <c r="H759" s="7"/>
      <c r="I759" s="98"/>
      <c r="J759" s="98"/>
      <c r="K759" s="98"/>
      <c r="L759" s="7"/>
    </row>
    <row r="760" spans="4:12" ht="15.75" customHeight="1" x14ac:dyDescent="0.2">
      <c r="D760" s="23"/>
      <c r="E760" s="23"/>
      <c r="H760" s="7"/>
      <c r="I760" s="98"/>
      <c r="J760" s="98"/>
      <c r="K760" s="98"/>
      <c r="L760" s="7"/>
    </row>
    <row r="761" spans="4:12" ht="15.75" customHeight="1" x14ac:dyDescent="0.2">
      <c r="D761" s="23"/>
      <c r="E761" s="23"/>
      <c r="H761" s="7"/>
      <c r="I761" s="98"/>
      <c r="J761" s="98"/>
      <c r="K761" s="98"/>
      <c r="L761" s="7"/>
    </row>
    <row r="762" spans="4:12" ht="15.75" customHeight="1" x14ac:dyDescent="0.2">
      <c r="D762" s="23"/>
      <c r="E762" s="23"/>
      <c r="H762" s="7"/>
      <c r="I762" s="98"/>
      <c r="J762" s="98"/>
      <c r="K762" s="98"/>
      <c r="L762" s="7"/>
    </row>
    <row r="763" spans="4:12" ht="15.75" customHeight="1" x14ac:dyDescent="0.2">
      <c r="D763" s="23"/>
      <c r="E763" s="23"/>
      <c r="H763" s="7"/>
      <c r="I763" s="98"/>
      <c r="J763" s="98"/>
      <c r="K763" s="98"/>
      <c r="L763" s="7"/>
    </row>
    <row r="764" spans="4:12" ht="15.75" customHeight="1" x14ac:dyDescent="0.2">
      <c r="D764" s="23"/>
      <c r="E764" s="23"/>
      <c r="H764" s="7"/>
      <c r="I764" s="98"/>
      <c r="J764" s="98"/>
      <c r="K764" s="98"/>
      <c r="L764" s="7"/>
    </row>
    <row r="765" spans="4:12" ht="15.75" customHeight="1" x14ac:dyDescent="0.2">
      <c r="D765" s="23"/>
      <c r="E765" s="23"/>
      <c r="H765" s="7"/>
      <c r="I765" s="98"/>
      <c r="J765" s="98"/>
      <c r="K765" s="98"/>
      <c r="L765" s="7"/>
    </row>
    <row r="766" spans="4:12" ht="15.75" customHeight="1" x14ac:dyDescent="0.2">
      <c r="D766" s="23"/>
      <c r="E766" s="23"/>
      <c r="H766" s="7"/>
      <c r="I766" s="98"/>
      <c r="J766" s="98"/>
      <c r="K766" s="98"/>
      <c r="L766" s="7"/>
    </row>
    <row r="767" spans="4:12" ht="15.75" customHeight="1" x14ac:dyDescent="0.2">
      <c r="D767" s="23"/>
      <c r="E767" s="23"/>
      <c r="H767" s="7"/>
      <c r="I767" s="98"/>
      <c r="J767" s="98"/>
      <c r="K767" s="98"/>
      <c r="L767" s="7"/>
    </row>
    <row r="768" spans="4:12" ht="15.75" customHeight="1" x14ac:dyDescent="0.2">
      <c r="D768" s="23"/>
      <c r="E768" s="23"/>
      <c r="H768" s="7"/>
      <c r="I768" s="98"/>
      <c r="J768" s="98"/>
      <c r="K768" s="98"/>
      <c r="L768" s="7"/>
    </row>
    <row r="769" spans="4:12" ht="15.75" customHeight="1" x14ac:dyDescent="0.2">
      <c r="D769" s="23"/>
      <c r="E769" s="23"/>
      <c r="H769" s="7"/>
      <c r="I769" s="98"/>
      <c r="J769" s="98"/>
      <c r="K769" s="98"/>
      <c r="L769" s="7"/>
    </row>
    <row r="770" spans="4:12" ht="15.75" customHeight="1" x14ac:dyDescent="0.2">
      <c r="D770" s="23"/>
      <c r="E770" s="23"/>
      <c r="H770" s="7"/>
      <c r="I770" s="98"/>
      <c r="J770" s="98"/>
      <c r="K770" s="98"/>
      <c r="L770" s="7"/>
    </row>
    <row r="771" spans="4:12" ht="15.75" customHeight="1" x14ac:dyDescent="0.2">
      <c r="D771" s="23"/>
      <c r="E771" s="23"/>
      <c r="H771" s="7"/>
      <c r="I771" s="98"/>
      <c r="J771" s="98"/>
      <c r="K771" s="98"/>
      <c r="L771" s="7"/>
    </row>
    <row r="772" spans="4:12" ht="15.75" customHeight="1" x14ac:dyDescent="0.2">
      <c r="D772" s="23"/>
      <c r="E772" s="23"/>
      <c r="H772" s="7"/>
      <c r="I772" s="98"/>
      <c r="J772" s="98"/>
      <c r="K772" s="98"/>
      <c r="L772" s="7"/>
    </row>
    <row r="773" spans="4:12" ht="15.75" customHeight="1" x14ac:dyDescent="0.2">
      <c r="D773" s="23"/>
      <c r="E773" s="23"/>
      <c r="H773" s="7"/>
      <c r="I773" s="98"/>
      <c r="J773" s="98"/>
      <c r="K773" s="98"/>
      <c r="L773" s="7"/>
    </row>
    <row r="774" spans="4:12" ht="15.75" customHeight="1" x14ac:dyDescent="0.2">
      <c r="D774" s="23"/>
      <c r="E774" s="23"/>
      <c r="H774" s="7"/>
      <c r="I774" s="98"/>
      <c r="J774" s="98"/>
      <c r="K774" s="98"/>
      <c r="L774" s="7"/>
    </row>
    <row r="775" spans="4:12" ht="15.75" customHeight="1" x14ac:dyDescent="0.2">
      <c r="D775" s="23"/>
      <c r="E775" s="23"/>
      <c r="H775" s="7"/>
      <c r="I775" s="98"/>
      <c r="J775" s="98"/>
      <c r="K775" s="98"/>
      <c r="L775" s="7"/>
    </row>
    <row r="776" spans="4:12" ht="15.75" customHeight="1" x14ac:dyDescent="0.2">
      <c r="D776" s="23"/>
      <c r="E776" s="23"/>
      <c r="H776" s="7"/>
      <c r="I776" s="98"/>
      <c r="J776" s="98"/>
      <c r="K776" s="98"/>
      <c r="L776" s="7"/>
    </row>
    <row r="777" spans="4:12" ht="15.75" customHeight="1" x14ac:dyDescent="0.2">
      <c r="D777" s="23"/>
      <c r="E777" s="23"/>
      <c r="H777" s="7"/>
      <c r="I777" s="98"/>
      <c r="J777" s="98"/>
      <c r="K777" s="98"/>
      <c r="L777" s="7"/>
    </row>
    <row r="778" spans="4:12" ht="15.75" customHeight="1" x14ac:dyDescent="0.2">
      <c r="D778" s="23"/>
      <c r="E778" s="23"/>
      <c r="H778" s="7"/>
      <c r="I778" s="98"/>
      <c r="J778" s="98"/>
      <c r="K778" s="98"/>
      <c r="L778" s="7"/>
    </row>
    <row r="779" spans="4:12" ht="15.75" customHeight="1" x14ac:dyDescent="0.2">
      <c r="D779" s="23"/>
      <c r="E779" s="23"/>
      <c r="H779" s="7"/>
      <c r="I779" s="98"/>
      <c r="J779" s="98"/>
      <c r="K779" s="98"/>
      <c r="L779" s="7"/>
    </row>
    <row r="780" spans="4:12" ht="15.75" customHeight="1" x14ac:dyDescent="0.2">
      <c r="D780" s="23"/>
      <c r="E780" s="23"/>
      <c r="H780" s="7"/>
      <c r="I780" s="98"/>
      <c r="J780" s="98"/>
      <c r="K780" s="98"/>
      <c r="L780" s="7"/>
    </row>
    <row r="781" spans="4:12" ht="15.75" customHeight="1" x14ac:dyDescent="0.2">
      <c r="D781" s="23"/>
      <c r="E781" s="23"/>
      <c r="H781" s="7"/>
      <c r="I781" s="98"/>
      <c r="J781" s="98"/>
      <c r="K781" s="98"/>
      <c r="L781" s="7"/>
    </row>
    <row r="782" spans="4:12" ht="15.75" customHeight="1" x14ac:dyDescent="0.2">
      <c r="D782" s="23"/>
      <c r="E782" s="23"/>
      <c r="H782" s="7"/>
      <c r="I782" s="98"/>
      <c r="J782" s="98"/>
      <c r="K782" s="98"/>
      <c r="L782" s="7"/>
    </row>
    <row r="783" spans="4:12" ht="15.75" customHeight="1" x14ac:dyDescent="0.2">
      <c r="D783" s="23"/>
      <c r="E783" s="23"/>
      <c r="H783" s="7"/>
      <c r="I783" s="98"/>
      <c r="J783" s="98"/>
      <c r="K783" s="98"/>
      <c r="L783" s="7"/>
    </row>
    <row r="784" spans="4:12" ht="15.75" customHeight="1" x14ac:dyDescent="0.2">
      <c r="D784" s="23"/>
      <c r="E784" s="23"/>
      <c r="H784" s="7"/>
      <c r="I784" s="98"/>
      <c r="J784" s="98"/>
      <c r="K784" s="98"/>
      <c r="L784" s="7"/>
    </row>
    <row r="785" spans="4:12" ht="15.75" customHeight="1" x14ac:dyDescent="0.2">
      <c r="D785" s="23"/>
      <c r="E785" s="23"/>
      <c r="H785" s="7"/>
      <c r="I785" s="98"/>
      <c r="J785" s="98"/>
      <c r="K785" s="98"/>
      <c r="L785" s="7"/>
    </row>
    <row r="786" spans="4:12" ht="15.75" customHeight="1" x14ac:dyDescent="0.2">
      <c r="D786" s="23"/>
      <c r="E786" s="23"/>
      <c r="H786" s="7"/>
      <c r="I786" s="98"/>
      <c r="J786" s="98"/>
      <c r="K786" s="98"/>
      <c r="L786" s="7"/>
    </row>
    <row r="787" spans="4:12" ht="15.75" customHeight="1" x14ac:dyDescent="0.2">
      <c r="D787" s="23"/>
      <c r="E787" s="23"/>
      <c r="H787" s="7"/>
      <c r="I787" s="98"/>
      <c r="J787" s="98"/>
      <c r="K787" s="98"/>
      <c r="L787" s="7"/>
    </row>
    <row r="788" spans="4:12" ht="15.75" customHeight="1" x14ac:dyDescent="0.2">
      <c r="D788" s="23"/>
      <c r="E788" s="23"/>
      <c r="H788" s="7"/>
      <c r="I788" s="98"/>
      <c r="J788" s="98"/>
      <c r="K788" s="98"/>
      <c r="L788" s="7"/>
    </row>
    <row r="789" spans="4:12" ht="15.75" customHeight="1" x14ac:dyDescent="0.2">
      <c r="D789" s="23"/>
      <c r="E789" s="23"/>
      <c r="H789" s="7"/>
      <c r="I789" s="98"/>
      <c r="J789" s="98"/>
      <c r="K789" s="98"/>
      <c r="L789" s="7"/>
    </row>
    <row r="790" spans="4:12" ht="15.75" customHeight="1" x14ac:dyDescent="0.2">
      <c r="D790" s="23"/>
      <c r="E790" s="23"/>
      <c r="H790" s="7"/>
      <c r="I790" s="98"/>
      <c r="J790" s="98"/>
      <c r="K790" s="98"/>
      <c r="L790" s="7"/>
    </row>
    <row r="791" spans="4:12" ht="15.75" customHeight="1" x14ac:dyDescent="0.2">
      <c r="D791" s="23"/>
      <c r="E791" s="23"/>
      <c r="H791" s="7"/>
      <c r="I791" s="98"/>
      <c r="J791" s="98"/>
      <c r="K791" s="98"/>
      <c r="L791" s="7"/>
    </row>
    <row r="792" spans="4:12" ht="15.75" customHeight="1" x14ac:dyDescent="0.2">
      <c r="D792" s="23"/>
      <c r="E792" s="23"/>
      <c r="H792" s="7"/>
      <c r="I792" s="98"/>
      <c r="J792" s="98"/>
      <c r="K792" s="98"/>
      <c r="L792" s="7"/>
    </row>
    <row r="793" spans="4:12" ht="15.75" customHeight="1" x14ac:dyDescent="0.2">
      <c r="D793" s="23"/>
      <c r="E793" s="23"/>
      <c r="H793" s="7"/>
      <c r="I793" s="98"/>
      <c r="J793" s="98"/>
      <c r="K793" s="98"/>
      <c r="L793" s="7"/>
    </row>
    <row r="794" spans="4:12" ht="15.75" customHeight="1" x14ac:dyDescent="0.2">
      <c r="D794" s="23"/>
      <c r="E794" s="23"/>
      <c r="H794" s="7"/>
      <c r="I794" s="98"/>
      <c r="J794" s="98"/>
      <c r="K794" s="98"/>
      <c r="L794" s="7"/>
    </row>
    <row r="795" spans="4:12" ht="15.75" customHeight="1" x14ac:dyDescent="0.2">
      <c r="D795" s="23"/>
      <c r="E795" s="23"/>
      <c r="H795" s="7"/>
      <c r="I795" s="98"/>
      <c r="J795" s="98"/>
      <c r="K795" s="98"/>
      <c r="L795" s="7"/>
    </row>
    <row r="796" spans="4:12" ht="15.75" customHeight="1" x14ac:dyDescent="0.2">
      <c r="D796" s="23"/>
      <c r="E796" s="23"/>
      <c r="H796" s="7"/>
      <c r="I796" s="98"/>
      <c r="J796" s="98"/>
      <c r="K796" s="98"/>
      <c r="L796" s="7"/>
    </row>
    <row r="797" spans="4:12" ht="15.75" customHeight="1" x14ac:dyDescent="0.2">
      <c r="D797" s="23"/>
      <c r="E797" s="23"/>
      <c r="H797" s="7"/>
      <c r="I797" s="98"/>
      <c r="J797" s="98"/>
      <c r="K797" s="98"/>
      <c r="L797" s="7"/>
    </row>
    <row r="798" spans="4:12" ht="15.75" customHeight="1" x14ac:dyDescent="0.2">
      <c r="D798" s="23"/>
      <c r="E798" s="23"/>
      <c r="H798" s="7"/>
      <c r="I798" s="98"/>
      <c r="J798" s="98"/>
      <c r="K798" s="98"/>
      <c r="L798" s="7"/>
    </row>
    <row r="799" spans="4:12" ht="15.75" customHeight="1" x14ac:dyDescent="0.2">
      <c r="D799" s="23"/>
      <c r="E799" s="23"/>
      <c r="H799" s="7"/>
      <c r="I799" s="98"/>
      <c r="J799" s="98"/>
      <c r="K799" s="98"/>
      <c r="L799" s="7"/>
    </row>
    <row r="800" spans="4:12" ht="15.75" customHeight="1" x14ac:dyDescent="0.2">
      <c r="D800" s="23"/>
      <c r="E800" s="23"/>
      <c r="H800" s="7"/>
      <c r="I800" s="98"/>
      <c r="J800" s="98"/>
      <c r="K800" s="98"/>
      <c r="L800" s="7"/>
    </row>
    <row r="801" spans="4:12" ht="15.75" customHeight="1" x14ac:dyDescent="0.2">
      <c r="D801" s="23"/>
      <c r="E801" s="23"/>
      <c r="H801" s="7"/>
      <c r="I801" s="98"/>
      <c r="J801" s="98"/>
      <c r="K801" s="98"/>
      <c r="L801" s="7"/>
    </row>
    <row r="802" spans="4:12" ht="15.75" customHeight="1" x14ac:dyDescent="0.2">
      <c r="D802" s="23"/>
      <c r="E802" s="23"/>
      <c r="H802" s="7"/>
      <c r="I802" s="98"/>
      <c r="J802" s="98"/>
      <c r="K802" s="98"/>
      <c r="L802" s="7"/>
    </row>
    <row r="803" spans="4:12" ht="15.75" customHeight="1" x14ac:dyDescent="0.2">
      <c r="D803" s="23"/>
      <c r="E803" s="23"/>
      <c r="H803" s="7"/>
      <c r="I803" s="98"/>
      <c r="J803" s="98"/>
      <c r="K803" s="98"/>
      <c r="L803" s="7"/>
    </row>
    <row r="804" spans="4:12" ht="15.75" customHeight="1" x14ac:dyDescent="0.2">
      <c r="D804" s="23"/>
      <c r="E804" s="23"/>
      <c r="H804" s="7"/>
      <c r="I804" s="98"/>
      <c r="J804" s="98"/>
      <c r="K804" s="98"/>
      <c r="L804" s="7"/>
    </row>
    <row r="805" spans="4:12" ht="15.75" customHeight="1" x14ac:dyDescent="0.2">
      <c r="D805" s="23"/>
      <c r="E805" s="23"/>
      <c r="H805" s="7"/>
      <c r="I805" s="98"/>
      <c r="J805" s="98"/>
      <c r="K805" s="98"/>
      <c r="L805" s="7"/>
    </row>
    <row r="806" spans="4:12" ht="15.75" customHeight="1" x14ac:dyDescent="0.2">
      <c r="D806" s="23"/>
      <c r="E806" s="23"/>
      <c r="H806" s="7"/>
      <c r="I806" s="98"/>
      <c r="J806" s="98"/>
      <c r="K806" s="98"/>
      <c r="L806" s="7"/>
    </row>
    <row r="807" spans="4:12" ht="15.75" customHeight="1" x14ac:dyDescent="0.2">
      <c r="D807" s="23"/>
      <c r="E807" s="23"/>
      <c r="H807" s="7"/>
      <c r="I807" s="98"/>
      <c r="J807" s="98"/>
      <c r="K807" s="98"/>
      <c r="L807" s="7"/>
    </row>
    <row r="808" spans="4:12" ht="15.75" customHeight="1" x14ac:dyDescent="0.2">
      <c r="D808" s="23"/>
      <c r="E808" s="23"/>
      <c r="H808" s="7"/>
      <c r="I808" s="98"/>
      <c r="J808" s="98"/>
      <c r="K808" s="98"/>
      <c r="L808" s="7"/>
    </row>
    <row r="809" spans="4:12" ht="15.75" customHeight="1" x14ac:dyDescent="0.2">
      <c r="D809" s="23"/>
      <c r="E809" s="23"/>
      <c r="H809" s="7"/>
      <c r="I809" s="98"/>
      <c r="J809" s="98"/>
      <c r="K809" s="98"/>
      <c r="L809" s="7"/>
    </row>
    <row r="810" spans="4:12" ht="15.75" customHeight="1" x14ac:dyDescent="0.2">
      <c r="D810" s="23"/>
      <c r="E810" s="23"/>
      <c r="H810" s="7"/>
      <c r="I810" s="98"/>
      <c r="J810" s="98"/>
      <c r="K810" s="98"/>
      <c r="L810" s="7"/>
    </row>
    <row r="811" spans="4:12" ht="15.75" customHeight="1" x14ac:dyDescent="0.2">
      <c r="D811" s="23"/>
      <c r="E811" s="23"/>
      <c r="H811" s="7"/>
      <c r="I811" s="98"/>
      <c r="J811" s="98"/>
      <c r="K811" s="98"/>
      <c r="L811" s="7"/>
    </row>
    <row r="812" spans="4:12" ht="15.75" customHeight="1" x14ac:dyDescent="0.2">
      <c r="D812" s="23"/>
      <c r="E812" s="23"/>
      <c r="H812" s="7"/>
      <c r="I812" s="98"/>
      <c r="J812" s="98"/>
      <c r="K812" s="98"/>
      <c r="L812" s="7"/>
    </row>
    <row r="813" spans="4:12" ht="15.75" customHeight="1" x14ac:dyDescent="0.2">
      <c r="D813" s="23"/>
      <c r="E813" s="23"/>
      <c r="H813" s="7"/>
      <c r="I813" s="98"/>
      <c r="J813" s="98"/>
      <c r="K813" s="98"/>
      <c r="L813" s="7"/>
    </row>
    <row r="814" spans="4:12" ht="15.75" customHeight="1" x14ac:dyDescent="0.2">
      <c r="D814" s="23"/>
      <c r="E814" s="23"/>
      <c r="H814" s="7"/>
      <c r="I814" s="98"/>
      <c r="J814" s="98"/>
      <c r="K814" s="98"/>
      <c r="L814" s="7"/>
    </row>
    <row r="815" spans="4:12" ht="15.75" customHeight="1" x14ac:dyDescent="0.2">
      <c r="D815" s="23"/>
      <c r="E815" s="23"/>
      <c r="H815" s="7"/>
      <c r="I815" s="98"/>
      <c r="J815" s="98"/>
      <c r="K815" s="98"/>
      <c r="L815" s="7"/>
    </row>
    <row r="816" spans="4:12" ht="15.75" customHeight="1" x14ac:dyDescent="0.2">
      <c r="D816" s="23"/>
      <c r="E816" s="23"/>
      <c r="H816" s="7"/>
      <c r="I816" s="98"/>
      <c r="J816" s="98"/>
      <c r="K816" s="98"/>
      <c r="L816" s="7"/>
    </row>
    <row r="817" spans="4:12" ht="15.75" customHeight="1" x14ac:dyDescent="0.2">
      <c r="D817" s="23"/>
      <c r="E817" s="23"/>
      <c r="H817" s="7"/>
      <c r="I817" s="98"/>
      <c r="J817" s="98"/>
      <c r="K817" s="98"/>
      <c r="L817" s="7"/>
    </row>
    <row r="818" spans="4:12" ht="15.75" customHeight="1" x14ac:dyDescent="0.2">
      <c r="D818" s="23"/>
      <c r="E818" s="23"/>
      <c r="H818" s="7"/>
      <c r="I818" s="98"/>
      <c r="J818" s="98"/>
      <c r="K818" s="98"/>
      <c r="L818" s="7"/>
    </row>
    <row r="819" spans="4:12" ht="15.75" customHeight="1" x14ac:dyDescent="0.2">
      <c r="D819" s="23"/>
      <c r="E819" s="23"/>
      <c r="H819" s="7"/>
      <c r="I819" s="98"/>
      <c r="J819" s="98"/>
      <c r="K819" s="98"/>
      <c r="L819" s="7"/>
    </row>
    <row r="820" spans="4:12" ht="15.75" customHeight="1" x14ac:dyDescent="0.2">
      <c r="D820" s="23"/>
      <c r="E820" s="23"/>
      <c r="H820" s="7"/>
      <c r="I820" s="98"/>
      <c r="J820" s="98"/>
      <c r="K820" s="98"/>
      <c r="L820" s="7"/>
    </row>
    <row r="821" spans="4:12" ht="15.75" customHeight="1" x14ac:dyDescent="0.2">
      <c r="D821" s="23"/>
      <c r="E821" s="23"/>
      <c r="H821" s="7"/>
      <c r="I821" s="98"/>
      <c r="J821" s="98"/>
      <c r="K821" s="98"/>
      <c r="L821" s="7"/>
    </row>
    <row r="822" spans="4:12" ht="15.75" customHeight="1" x14ac:dyDescent="0.2">
      <c r="D822" s="23"/>
      <c r="E822" s="23"/>
      <c r="H822" s="7"/>
      <c r="I822" s="98"/>
      <c r="J822" s="98"/>
      <c r="K822" s="98"/>
      <c r="L822" s="7"/>
    </row>
    <row r="823" spans="4:12" ht="15.75" customHeight="1" x14ac:dyDescent="0.2">
      <c r="D823" s="23"/>
      <c r="E823" s="23"/>
      <c r="H823" s="7"/>
      <c r="I823" s="98"/>
      <c r="J823" s="98"/>
      <c r="K823" s="98"/>
      <c r="L823" s="7"/>
    </row>
    <row r="824" spans="4:12" ht="15.75" customHeight="1" x14ac:dyDescent="0.2">
      <c r="D824" s="23"/>
      <c r="E824" s="23"/>
      <c r="H824" s="7"/>
      <c r="I824" s="98"/>
      <c r="J824" s="98"/>
      <c r="K824" s="98"/>
      <c r="L824" s="7"/>
    </row>
    <row r="825" spans="4:12" ht="15.75" customHeight="1" x14ac:dyDescent="0.2">
      <c r="D825" s="23"/>
      <c r="E825" s="23"/>
      <c r="H825" s="7"/>
      <c r="I825" s="98"/>
      <c r="J825" s="98"/>
      <c r="K825" s="98"/>
      <c r="L825" s="7"/>
    </row>
    <row r="826" spans="4:12" ht="15.75" customHeight="1" x14ac:dyDescent="0.2">
      <c r="D826" s="23"/>
      <c r="E826" s="23"/>
      <c r="H826" s="7"/>
      <c r="I826" s="98"/>
      <c r="J826" s="98"/>
      <c r="K826" s="98"/>
      <c r="L826" s="7"/>
    </row>
    <row r="827" spans="4:12" ht="15.75" customHeight="1" x14ac:dyDescent="0.2">
      <c r="D827" s="23"/>
      <c r="E827" s="23"/>
      <c r="H827" s="7"/>
      <c r="I827" s="98"/>
      <c r="J827" s="98"/>
      <c r="K827" s="98"/>
      <c r="L827" s="7"/>
    </row>
    <row r="828" spans="4:12" ht="15.75" customHeight="1" x14ac:dyDescent="0.2">
      <c r="D828" s="23"/>
      <c r="E828" s="23"/>
      <c r="H828" s="7"/>
      <c r="I828" s="98"/>
      <c r="J828" s="98"/>
      <c r="K828" s="98"/>
      <c r="L828" s="7"/>
    </row>
    <row r="829" spans="4:12" ht="15.75" customHeight="1" x14ac:dyDescent="0.2">
      <c r="D829" s="23"/>
      <c r="E829" s="23"/>
      <c r="H829" s="7"/>
      <c r="I829" s="98"/>
      <c r="J829" s="98"/>
      <c r="K829" s="98"/>
      <c r="L829" s="7"/>
    </row>
    <row r="830" spans="4:12" ht="15.75" customHeight="1" x14ac:dyDescent="0.2">
      <c r="D830" s="23"/>
      <c r="E830" s="23"/>
      <c r="H830" s="7"/>
      <c r="I830" s="98"/>
      <c r="J830" s="98"/>
      <c r="K830" s="98"/>
      <c r="L830" s="7"/>
    </row>
    <row r="831" spans="4:12" ht="15.75" customHeight="1" x14ac:dyDescent="0.2">
      <c r="D831" s="23"/>
      <c r="E831" s="23"/>
      <c r="H831" s="7"/>
      <c r="I831" s="98"/>
      <c r="J831" s="98"/>
      <c r="K831" s="98"/>
      <c r="L831" s="7"/>
    </row>
    <row r="832" spans="4:12" ht="15.75" customHeight="1" x14ac:dyDescent="0.2">
      <c r="D832" s="23"/>
      <c r="E832" s="23"/>
      <c r="H832" s="7"/>
      <c r="I832" s="98"/>
      <c r="J832" s="98"/>
      <c r="K832" s="98"/>
      <c r="L832" s="7"/>
    </row>
    <row r="833" spans="4:12" ht="15.75" customHeight="1" x14ac:dyDescent="0.2">
      <c r="D833" s="23"/>
      <c r="E833" s="23"/>
      <c r="H833" s="7"/>
      <c r="I833" s="98"/>
      <c r="J833" s="98"/>
      <c r="K833" s="98"/>
      <c r="L833" s="7"/>
    </row>
    <row r="834" spans="4:12" ht="15.75" customHeight="1" x14ac:dyDescent="0.2">
      <c r="D834" s="23"/>
      <c r="E834" s="23"/>
      <c r="H834" s="7"/>
      <c r="I834" s="98"/>
      <c r="J834" s="98"/>
      <c r="K834" s="98"/>
      <c r="L834" s="7"/>
    </row>
    <row r="835" spans="4:12" ht="15.75" customHeight="1" x14ac:dyDescent="0.2">
      <c r="D835" s="23"/>
      <c r="E835" s="23"/>
      <c r="H835" s="7"/>
      <c r="I835" s="98"/>
      <c r="J835" s="98"/>
      <c r="K835" s="98"/>
      <c r="L835" s="7"/>
    </row>
    <row r="836" spans="4:12" ht="15.75" customHeight="1" x14ac:dyDescent="0.2">
      <c r="D836" s="23"/>
      <c r="E836" s="23"/>
      <c r="H836" s="7"/>
      <c r="I836" s="98"/>
      <c r="J836" s="98"/>
      <c r="K836" s="98"/>
      <c r="L836" s="7"/>
    </row>
    <row r="837" spans="4:12" ht="15.75" customHeight="1" x14ac:dyDescent="0.2">
      <c r="D837" s="23"/>
      <c r="E837" s="23"/>
      <c r="H837" s="7"/>
      <c r="I837" s="98"/>
      <c r="J837" s="98"/>
      <c r="K837" s="98"/>
      <c r="L837" s="7"/>
    </row>
    <row r="838" spans="4:12" ht="15.75" customHeight="1" x14ac:dyDescent="0.2">
      <c r="D838" s="23"/>
      <c r="E838" s="23"/>
      <c r="H838" s="7"/>
      <c r="I838" s="98"/>
      <c r="J838" s="98"/>
      <c r="K838" s="98"/>
      <c r="L838" s="7"/>
    </row>
    <row r="839" spans="4:12" ht="15.75" customHeight="1" x14ac:dyDescent="0.2">
      <c r="D839" s="23"/>
      <c r="E839" s="23"/>
      <c r="H839" s="7"/>
      <c r="I839" s="98"/>
      <c r="J839" s="98"/>
      <c r="K839" s="98"/>
      <c r="L839" s="7"/>
    </row>
    <row r="840" spans="4:12" ht="15.75" customHeight="1" x14ac:dyDescent="0.2">
      <c r="D840" s="23"/>
      <c r="E840" s="23"/>
      <c r="H840" s="7"/>
      <c r="I840" s="98"/>
      <c r="J840" s="98"/>
      <c r="K840" s="98"/>
      <c r="L840" s="7"/>
    </row>
    <row r="841" spans="4:12" ht="15.75" customHeight="1" x14ac:dyDescent="0.2">
      <c r="D841" s="23"/>
      <c r="E841" s="23"/>
      <c r="H841" s="7"/>
      <c r="I841" s="98"/>
      <c r="J841" s="98"/>
      <c r="K841" s="98"/>
      <c r="L841" s="7"/>
    </row>
    <row r="842" spans="4:12" ht="15.75" customHeight="1" x14ac:dyDescent="0.2">
      <c r="D842" s="23"/>
      <c r="E842" s="23"/>
      <c r="H842" s="7"/>
      <c r="I842" s="98"/>
      <c r="J842" s="98"/>
      <c r="K842" s="98"/>
      <c r="L842" s="7"/>
    </row>
    <row r="843" spans="4:12" ht="15.75" customHeight="1" x14ac:dyDescent="0.2">
      <c r="D843" s="23"/>
      <c r="E843" s="23"/>
      <c r="H843" s="7"/>
      <c r="I843" s="98"/>
      <c r="J843" s="98"/>
      <c r="K843" s="98"/>
      <c r="L843" s="7"/>
    </row>
    <row r="844" spans="4:12" ht="15.75" customHeight="1" x14ac:dyDescent="0.2">
      <c r="D844" s="23"/>
      <c r="E844" s="23"/>
      <c r="H844" s="7"/>
      <c r="I844" s="98"/>
      <c r="J844" s="98"/>
      <c r="K844" s="98"/>
      <c r="L844" s="7"/>
    </row>
    <row r="845" spans="4:12" ht="15.75" customHeight="1" x14ac:dyDescent="0.2">
      <c r="D845" s="23"/>
      <c r="E845" s="23"/>
      <c r="H845" s="7"/>
      <c r="I845" s="98"/>
      <c r="J845" s="98"/>
      <c r="K845" s="98"/>
      <c r="L845" s="7"/>
    </row>
    <row r="846" spans="4:12" ht="15.75" customHeight="1" x14ac:dyDescent="0.2">
      <c r="D846" s="23"/>
      <c r="E846" s="23"/>
      <c r="H846" s="7"/>
      <c r="I846" s="98"/>
      <c r="J846" s="98"/>
      <c r="K846" s="98"/>
      <c r="L846" s="7"/>
    </row>
    <row r="847" spans="4:12" ht="15.75" customHeight="1" x14ac:dyDescent="0.2">
      <c r="D847" s="23"/>
      <c r="E847" s="23"/>
      <c r="H847" s="7"/>
      <c r="I847" s="98"/>
      <c r="J847" s="98"/>
      <c r="K847" s="98"/>
      <c r="L847" s="7"/>
    </row>
    <row r="848" spans="4:12" ht="15.75" customHeight="1" x14ac:dyDescent="0.2">
      <c r="D848" s="23"/>
      <c r="E848" s="23"/>
      <c r="H848" s="7"/>
      <c r="I848" s="98"/>
      <c r="J848" s="98"/>
      <c r="K848" s="98"/>
      <c r="L848" s="7"/>
    </row>
    <row r="849" spans="4:12" ht="15.75" customHeight="1" x14ac:dyDescent="0.2">
      <c r="D849" s="23"/>
      <c r="E849" s="23"/>
      <c r="H849" s="7"/>
      <c r="I849" s="98"/>
      <c r="J849" s="98"/>
      <c r="K849" s="98"/>
      <c r="L849" s="7"/>
    </row>
    <row r="850" spans="4:12" ht="15.75" customHeight="1" x14ac:dyDescent="0.2">
      <c r="D850" s="23"/>
      <c r="E850" s="23"/>
      <c r="H850" s="7"/>
      <c r="I850" s="98"/>
      <c r="J850" s="98"/>
      <c r="K850" s="98"/>
      <c r="L850" s="7"/>
    </row>
    <row r="851" spans="4:12" ht="15.75" customHeight="1" x14ac:dyDescent="0.2">
      <c r="D851" s="23"/>
      <c r="E851" s="23"/>
      <c r="H851" s="7"/>
      <c r="I851" s="98"/>
      <c r="J851" s="98"/>
      <c r="K851" s="98"/>
      <c r="L851" s="7"/>
    </row>
    <row r="852" spans="4:12" ht="15.75" customHeight="1" x14ac:dyDescent="0.2">
      <c r="D852" s="23"/>
      <c r="E852" s="23"/>
      <c r="H852" s="7"/>
      <c r="I852" s="98"/>
      <c r="J852" s="98"/>
      <c r="K852" s="98"/>
      <c r="L852" s="7"/>
    </row>
    <row r="853" spans="4:12" ht="15.75" customHeight="1" x14ac:dyDescent="0.2">
      <c r="D853" s="23"/>
      <c r="E853" s="23"/>
      <c r="H853" s="7"/>
      <c r="I853" s="98"/>
      <c r="J853" s="98"/>
      <c r="K853" s="98"/>
      <c r="L853" s="7"/>
    </row>
    <row r="854" spans="4:12" ht="15.75" customHeight="1" x14ac:dyDescent="0.2">
      <c r="D854" s="23"/>
      <c r="E854" s="23"/>
      <c r="H854" s="7"/>
      <c r="I854" s="98"/>
      <c r="J854" s="98"/>
      <c r="K854" s="98"/>
      <c r="L854" s="7"/>
    </row>
    <row r="855" spans="4:12" ht="15.75" customHeight="1" x14ac:dyDescent="0.2">
      <c r="D855" s="23"/>
      <c r="E855" s="23"/>
      <c r="H855" s="7"/>
      <c r="I855" s="98"/>
      <c r="J855" s="98"/>
      <c r="K855" s="98"/>
      <c r="L855" s="7"/>
    </row>
    <row r="856" spans="4:12" ht="15.75" customHeight="1" x14ac:dyDescent="0.2">
      <c r="D856" s="23"/>
      <c r="E856" s="23"/>
      <c r="H856" s="7"/>
      <c r="I856" s="98"/>
      <c r="J856" s="98"/>
      <c r="K856" s="98"/>
      <c r="L856" s="7"/>
    </row>
    <row r="857" spans="4:12" ht="15.75" customHeight="1" x14ac:dyDescent="0.2">
      <c r="D857" s="23"/>
      <c r="E857" s="23"/>
      <c r="H857" s="7"/>
      <c r="I857" s="98"/>
      <c r="J857" s="98"/>
      <c r="K857" s="98"/>
      <c r="L857" s="7"/>
    </row>
    <row r="858" spans="4:12" ht="15.75" customHeight="1" x14ac:dyDescent="0.2">
      <c r="D858" s="23"/>
      <c r="E858" s="23"/>
      <c r="H858" s="7"/>
      <c r="I858" s="98"/>
      <c r="J858" s="98"/>
      <c r="K858" s="98"/>
      <c r="L858" s="7"/>
    </row>
    <row r="859" spans="4:12" ht="15.75" customHeight="1" x14ac:dyDescent="0.2">
      <c r="D859" s="23"/>
      <c r="E859" s="23"/>
      <c r="H859" s="7"/>
      <c r="I859" s="98"/>
      <c r="J859" s="98"/>
      <c r="K859" s="98"/>
      <c r="L859" s="7"/>
    </row>
    <row r="860" spans="4:12" ht="15.75" customHeight="1" x14ac:dyDescent="0.2">
      <c r="D860" s="23"/>
      <c r="E860" s="23"/>
      <c r="H860" s="7"/>
      <c r="I860" s="98"/>
      <c r="J860" s="98"/>
      <c r="K860" s="98"/>
      <c r="L860" s="7"/>
    </row>
    <row r="861" spans="4:12" ht="15.75" customHeight="1" x14ac:dyDescent="0.2">
      <c r="D861" s="23"/>
      <c r="E861" s="23"/>
      <c r="H861" s="7"/>
      <c r="I861" s="98"/>
      <c r="J861" s="98"/>
      <c r="K861" s="98"/>
      <c r="L861" s="7"/>
    </row>
    <row r="862" spans="4:12" ht="15.75" customHeight="1" x14ac:dyDescent="0.2">
      <c r="D862" s="23"/>
      <c r="E862" s="23"/>
      <c r="H862" s="7"/>
      <c r="I862" s="98"/>
      <c r="J862" s="98"/>
      <c r="K862" s="98"/>
      <c r="L862" s="7"/>
    </row>
    <row r="863" spans="4:12" ht="15.75" customHeight="1" x14ac:dyDescent="0.2">
      <c r="D863" s="23"/>
      <c r="E863" s="23"/>
      <c r="H863" s="7"/>
      <c r="I863" s="98"/>
      <c r="J863" s="98"/>
      <c r="K863" s="98"/>
      <c r="L863" s="7"/>
    </row>
    <row r="864" spans="4:12" ht="15.75" customHeight="1" x14ac:dyDescent="0.2">
      <c r="D864" s="23"/>
      <c r="E864" s="23"/>
      <c r="H864" s="7"/>
      <c r="I864" s="98"/>
      <c r="J864" s="98"/>
      <c r="K864" s="98"/>
      <c r="L864" s="7"/>
    </row>
    <row r="865" spans="4:12" ht="15.75" customHeight="1" x14ac:dyDescent="0.2">
      <c r="D865" s="23"/>
      <c r="E865" s="23"/>
      <c r="H865" s="7"/>
      <c r="I865" s="98"/>
      <c r="J865" s="98"/>
      <c r="K865" s="98"/>
      <c r="L865" s="7"/>
    </row>
    <row r="866" spans="4:12" ht="15.75" customHeight="1" x14ac:dyDescent="0.2">
      <c r="D866" s="23"/>
      <c r="E866" s="23"/>
      <c r="H866" s="7"/>
      <c r="I866" s="98"/>
      <c r="J866" s="98"/>
      <c r="K866" s="98"/>
      <c r="L866" s="7"/>
    </row>
    <row r="867" spans="4:12" ht="15.75" customHeight="1" x14ac:dyDescent="0.2">
      <c r="D867" s="23"/>
      <c r="E867" s="23"/>
      <c r="H867" s="7"/>
      <c r="I867" s="98"/>
      <c r="J867" s="98"/>
      <c r="K867" s="98"/>
      <c r="L867" s="7"/>
    </row>
    <row r="868" spans="4:12" ht="15.75" customHeight="1" x14ac:dyDescent="0.2">
      <c r="D868" s="23"/>
      <c r="E868" s="23"/>
      <c r="H868" s="7"/>
      <c r="I868" s="98"/>
      <c r="J868" s="98"/>
      <c r="K868" s="98"/>
      <c r="L868" s="7"/>
    </row>
    <row r="869" spans="4:12" ht="15.75" customHeight="1" x14ac:dyDescent="0.2">
      <c r="D869" s="23"/>
      <c r="E869" s="23"/>
      <c r="H869" s="7"/>
      <c r="I869" s="98"/>
      <c r="J869" s="98"/>
      <c r="K869" s="98"/>
      <c r="L869" s="7"/>
    </row>
    <row r="870" spans="4:12" ht="15.75" customHeight="1" x14ac:dyDescent="0.2">
      <c r="D870" s="23"/>
      <c r="E870" s="23"/>
      <c r="H870" s="7"/>
      <c r="I870" s="98"/>
      <c r="J870" s="98"/>
      <c r="K870" s="98"/>
      <c r="L870" s="7"/>
    </row>
    <row r="871" spans="4:12" ht="15.75" customHeight="1" x14ac:dyDescent="0.2">
      <c r="D871" s="23"/>
      <c r="E871" s="23"/>
      <c r="H871" s="7"/>
      <c r="I871" s="98"/>
      <c r="J871" s="98"/>
      <c r="K871" s="98"/>
      <c r="L871" s="7"/>
    </row>
    <row r="872" spans="4:12" ht="15.75" customHeight="1" x14ac:dyDescent="0.2">
      <c r="D872" s="23"/>
      <c r="E872" s="23"/>
      <c r="H872" s="7"/>
      <c r="I872" s="98"/>
      <c r="J872" s="98"/>
      <c r="K872" s="98"/>
      <c r="L872" s="7"/>
    </row>
    <row r="873" spans="4:12" ht="15.75" customHeight="1" x14ac:dyDescent="0.2">
      <c r="D873" s="23"/>
      <c r="E873" s="23"/>
      <c r="H873" s="7"/>
      <c r="I873" s="98"/>
      <c r="J873" s="98"/>
      <c r="K873" s="98"/>
      <c r="L873" s="7"/>
    </row>
    <row r="874" spans="4:12" ht="15.75" customHeight="1" x14ac:dyDescent="0.2">
      <c r="D874" s="23"/>
      <c r="E874" s="23"/>
      <c r="H874" s="7"/>
      <c r="I874" s="98"/>
      <c r="J874" s="98"/>
      <c r="K874" s="98"/>
      <c r="L874" s="7"/>
    </row>
    <row r="875" spans="4:12" ht="15.75" customHeight="1" x14ac:dyDescent="0.2">
      <c r="D875" s="23"/>
      <c r="E875" s="23"/>
      <c r="H875" s="7"/>
      <c r="I875" s="98"/>
      <c r="J875" s="98"/>
      <c r="K875" s="98"/>
      <c r="L875" s="7"/>
    </row>
    <row r="876" spans="4:12" ht="15.75" customHeight="1" x14ac:dyDescent="0.2">
      <c r="D876" s="23"/>
      <c r="E876" s="23"/>
      <c r="H876" s="7"/>
      <c r="I876" s="98"/>
      <c r="J876" s="98"/>
      <c r="K876" s="98"/>
      <c r="L876" s="7"/>
    </row>
    <row r="877" spans="4:12" ht="15.75" customHeight="1" x14ac:dyDescent="0.2">
      <c r="D877" s="23"/>
      <c r="E877" s="23"/>
      <c r="H877" s="7"/>
      <c r="I877" s="98"/>
      <c r="J877" s="98"/>
      <c r="K877" s="98"/>
      <c r="L877" s="7"/>
    </row>
    <row r="878" spans="4:12" ht="15.75" customHeight="1" x14ac:dyDescent="0.2">
      <c r="D878" s="23"/>
      <c r="E878" s="23"/>
      <c r="H878" s="7"/>
      <c r="I878" s="98"/>
      <c r="J878" s="98"/>
      <c r="K878" s="98"/>
      <c r="L878" s="7"/>
    </row>
    <row r="879" spans="4:12" ht="15.75" customHeight="1" x14ac:dyDescent="0.2">
      <c r="D879" s="23"/>
      <c r="E879" s="23"/>
      <c r="H879" s="7"/>
      <c r="I879" s="98"/>
      <c r="J879" s="98"/>
      <c r="K879" s="98"/>
      <c r="L879" s="7"/>
    </row>
    <row r="880" spans="4:12" ht="15.75" customHeight="1" x14ac:dyDescent="0.2">
      <c r="D880" s="23"/>
      <c r="E880" s="23"/>
      <c r="H880" s="7"/>
      <c r="I880" s="98"/>
      <c r="J880" s="98"/>
      <c r="K880" s="98"/>
      <c r="L880" s="7"/>
    </row>
    <row r="881" spans="4:12" ht="15.75" customHeight="1" x14ac:dyDescent="0.2">
      <c r="D881" s="23"/>
      <c r="E881" s="23"/>
      <c r="H881" s="7"/>
      <c r="I881" s="98"/>
      <c r="J881" s="98"/>
      <c r="K881" s="98"/>
      <c r="L881" s="7"/>
    </row>
    <row r="882" spans="4:12" ht="15.75" customHeight="1" x14ac:dyDescent="0.2">
      <c r="D882" s="23"/>
      <c r="E882" s="23"/>
      <c r="H882" s="7"/>
      <c r="I882" s="98"/>
      <c r="J882" s="98"/>
      <c r="K882" s="98"/>
      <c r="L882" s="7"/>
    </row>
    <row r="883" spans="4:12" ht="15.75" customHeight="1" x14ac:dyDescent="0.2">
      <c r="D883" s="23"/>
      <c r="E883" s="23"/>
      <c r="H883" s="7"/>
      <c r="I883" s="98"/>
      <c r="J883" s="98"/>
      <c r="K883" s="98"/>
      <c r="L883" s="7"/>
    </row>
    <row r="884" spans="4:12" ht="15.75" customHeight="1" x14ac:dyDescent="0.2">
      <c r="D884" s="23"/>
      <c r="E884" s="23"/>
      <c r="H884" s="7"/>
      <c r="I884" s="98"/>
      <c r="J884" s="98"/>
      <c r="K884" s="98"/>
      <c r="L884" s="7"/>
    </row>
    <row r="885" spans="4:12" ht="15.75" customHeight="1" x14ac:dyDescent="0.2">
      <c r="D885" s="23"/>
      <c r="E885" s="23"/>
      <c r="H885" s="7"/>
      <c r="I885" s="98"/>
      <c r="J885" s="98"/>
      <c r="K885" s="98"/>
      <c r="L885" s="7"/>
    </row>
    <row r="886" spans="4:12" ht="15.75" customHeight="1" x14ac:dyDescent="0.2">
      <c r="D886" s="23"/>
      <c r="E886" s="23"/>
      <c r="H886" s="7"/>
      <c r="I886" s="98"/>
      <c r="J886" s="98"/>
      <c r="K886" s="98"/>
      <c r="L886" s="7"/>
    </row>
    <row r="887" spans="4:12" ht="15.75" customHeight="1" x14ac:dyDescent="0.2">
      <c r="D887" s="23"/>
      <c r="E887" s="23"/>
      <c r="H887" s="7"/>
      <c r="I887" s="98"/>
      <c r="J887" s="98"/>
      <c r="K887" s="98"/>
      <c r="L887" s="7"/>
    </row>
    <row r="888" spans="4:12" ht="15.75" customHeight="1" x14ac:dyDescent="0.2">
      <c r="D888" s="23"/>
      <c r="E888" s="23"/>
      <c r="H888" s="7"/>
      <c r="I888" s="98"/>
      <c r="J888" s="98"/>
      <c r="K888" s="98"/>
      <c r="L888" s="7"/>
    </row>
    <row r="889" spans="4:12" ht="15.75" customHeight="1" x14ac:dyDescent="0.2">
      <c r="D889" s="23"/>
      <c r="E889" s="23"/>
      <c r="H889" s="7"/>
      <c r="I889" s="98"/>
      <c r="J889" s="98"/>
      <c r="K889" s="98"/>
      <c r="L889" s="7"/>
    </row>
    <row r="890" spans="4:12" ht="15.75" customHeight="1" x14ac:dyDescent="0.2">
      <c r="D890" s="23"/>
      <c r="E890" s="23"/>
      <c r="H890" s="7"/>
      <c r="I890" s="98"/>
      <c r="J890" s="98"/>
      <c r="K890" s="98"/>
      <c r="L890" s="7"/>
    </row>
    <row r="891" spans="4:12" ht="15.75" customHeight="1" x14ac:dyDescent="0.2">
      <c r="D891" s="23"/>
      <c r="E891" s="23"/>
      <c r="H891" s="7"/>
      <c r="I891" s="98"/>
      <c r="J891" s="98"/>
      <c r="K891" s="98"/>
      <c r="L891" s="7"/>
    </row>
    <row r="892" spans="4:12" ht="15.75" customHeight="1" x14ac:dyDescent="0.2">
      <c r="D892" s="23"/>
      <c r="E892" s="23"/>
      <c r="H892" s="7"/>
      <c r="I892" s="98"/>
      <c r="J892" s="98"/>
      <c r="K892" s="98"/>
      <c r="L892" s="7"/>
    </row>
    <row r="893" spans="4:12" ht="15.75" customHeight="1" x14ac:dyDescent="0.2">
      <c r="D893" s="23"/>
      <c r="E893" s="23"/>
      <c r="H893" s="7"/>
      <c r="I893" s="98"/>
      <c r="J893" s="98"/>
      <c r="K893" s="98"/>
      <c r="L893" s="7"/>
    </row>
    <row r="894" spans="4:12" ht="15.75" customHeight="1" x14ac:dyDescent="0.2">
      <c r="D894" s="23"/>
      <c r="E894" s="23"/>
      <c r="H894" s="7"/>
      <c r="I894" s="98"/>
      <c r="J894" s="98"/>
      <c r="K894" s="98"/>
      <c r="L894" s="7"/>
    </row>
    <row r="895" spans="4:12" ht="15.75" customHeight="1" x14ac:dyDescent="0.2">
      <c r="D895" s="23"/>
      <c r="E895" s="23"/>
      <c r="H895" s="7"/>
      <c r="I895" s="98"/>
      <c r="J895" s="98"/>
      <c r="K895" s="98"/>
      <c r="L895" s="7"/>
    </row>
    <row r="896" spans="4:12" ht="15.75" customHeight="1" x14ac:dyDescent="0.2">
      <c r="D896" s="23"/>
      <c r="E896" s="23"/>
      <c r="H896" s="7"/>
      <c r="I896" s="98"/>
      <c r="J896" s="98"/>
      <c r="K896" s="98"/>
      <c r="L896" s="7"/>
    </row>
    <row r="897" spans="4:12" ht="15.75" customHeight="1" x14ac:dyDescent="0.2">
      <c r="D897" s="23"/>
      <c r="E897" s="23"/>
      <c r="H897" s="7"/>
      <c r="I897" s="98"/>
      <c r="J897" s="98"/>
      <c r="K897" s="98"/>
      <c r="L897" s="7"/>
    </row>
    <row r="898" spans="4:12" ht="15.75" customHeight="1" x14ac:dyDescent="0.2">
      <c r="D898" s="23"/>
      <c r="E898" s="23"/>
      <c r="H898" s="7"/>
      <c r="I898" s="98"/>
      <c r="J898" s="98"/>
      <c r="K898" s="98"/>
      <c r="L898" s="7"/>
    </row>
    <row r="899" spans="4:12" ht="15.75" customHeight="1" x14ac:dyDescent="0.2">
      <c r="D899" s="23"/>
      <c r="E899" s="23"/>
      <c r="H899" s="7"/>
      <c r="I899" s="98"/>
      <c r="J899" s="98"/>
      <c r="K899" s="98"/>
      <c r="L899" s="7"/>
    </row>
    <row r="900" spans="4:12" ht="15.75" customHeight="1" x14ac:dyDescent="0.2">
      <c r="D900" s="23"/>
      <c r="E900" s="23"/>
      <c r="H900" s="7"/>
      <c r="I900" s="98"/>
      <c r="J900" s="98"/>
      <c r="K900" s="98"/>
      <c r="L900" s="7"/>
    </row>
    <row r="901" spans="4:12" ht="15.75" customHeight="1" x14ac:dyDescent="0.2">
      <c r="D901" s="23"/>
      <c r="E901" s="23"/>
      <c r="H901" s="7"/>
      <c r="I901" s="98"/>
      <c r="J901" s="98"/>
      <c r="K901" s="98"/>
      <c r="L901" s="7"/>
    </row>
    <row r="902" spans="4:12" ht="15.75" customHeight="1" x14ac:dyDescent="0.2">
      <c r="D902" s="23"/>
      <c r="E902" s="23"/>
      <c r="H902" s="7"/>
      <c r="I902" s="98"/>
      <c r="J902" s="98"/>
      <c r="K902" s="98"/>
      <c r="L902" s="7"/>
    </row>
    <row r="903" spans="4:12" ht="15.75" customHeight="1" x14ac:dyDescent="0.2">
      <c r="D903" s="23"/>
      <c r="E903" s="23"/>
      <c r="H903" s="7"/>
      <c r="I903" s="98"/>
      <c r="J903" s="98"/>
      <c r="K903" s="98"/>
      <c r="L903" s="7"/>
    </row>
    <row r="904" spans="4:12" ht="15.75" customHeight="1" x14ac:dyDescent="0.2">
      <c r="D904" s="23"/>
      <c r="E904" s="23"/>
      <c r="H904" s="7"/>
      <c r="I904" s="98"/>
      <c r="J904" s="98"/>
      <c r="K904" s="98"/>
      <c r="L904" s="7"/>
    </row>
    <row r="905" spans="4:12" ht="15.75" customHeight="1" x14ac:dyDescent="0.2">
      <c r="D905" s="23"/>
      <c r="E905" s="23"/>
      <c r="H905" s="7"/>
      <c r="I905" s="98"/>
      <c r="J905" s="98"/>
      <c r="K905" s="98"/>
      <c r="L905" s="7"/>
    </row>
    <row r="906" spans="4:12" ht="15.75" customHeight="1" x14ac:dyDescent="0.2">
      <c r="D906" s="23"/>
      <c r="E906" s="23"/>
      <c r="H906" s="7"/>
      <c r="I906" s="98"/>
      <c r="J906" s="98"/>
      <c r="K906" s="98"/>
      <c r="L906" s="7"/>
    </row>
    <row r="907" spans="4:12" ht="15.75" customHeight="1" x14ac:dyDescent="0.2">
      <c r="D907" s="23"/>
      <c r="E907" s="23"/>
      <c r="H907" s="7"/>
      <c r="I907" s="98"/>
      <c r="J907" s="98"/>
      <c r="K907" s="98"/>
      <c r="L907" s="7"/>
    </row>
    <row r="908" spans="4:12" ht="15.75" customHeight="1" x14ac:dyDescent="0.2">
      <c r="D908" s="23"/>
      <c r="E908" s="23"/>
      <c r="H908" s="7"/>
      <c r="I908" s="98"/>
      <c r="J908" s="98"/>
      <c r="K908" s="98"/>
      <c r="L908" s="7"/>
    </row>
    <row r="909" spans="4:12" ht="15.75" customHeight="1" x14ac:dyDescent="0.2">
      <c r="D909" s="23"/>
      <c r="E909" s="23"/>
      <c r="H909" s="7"/>
      <c r="I909" s="98"/>
      <c r="J909" s="98"/>
      <c r="K909" s="98"/>
      <c r="L909" s="7"/>
    </row>
    <row r="910" spans="4:12" ht="15.75" customHeight="1" x14ac:dyDescent="0.2">
      <c r="D910" s="23"/>
      <c r="E910" s="23"/>
      <c r="H910" s="7"/>
      <c r="I910" s="98"/>
      <c r="J910" s="98"/>
      <c r="K910" s="98"/>
      <c r="L910" s="7"/>
    </row>
    <row r="911" spans="4:12" ht="15.75" customHeight="1" x14ac:dyDescent="0.2">
      <c r="D911" s="23"/>
      <c r="E911" s="23"/>
      <c r="H911" s="7"/>
      <c r="I911" s="98"/>
      <c r="J911" s="98"/>
      <c r="K911" s="98"/>
      <c r="L911" s="7"/>
    </row>
    <row r="912" spans="4:12" ht="15.75" customHeight="1" x14ac:dyDescent="0.2">
      <c r="D912" s="23"/>
      <c r="E912" s="23"/>
      <c r="H912" s="7"/>
      <c r="I912" s="98"/>
      <c r="J912" s="98"/>
      <c r="K912" s="98"/>
      <c r="L912" s="7"/>
    </row>
    <row r="913" spans="4:12" ht="15.75" customHeight="1" x14ac:dyDescent="0.2">
      <c r="D913" s="23"/>
      <c r="E913" s="23"/>
      <c r="H913" s="7"/>
      <c r="I913" s="98"/>
      <c r="J913" s="98"/>
      <c r="K913" s="98"/>
      <c r="L913" s="7"/>
    </row>
    <row r="914" spans="4:12" ht="15.75" customHeight="1" x14ac:dyDescent="0.2">
      <c r="D914" s="23"/>
      <c r="E914" s="23"/>
      <c r="H914" s="7"/>
      <c r="I914" s="98"/>
      <c r="J914" s="98"/>
      <c r="K914" s="98"/>
      <c r="L914" s="7"/>
    </row>
    <row r="915" spans="4:12" ht="15.75" customHeight="1" x14ac:dyDescent="0.2">
      <c r="D915" s="23"/>
      <c r="E915" s="23"/>
      <c r="H915" s="7"/>
      <c r="I915" s="98"/>
      <c r="J915" s="98"/>
      <c r="K915" s="98"/>
      <c r="L915" s="7"/>
    </row>
    <row r="916" spans="4:12" ht="15.75" customHeight="1" x14ac:dyDescent="0.2">
      <c r="D916" s="23"/>
      <c r="E916" s="23"/>
      <c r="H916" s="7"/>
      <c r="I916" s="98"/>
      <c r="J916" s="98"/>
      <c r="K916" s="98"/>
      <c r="L916" s="7"/>
    </row>
    <row r="917" spans="4:12" ht="15.75" customHeight="1" x14ac:dyDescent="0.2">
      <c r="D917" s="23"/>
      <c r="E917" s="23"/>
      <c r="H917" s="7"/>
      <c r="I917" s="98"/>
      <c r="J917" s="98"/>
      <c r="K917" s="98"/>
      <c r="L917" s="7"/>
    </row>
    <row r="918" spans="4:12" ht="15.75" customHeight="1" x14ac:dyDescent="0.2">
      <c r="D918" s="23"/>
      <c r="E918" s="23"/>
      <c r="H918" s="7"/>
      <c r="I918" s="98"/>
      <c r="J918" s="98"/>
      <c r="K918" s="98"/>
      <c r="L918" s="7"/>
    </row>
    <row r="919" spans="4:12" ht="15.75" customHeight="1" x14ac:dyDescent="0.2">
      <c r="D919" s="23"/>
      <c r="E919" s="23"/>
      <c r="H919" s="7"/>
      <c r="I919" s="98"/>
      <c r="J919" s="98"/>
      <c r="K919" s="98"/>
      <c r="L919" s="7"/>
    </row>
    <row r="920" spans="4:12" ht="15.75" customHeight="1" x14ac:dyDescent="0.2">
      <c r="D920" s="23"/>
      <c r="E920" s="23"/>
      <c r="H920" s="7"/>
      <c r="I920" s="98"/>
      <c r="J920" s="98"/>
      <c r="K920" s="98"/>
      <c r="L920" s="7"/>
    </row>
    <row r="921" spans="4:12" ht="15.75" customHeight="1" x14ac:dyDescent="0.2">
      <c r="D921" s="23"/>
      <c r="E921" s="23"/>
      <c r="H921" s="7"/>
      <c r="I921" s="98"/>
      <c r="J921" s="98"/>
      <c r="K921" s="98"/>
      <c r="L921" s="7"/>
    </row>
    <row r="922" spans="4:12" ht="15.75" customHeight="1" x14ac:dyDescent="0.2">
      <c r="D922" s="23"/>
      <c r="E922" s="23"/>
      <c r="H922" s="7"/>
      <c r="I922" s="98"/>
      <c r="J922" s="98"/>
      <c r="K922" s="98"/>
      <c r="L922" s="7"/>
    </row>
    <row r="923" spans="4:12" ht="15.75" customHeight="1" x14ac:dyDescent="0.2">
      <c r="D923" s="23"/>
      <c r="E923" s="23"/>
      <c r="H923" s="7"/>
      <c r="I923" s="98"/>
      <c r="J923" s="98"/>
      <c r="K923" s="98"/>
      <c r="L923" s="7"/>
    </row>
    <row r="924" spans="4:12" ht="15.75" customHeight="1" x14ac:dyDescent="0.2">
      <c r="D924" s="23"/>
      <c r="E924" s="23"/>
      <c r="H924" s="7"/>
      <c r="I924" s="98"/>
      <c r="J924" s="98"/>
      <c r="K924" s="98"/>
      <c r="L924" s="7"/>
    </row>
    <row r="925" spans="4:12" ht="15.75" customHeight="1" x14ac:dyDescent="0.2">
      <c r="D925" s="23"/>
      <c r="E925" s="23"/>
      <c r="H925" s="7"/>
      <c r="I925" s="98"/>
      <c r="J925" s="98"/>
      <c r="K925" s="98"/>
      <c r="L925" s="7"/>
    </row>
    <row r="926" spans="4:12" ht="15.75" customHeight="1" x14ac:dyDescent="0.2">
      <c r="D926" s="23"/>
      <c r="E926" s="23"/>
      <c r="H926" s="7"/>
      <c r="I926" s="98"/>
      <c r="J926" s="98"/>
      <c r="K926" s="98"/>
      <c r="L926" s="7"/>
    </row>
    <row r="927" spans="4:12" ht="15.75" customHeight="1" x14ac:dyDescent="0.2">
      <c r="D927" s="23"/>
      <c r="E927" s="23"/>
      <c r="H927" s="7"/>
      <c r="I927" s="98"/>
      <c r="J927" s="98"/>
      <c r="K927" s="98"/>
      <c r="L927" s="7"/>
    </row>
    <row r="928" spans="4:12" ht="15.75" customHeight="1" x14ac:dyDescent="0.2">
      <c r="D928" s="23"/>
      <c r="E928" s="23"/>
      <c r="H928" s="7"/>
      <c r="I928" s="98"/>
      <c r="J928" s="98"/>
      <c r="K928" s="98"/>
      <c r="L928" s="7"/>
    </row>
    <row r="929" spans="4:12" ht="15.75" customHeight="1" x14ac:dyDescent="0.2">
      <c r="D929" s="23"/>
      <c r="E929" s="23"/>
      <c r="H929" s="7"/>
      <c r="I929" s="98"/>
      <c r="J929" s="98"/>
      <c r="K929" s="98"/>
      <c r="L929" s="7"/>
    </row>
    <row r="930" spans="4:12" ht="15.75" customHeight="1" x14ac:dyDescent="0.2">
      <c r="D930" s="23"/>
      <c r="E930" s="23"/>
      <c r="H930" s="7"/>
      <c r="I930" s="98"/>
      <c r="J930" s="98"/>
      <c r="K930" s="98"/>
      <c r="L930" s="7"/>
    </row>
    <row r="931" spans="4:12" ht="15.75" customHeight="1" x14ac:dyDescent="0.2">
      <c r="D931" s="23"/>
      <c r="E931" s="23"/>
      <c r="H931" s="7"/>
      <c r="I931" s="98"/>
      <c r="J931" s="98"/>
      <c r="K931" s="98"/>
      <c r="L931" s="7"/>
    </row>
    <row r="932" spans="4:12" ht="15.75" customHeight="1" x14ac:dyDescent="0.2">
      <c r="D932" s="23"/>
      <c r="E932" s="23"/>
      <c r="H932" s="7"/>
      <c r="I932" s="98"/>
      <c r="J932" s="98"/>
      <c r="K932" s="98"/>
      <c r="L932" s="7"/>
    </row>
    <row r="933" spans="4:12" ht="15.75" customHeight="1" x14ac:dyDescent="0.2">
      <c r="D933" s="23"/>
      <c r="E933" s="23"/>
      <c r="H933" s="7"/>
      <c r="I933" s="98"/>
      <c r="J933" s="98"/>
      <c r="K933" s="98"/>
      <c r="L933" s="7"/>
    </row>
    <row r="934" spans="4:12" ht="15.75" customHeight="1" x14ac:dyDescent="0.2">
      <c r="D934" s="23"/>
      <c r="E934" s="23"/>
      <c r="H934" s="7"/>
      <c r="I934" s="98"/>
      <c r="J934" s="98"/>
      <c r="K934" s="98"/>
      <c r="L934" s="7"/>
    </row>
    <row r="935" spans="4:12" ht="15.75" customHeight="1" x14ac:dyDescent="0.2">
      <c r="D935" s="23"/>
      <c r="E935" s="23"/>
      <c r="H935" s="7"/>
      <c r="I935" s="98"/>
      <c r="J935" s="98"/>
      <c r="K935" s="98"/>
      <c r="L935" s="7"/>
    </row>
    <row r="936" spans="4:12" ht="15.75" customHeight="1" x14ac:dyDescent="0.2">
      <c r="D936" s="23"/>
      <c r="E936" s="23"/>
      <c r="H936" s="7"/>
      <c r="I936" s="98"/>
      <c r="J936" s="98"/>
      <c r="K936" s="98"/>
      <c r="L936" s="7"/>
    </row>
    <row r="937" spans="4:12" ht="15.75" customHeight="1" x14ac:dyDescent="0.2">
      <c r="D937" s="23"/>
      <c r="E937" s="23"/>
      <c r="H937" s="7"/>
      <c r="I937" s="98"/>
      <c r="J937" s="98"/>
      <c r="K937" s="98"/>
      <c r="L937" s="7"/>
    </row>
    <row r="938" spans="4:12" ht="15.75" customHeight="1" x14ac:dyDescent="0.2">
      <c r="D938" s="23"/>
      <c r="E938" s="23"/>
      <c r="H938" s="7"/>
      <c r="I938" s="98"/>
      <c r="J938" s="98"/>
      <c r="K938" s="98"/>
      <c r="L938" s="7"/>
    </row>
    <row r="939" spans="4:12" ht="15.75" customHeight="1" x14ac:dyDescent="0.2">
      <c r="D939" s="23"/>
      <c r="E939" s="23"/>
      <c r="H939" s="7"/>
      <c r="I939" s="98"/>
      <c r="J939" s="98"/>
      <c r="K939" s="98"/>
      <c r="L939" s="7"/>
    </row>
    <row r="940" spans="4:12" ht="15.75" customHeight="1" x14ac:dyDescent="0.2">
      <c r="D940" s="23"/>
      <c r="E940" s="23"/>
      <c r="H940" s="7"/>
      <c r="I940" s="98"/>
      <c r="J940" s="98"/>
      <c r="K940" s="98"/>
      <c r="L940" s="7"/>
    </row>
    <row r="941" spans="4:12" ht="15.75" customHeight="1" x14ac:dyDescent="0.2">
      <c r="D941" s="23"/>
      <c r="E941" s="23"/>
      <c r="H941" s="7"/>
      <c r="I941" s="98"/>
      <c r="J941" s="98"/>
      <c r="K941" s="98"/>
      <c r="L941" s="7"/>
    </row>
    <row r="942" spans="4:12" ht="15.75" customHeight="1" x14ac:dyDescent="0.2">
      <c r="D942" s="23"/>
      <c r="E942" s="23"/>
      <c r="H942" s="7"/>
      <c r="I942" s="98"/>
      <c r="J942" s="98"/>
      <c r="K942" s="98"/>
      <c r="L942" s="7"/>
    </row>
    <row r="943" spans="4:12" ht="15.75" customHeight="1" x14ac:dyDescent="0.2">
      <c r="D943" s="23"/>
      <c r="E943" s="23"/>
      <c r="H943" s="7"/>
      <c r="I943" s="98"/>
      <c r="J943" s="98"/>
      <c r="K943" s="98"/>
      <c r="L943" s="7"/>
    </row>
    <row r="944" spans="4:12" ht="15.75" customHeight="1" x14ac:dyDescent="0.2">
      <c r="D944" s="23"/>
      <c r="E944" s="23"/>
      <c r="H944" s="7"/>
      <c r="I944" s="98"/>
      <c r="J944" s="98"/>
      <c r="K944" s="98"/>
      <c r="L944" s="7"/>
    </row>
    <row r="945" spans="4:12" ht="15.75" customHeight="1" x14ac:dyDescent="0.2">
      <c r="D945" s="23"/>
      <c r="E945" s="23"/>
      <c r="H945" s="7"/>
      <c r="I945" s="98"/>
      <c r="J945" s="98"/>
      <c r="K945" s="98"/>
      <c r="L945" s="7"/>
    </row>
    <row r="946" spans="4:12" ht="15.75" customHeight="1" x14ac:dyDescent="0.2">
      <c r="D946" s="23"/>
      <c r="E946" s="23"/>
      <c r="H946" s="7"/>
      <c r="I946" s="98"/>
      <c r="J946" s="98"/>
      <c r="K946" s="98"/>
      <c r="L946" s="7"/>
    </row>
    <row r="947" spans="4:12" ht="15.75" customHeight="1" x14ac:dyDescent="0.2">
      <c r="D947" s="23"/>
      <c r="E947" s="23"/>
      <c r="H947" s="7"/>
      <c r="I947" s="98"/>
      <c r="J947" s="98"/>
      <c r="K947" s="98"/>
      <c r="L947" s="7"/>
    </row>
    <row r="948" spans="4:12" ht="15.75" customHeight="1" x14ac:dyDescent="0.2">
      <c r="D948" s="23"/>
      <c r="E948" s="23"/>
      <c r="H948" s="7"/>
      <c r="I948" s="98"/>
      <c r="J948" s="98"/>
      <c r="K948" s="98"/>
      <c r="L948" s="7"/>
    </row>
    <row r="949" spans="4:12" ht="15.75" customHeight="1" x14ac:dyDescent="0.2">
      <c r="D949" s="23"/>
      <c r="E949" s="23"/>
      <c r="H949" s="7"/>
      <c r="I949" s="98"/>
      <c r="J949" s="98"/>
      <c r="K949" s="98"/>
      <c r="L949" s="7"/>
    </row>
    <row r="950" spans="4:12" ht="15.75" customHeight="1" x14ac:dyDescent="0.2">
      <c r="D950" s="23"/>
      <c r="E950" s="23"/>
      <c r="H950" s="7"/>
      <c r="I950" s="98"/>
      <c r="J950" s="98"/>
      <c r="K950" s="98"/>
      <c r="L950" s="7"/>
    </row>
    <row r="951" spans="4:12" ht="15.75" customHeight="1" x14ac:dyDescent="0.2">
      <c r="D951" s="23"/>
      <c r="E951" s="23"/>
      <c r="H951" s="7"/>
      <c r="I951" s="98"/>
      <c r="J951" s="98"/>
      <c r="K951" s="98"/>
      <c r="L951" s="7"/>
    </row>
    <row r="952" spans="4:12" ht="15.75" customHeight="1" x14ac:dyDescent="0.2">
      <c r="D952" s="23"/>
      <c r="E952" s="23"/>
      <c r="H952" s="7"/>
      <c r="I952" s="98"/>
      <c r="J952" s="98"/>
      <c r="K952" s="98"/>
      <c r="L952" s="7"/>
    </row>
    <row r="953" spans="4:12" ht="15.75" customHeight="1" x14ac:dyDescent="0.2">
      <c r="D953" s="23"/>
      <c r="E953" s="23"/>
      <c r="H953" s="7"/>
      <c r="I953" s="98"/>
      <c r="J953" s="98"/>
      <c r="K953" s="98"/>
      <c r="L953" s="7"/>
    </row>
    <row r="954" spans="4:12" ht="15.75" customHeight="1" x14ac:dyDescent="0.2">
      <c r="D954" s="23"/>
      <c r="E954" s="23"/>
      <c r="H954" s="7"/>
      <c r="I954" s="98"/>
      <c r="J954" s="98"/>
      <c r="K954" s="98"/>
      <c r="L954" s="7"/>
    </row>
    <row r="955" spans="4:12" ht="15.75" customHeight="1" x14ac:dyDescent="0.2">
      <c r="D955" s="23"/>
      <c r="E955" s="23"/>
      <c r="H955" s="7"/>
      <c r="I955" s="98"/>
      <c r="J955" s="98"/>
      <c r="K955" s="98"/>
      <c r="L955" s="7"/>
    </row>
    <row r="956" spans="4:12" ht="15.75" customHeight="1" x14ac:dyDescent="0.2">
      <c r="D956" s="23"/>
      <c r="E956" s="23"/>
      <c r="H956" s="7"/>
      <c r="I956" s="98"/>
      <c r="J956" s="98"/>
      <c r="K956" s="98"/>
      <c r="L956" s="7"/>
    </row>
    <row r="957" spans="4:12" ht="15.75" customHeight="1" x14ac:dyDescent="0.2">
      <c r="D957" s="23"/>
      <c r="E957" s="23"/>
      <c r="H957" s="7"/>
      <c r="I957" s="98"/>
      <c r="J957" s="98"/>
      <c r="K957" s="98"/>
      <c r="L957" s="7"/>
    </row>
    <row r="958" spans="4:12" ht="15.75" customHeight="1" x14ac:dyDescent="0.2">
      <c r="D958" s="23"/>
      <c r="E958" s="23"/>
      <c r="H958" s="7"/>
      <c r="I958" s="98"/>
      <c r="J958" s="98"/>
      <c r="K958" s="98"/>
      <c r="L958" s="7"/>
    </row>
    <row r="959" spans="4:12" ht="15.75" customHeight="1" x14ac:dyDescent="0.2">
      <c r="D959" s="23"/>
      <c r="E959" s="23"/>
      <c r="H959" s="7"/>
      <c r="I959" s="98"/>
      <c r="J959" s="98"/>
      <c r="K959" s="98"/>
      <c r="L959" s="7"/>
    </row>
    <row r="960" spans="4:12" ht="15.75" customHeight="1" x14ac:dyDescent="0.2">
      <c r="D960" s="23"/>
      <c r="E960" s="23"/>
      <c r="H960" s="7"/>
      <c r="I960" s="98"/>
      <c r="J960" s="98"/>
      <c r="K960" s="98"/>
      <c r="L960" s="7"/>
    </row>
    <row r="961" spans="4:12" ht="15.75" customHeight="1" x14ac:dyDescent="0.2">
      <c r="D961" s="23"/>
      <c r="E961" s="23"/>
      <c r="H961" s="7"/>
      <c r="I961" s="98"/>
      <c r="J961" s="98"/>
      <c r="K961" s="98"/>
      <c r="L961" s="7"/>
    </row>
    <row r="962" spans="4:12" ht="15.75" customHeight="1" x14ac:dyDescent="0.2">
      <c r="D962" s="23"/>
      <c r="E962" s="23"/>
      <c r="H962" s="7"/>
      <c r="I962" s="98"/>
      <c r="J962" s="98"/>
      <c r="K962" s="98"/>
      <c r="L962" s="7"/>
    </row>
    <row r="963" spans="4:12" ht="15.75" customHeight="1" x14ac:dyDescent="0.2">
      <c r="D963" s="23"/>
      <c r="E963" s="23"/>
      <c r="H963" s="7"/>
      <c r="I963" s="98"/>
      <c r="J963" s="98"/>
      <c r="K963" s="98"/>
      <c r="L963" s="7"/>
    </row>
    <row r="964" spans="4:12" ht="15.75" customHeight="1" x14ac:dyDescent="0.2">
      <c r="D964" s="23"/>
      <c r="E964" s="23"/>
      <c r="H964" s="7"/>
      <c r="I964" s="98"/>
      <c r="J964" s="98"/>
      <c r="K964" s="98"/>
      <c r="L964" s="7"/>
    </row>
    <row r="965" spans="4:12" ht="15.75" customHeight="1" x14ac:dyDescent="0.2">
      <c r="D965" s="23"/>
      <c r="E965" s="23"/>
      <c r="H965" s="7"/>
      <c r="I965" s="98"/>
      <c r="J965" s="98"/>
      <c r="K965" s="98"/>
      <c r="L965" s="7"/>
    </row>
    <row r="966" spans="4:12" ht="15.75" customHeight="1" x14ac:dyDescent="0.2">
      <c r="D966" s="23"/>
      <c r="E966" s="23"/>
      <c r="H966" s="7"/>
      <c r="I966" s="98"/>
      <c r="J966" s="98"/>
      <c r="K966" s="98"/>
      <c r="L966" s="7"/>
    </row>
    <row r="967" spans="4:12" ht="15.75" customHeight="1" x14ac:dyDescent="0.2">
      <c r="D967" s="23"/>
      <c r="E967" s="23"/>
      <c r="H967" s="7"/>
      <c r="I967" s="98"/>
      <c r="J967" s="98"/>
      <c r="K967" s="98"/>
      <c r="L967" s="7"/>
    </row>
    <row r="968" spans="4:12" ht="15.75" customHeight="1" x14ac:dyDescent="0.2">
      <c r="D968" s="23"/>
      <c r="E968" s="23"/>
      <c r="H968" s="7"/>
      <c r="I968" s="98"/>
      <c r="J968" s="98"/>
      <c r="K968" s="98"/>
      <c r="L968" s="7"/>
    </row>
    <row r="969" spans="4:12" ht="15.75" customHeight="1" x14ac:dyDescent="0.2">
      <c r="D969" s="23"/>
      <c r="E969" s="23"/>
      <c r="H969" s="7"/>
      <c r="I969" s="98"/>
      <c r="J969" s="98"/>
      <c r="K969" s="98"/>
      <c r="L969" s="7"/>
    </row>
    <row r="970" spans="4:12" ht="15.75" customHeight="1" x14ac:dyDescent="0.2">
      <c r="D970" s="23"/>
      <c r="E970" s="23"/>
      <c r="H970" s="7"/>
      <c r="I970" s="98"/>
      <c r="J970" s="98"/>
      <c r="K970" s="98"/>
      <c r="L970" s="7"/>
    </row>
    <row r="971" spans="4:12" ht="15.75" customHeight="1" x14ac:dyDescent="0.2">
      <c r="D971" s="23"/>
      <c r="E971" s="23"/>
      <c r="H971" s="7"/>
      <c r="I971" s="98"/>
      <c r="J971" s="98"/>
      <c r="K971" s="98"/>
      <c r="L971" s="7"/>
    </row>
    <row r="972" spans="4:12" ht="15.75" customHeight="1" x14ac:dyDescent="0.2">
      <c r="D972" s="23"/>
      <c r="E972" s="23"/>
      <c r="H972" s="7"/>
      <c r="I972" s="98"/>
      <c r="J972" s="98"/>
      <c r="K972" s="98"/>
      <c r="L972" s="7"/>
    </row>
    <row r="973" spans="4:12" ht="15.75" customHeight="1" x14ac:dyDescent="0.2">
      <c r="D973" s="23"/>
      <c r="E973" s="23"/>
      <c r="H973" s="7"/>
      <c r="I973" s="98"/>
      <c r="J973" s="98"/>
      <c r="K973" s="98"/>
      <c r="L973" s="7"/>
    </row>
    <row r="974" spans="4:12" ht="15.75" customHeight="1" x14ac:dyDescent="0.2">
      <c r="D974" s="23"/>
      <c r="E974" s="23"/>
      <c r="H974" s="7"/>
      <c r="I974" s="98"/>
      <c r="J974" s="98"/>
      <c r="K974" s="98"/>
      <c r="L974" s="7"/>
    </row>
    <row r="975" spans="4:12" ht="15.75" customHeight="1" x14ac:dyDescent="0.2">
      <c r="D975" s="23"/>
      <c r="E975" s="23"/>
      <c r="H975" s="7"/>
      <c r="I975" s="98"/>
      <c r="J975" s="98"/>
      <c r="K975" s="98"/>
      <c r="L975" s="7"/>
    </row>
    <row r="976" spans="4:12" ht="15.75" customHeight="1" x14ac:dyDescent="0.2">
      <c r="D976" s="23"/>
      <c r="E976" s="23"/>
      <c r="H976" s="7"/>
      <c r="I976" s="98"/>
      <c r="J976" s="98"/>
      <c r="K976" s="98"/>
      <c r="L976" s="7"/>
    </row>
    <row r="977" spans="4:12" ht="15.75" customHeight="1" x14ac:dyDescent="0.2">
      <c r="D977" s="23"/>
      <c r="E977" s="23"/>
      <c r="H977" s="7"/>
      <c r="I977" s="98"/>
      <c r="J977" s="98"/>
      <c r="K977" s="98"/>
      <c r="L977" s="7"/>
    </row>
    <row r="978" spans="4:12" ht="15.75" customHeight="1" x14ac:dyDescent="0.2">
      <c r="D978" s="23"/>
      <c r="E978" s="23"/>
      <c r="H978" s="7"/>
      <c r="I978" s="98"/>
      <c r="J978" s="98"/>
      <c r="K978" s="98"/>
      <c r="L978" s="7"/>
    </row>
    <row r="979" spans="4:12" ht="15.75" customHeight="1" x14ac:dyDescent="0.2">
      <c r="D979" s="23"/>
      <c r="E979" s="23"/>
      <c r="H979" s="7"/>
      <c r="I979" s="98"/>
      <c r="J979" s="98"/>
      <c r="K979" s="98"/>
      <c r="L979" s="7"/>
    </row>
    <row r="980" spans="4:12" ht="15.75" customHeight="1" x14ac:dyDescent="0.2">
      <c r="D980" s="23"/>
      <c r="E980" s="23"/>
      <c r="H980" s="7"/>
      <c r="I980" s="98"/>
      <c r="J980" s="98"/>
      <c r="K980" s="98"/>
      <c r="L980" s="7"/>
    </row>
    <row r="981" spans="4:12" ht="15.75" customHeight="1" x14ac:dyDescent="0.2">
      <c r="D981" s="23"/>
      <c r="E981" s="23"/>
      <c r="H981" s="7"/>
      <c r="I981" s="98"/>
      <c r="J981" s="98"/>
      <c r="K981" s="98"/>
      <c r="L981" s="7"/>
    </row>
    <row r="982" spans="4:12" ht="15.75" customHeight="1" x14ac:dyDescent="0.2">
      <c r="D982" s="23"/>
      <c r="E982" s="23"/>
      <c r="H982" s="7"/>
      <c r="I982" s="98"/>
      <c r="J982" s="98"/>
      <c r="K982" s="98"/>
      <c r="L982" s="7"/>
    </row>
    <row r="983" spans="4:12" ht="15.75" customHeight="1" x14ac:dyDescent="0.2">
      <c r="D983" s="23"/>
      <c r="E983" s="23"/>
      <c r="H983" s="7"/>
      <c r="I983" s="98"/>
      <c r="J983" s="98"/>
      <c r="K983" s="98"/>
      <c r="L983" s="7"/>
    </row>
    <row r="984" spans="4:12" ht="15.75" customHeight="1" x14ac:dyDescent="0.2">
      <c r="D984" s="23"/>
      <c r="E984" s="23"/>
      <c r="H984" s="7"/>
      <c r="I984" s="98"/>
      <c r="J984" s="98"/>
      <c r="K984" s="98"/>
      <c r="L984" s="7"/>
    </row>
    <row r="985" spans="4:12" ht="15.75" customHeight="1" x14ac:dyDescent="0.2">
      <c r="D985" s="23"/>
      <c r="E985" s="23"/>
      <c r="H985" s="7"/>
      <c r="I985" s="98"/>
      <c r="J985" s="98"/>
      <c r="K985" s="98"/>
      <c r="L985" s="7"/>
    </row>
    <row r="986" spans="4:12" ht="15.75" customHeight="1" x14ac:dyDescent="0.2">
      <c r="D986" s="23"/>
      <c r="E986" s="23"/>
      <c r="H986" s="7"/>
      <c r="I986" s="98"/>
      <c r="J986" s="98"/>
      <c r="K986" s="98"/>
      <c r="L986" s="7"/>
    </row>
    <row r="987" spans="4:12" ht="15.75" customHeight="1" x14ac:dyDescent="0.2">
      <c r="D987" s="23"/>
      <c r="E987" s="23"/>
      <c r="H987" s="7"/>
      <c r="I987" s="98"/>
      <c r="J987" s="98"/>
      <c r="K987" s="98"/>
      <c r="L987" s="7"/>
    </row>
    <row r="988" spans="4:12" ht="15.75" customHeight="1" x14ac:dyDescent="0.2">
      <c r="D988" s="23"/>
      <c r="E988" s="23"/>
      <c r="H988" s="7"/>
      <c r="I988" s="98"/>
      <c r="J988" s="98"/>
      <c r="K988" s="98"/>
      <c r="L988" s="7"/>
    </row>
    <row r="989" spans="4:12" ht="15.75" customHeight="1" x14ac:dyDescent="0.2">
      <c r="D989" s="23"/>
      <c r="E989" s="23"/>
      <c r="H989" s="7"/>
      <c r="I989" s="98"/>
      <c r="J989" s="98"/>
      <c r="K989" s="98"/>
      <c r="L989" s="7"/>
    </row>
    <row r="990" spans="4:12" ht="15.75" customHeight="1" x14ac:dyDescent="0.2">
      <c r="D990" s="23"/>
      <c r="E990" s="23"/>
      <c r="H990" s="7"/>
      <c r="I990" s="98"/>
      <c r="J990" s="98"/>
      <c r="K990" s="98"/>
      <c r="L990" s="7"/>
    </row>
    <row r="991" spans="4:12" ht="15.75" customHeight="1" x14ac:dyDescent="0.2">
      <c r="D991" s="23"/>
      <c r="E991" s="23"/>
      <c r="H991" s="7"/>
      <c r="I991" s="98"/>
      <c r="J991" s="98"/>
      <c r="K991" s="98"/>
      <c r="L991" s="7"/>
    </row>
    <row r="992" spans="4:12" ht="15.75" customHeight="1" x14ac:dyDescent="0.2">
      <c r="D992" s="23"/>
      <c r="E992" s="23"/>
      <c r="H992" s="7"/>
      <c r="I992" s="98"/>
      <c r="J992" s="98"/>
      <c r="K992" s="98"/>
      <c r="L992" s="7"/>
    </row>
    <row r="993" spans="4:12" ht="15.75" customHeight="1" x14ac:dyDescent="0.2">
      <c r="D993" s="23"/>
      <c r="E993" s="23"/>
      <c r="H993" s="7"/>
      <c r="I993" s="98"/>
      <c r="J993" s="98"/>
      <c r="K993" s="98"/>
      <c r="L993" s="7"/>
    </row>
    <row r="994" spans="4:12" ht="15.75" customHeight="1" x14ac:dyDescent="0.2">
      <c r="D994" s="23"/>
      <c r="E994" s="23"/>
      <c r="H994" s="7"/>
      <c r="I994" s="98"/>
      <c r="J994" s="98"/>
      <c r="K994" s="98"/>
      <c r="L994" s="7"/>
    </row>
  </sheetData>
  <mergeCells count="18">
    <mergeCell ref="K15:K16"/>
    <mergeCell ref="K19:K20"/>
    <mergeCell ref="L19:L20"/>
    <mergeCell ref="K21:K22"/>
    <mergeCell ref="L21:L22"/>
    <mergeCell ref="L15:L16"/>
    <mergeCell ref="E15:E16"/>
    <mergeCell ref="E19:E20"/>
    <mergeCell ref="F19:F20"/>
    <mergeCell ref="E21:E22"/>
    <mergeCell ref="F21:F22"/>
    <mergeCell ref="F15:F16"/>
    <mergeCell ref="E5:E6"/>
    <mergeCell ref="K5:K6"/>
    <mergeCell ref="E13:E14"/>
    <mergeCell ref="F13:F14"/>
    <mergeCell ref="L13:L14"/>
    <mergeCell ref="K13:K14"/>
  </mergeCells>
  <pageMargins left="0.7" right="0.7" top="0.75" bottom="0.75" header="0" footer="0"/>
  <pageSetup orientation="landscape"/>
  <headerFooter>
    <oddFooter>&amp;C_x000D_&amp;1#&amp;"Arial"&amp;8&amp;K000000 Information Security Classification -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B073-683E-F14E-B8EA-A0EBF210D015}">
  <dimension ref="F2:Q45"/>
  <sheetViews>
    <sheetView topLeftCell="A2" workbookViewId="0">
      <selection activeCell="G32" sqref="G32:H32"/>
    </sheetView>
  </sheetViews>
  <sheetFormatPr baseColWidth="10" defaultRowHeight="16" x14ac:dyDescent="0.2"/>
  <cols>
    <col min="6" max="6" width="39.28515625" bestFit="1" customWidth="1"/>
    <col min="7" max="7" width="12.28515625" bestFit="1" customWidth="1"/>
    <col min="9" max="10" width="12.28515625" bestFit="1" customWidth="1"/>
    <col min="11" max="11" width="13.28515625" bestFit="1" customWidth="1"/>
    <col min="12" max="12" width="18.28515625" style="168" bestFit="1" customWidth="1"/>
    <col min="13" max="13" width="10.7109375" style="168"/>
  </cols>
  <sheetData>
    <row r="2" spans="6:17" x14ac:dyDescent="0.2">
      <c r="N2" s="168"/>
      <c r="O2" s="168"/>
      <c r="P2" s="168"/>
      <c r="Q2" s="168"/>
    </row>
    <row r="3" spans="6:17" x14ac:dyDescent="0.2">
      <c r="G3" s="98"/>
      <c r="K3" s="141"/>
      <c r="L3" s="180" t="s">
        <v>759</v>
      </c>
      <c r="M3" s="144"/>
      <c r="N3" s="168"/>
      <c r="O3" s="168"/>
      <c r="P3" s="168"/>
      <c r="Q3" s="168"/>
    </row>
    <row r="4" spans="6:17" x14ac:dyDescent="0.2">
      <c r="G4" s="102" t="s">
        <v>423</v>
      </c>
      <c r="H4" s="102" t="s">
        <v>423</v>
      </c>
      <c r="I4" s="137"/>
      <c r="K4" s="152" t="s">
        <v>585</v>
      </c>
      <c r="L4" s="178">
        <v>30035.5</v>
      </c>
      <c r="M4" s="177">
        <v>20000</v>
      </c>
      <c r="N4" s="156"/>
      <c r="O4" s="156"/>
      <c r="P4" s="168"/>
      <c r="Q4" s="168"/>
    </row>
    <row r="5" spans="6:17" x14ac:dyDescent="0.2">
      <c r="F5" s="176" t="s">
        <v>566</v>
      </c>
      <c r="G5" s="177">
        <v>140000</v>
      </c>
      <c r="H5" s="177">
        <v>140000</v>
      </c>
      <c r="K5" s="152" t="s">
        <v>586</v>
      </c>
      <c r="L5" s="178">
        <v>17399.5</v>
      </c>
      <c r="M5" s="177">
        <v>13000</v>
      </c>
      <c r="N5" s="156"/>
      <c r="O5" s="156"/>
      <c r="P5" s="168"/>
      <c r="Q5" s="168"/>
    </row>
    <row r="6" spans="6:17" x14ac:dyDescent="0.2">
      <c r="F6" s="176" t="s">
        <v>568</v>
      </c>
      <c r="G6" s="177">
        <v>2500</v>
      </c>
      <c r="H6" s="177">
        <v>2500</v>
      </c>
      <c r="K6" s="152" t="s">
        <v>601</v>
      </c>
      <c r="L6" s="178">
        <v>101500</v>
      </c>
      <c r="M6" s="177">
        <v>60000</v>
      </c>
      <c r="N6" s="179"/>
      <c r="O6" s="168"/>
      <c r="P6" s="168"/>
      <c r="Q6" s="168"/>
    </row>
    <row r="7" spans="6:17" x14ac:dyDescent="0.2">
      <c r="F7" s="176" t="s">
        <v>570</v>
      </c>
      <c r="G7" s="177">
        <v>36295</v>
      </c>
      <c r="H7" s="177">
        <v>36295</v>
      </c>
      <c r="K7" s="152" t="s">
        <v>592</v>
      </c>
      <c r="L7" s="178">
        <v>24500</v>
      </c>
      <c r="M7" s="177">
        <v>20000</v>
      </c>
      <c r="N7" s="179"/>
      <c r="O7" s="168"/>
      <c r="P7" s="168"/>
      <c r="Q7" s="168"/>
    </row>
    <row r="8" spans="6:17" x14ac:dyDescent="0.2">
      <c r="F8" s="176" t="s">
        <v>572</v>
      </c>
      <c r="G8" s="177">
        <v>2101.29</v>
      </c>
      <c r="H8" s="177">
        <v>2101.29</v>
      </c>
      <c r="K8" s="152" t="s">
        <v>595</v>
      </c>
      <c r="L8" s="177">
        <v>15069</v>
      </c>
      <c r="M8" s="177">
        <v>10000</v>
      </c>
      <c r="N8" s="179"/>
      <c r="O8" s="179"/>
      <c r="P8" s="168"/>
      <c r="Q8" s="168"/>
    </row>
    <row r="9" spans="6:17" x14ac:dyDescent="0.2">
      <c r="F9" s="176" t="s">
        <v>574</v>
      </c>
      <c r="G9" s="177">
        <v>145000</v>
      </c>
      <c r="H9" s="177">
        <v>145000</v>
      </c>
      <c r="K9" s="152" t="s">
        <v>289</v>
      </c>
      <c r="L9" s="177">
        <v>10000</v>
      </c>
      <c r="M9" s="177">
        <v>8000</v>
      </c>
      <c r="N9" s="156"/>
      <c r="O9" s="168"/>
      <c r="P9" s="168"/>
      <c r="Q9" s="168"/>
    </row>
    <row r="10" spans="6:17" x14ac:dyDescent="0.2">
      <c r="F10" s="176" t="s">
        <v>576</v>
      </c>
      <c r="G10" s="177">
        <v>60650</v>
      </c>
      <c r="H10" s="177">
        <v>60650</v>
      </c>
      <c r="K10" s="152" t="s">
        <v>760</v>
      </c>
      <c r="L10" s="177">
        <v>50000</v>
      </c>
      <c r="M10" s="177">
        <v>35000</v>
      </c>
    </row>
    <row r="11" spans="6:17" x14ac:dyDescent="0.2">
      <c r="F11" s="176" t="s">
        <v>577</v>
      </c>
      <c r="G11" s="177">
        <v>9100</v>
      </c>
      <c r="H11" s="177">
        <v>9100</v>
      </c>
      <c r="K11" s="152"/>
      <c r="L11" s="177">
        <f>SUM(L4:L10)</f>
        <v>248504</v>
      </c>
      <c r="M11" s="177">
        <f>SUM(M4:M10)</f>
        <v>166000</v>
      </c>
    </row>
    <row r="12" spans="6:17" x14ac:dyDescent="0.2">
      <c r="F12" s="176" t="s">
        <v>579</v>
      </c>
      <c r="G12" s="177">
        <v>64000</v>
      </c>
      <c r="H12" s="177">
        <v>64000</v>
      </c>
    </row>
    <row r="13" spans="6:17" x14ac:dyDescent="0.2">
      <c r="F13" s="176" t="s">
        <v>581</v>
      </c>
      <c r="G13" s="177">
        <v>58760</v>
      </c>
      <c r="H13" s="177">
        <v>58760</v>
      </c>
    </row>
    <row r="14" spans="6:17" x14ac:dyDescent="0.2">
      <c r="F14" s="176" t="s">
        <v>582</v>
      </c>
      <c r="G14" s="177">
        <v>41000</v>
      </c>
      <c r="H14" s="177">
        <v>41000</v>
      </c>
    </row>
    <row r="15" spans="6:17" x14ac:dyDescent="0.2">
      <c r="F15" s="176" t="s">
        <v>583</v>
      </c>
      <c r="G15" s="177">
        <v>109598.31</v>
      </c>
      <c r="H15" s="177">
        <v>109598.31</v>
      </c>
    </row>
    <row r="16" spans="6:17" x14ac:dyDescent="0.2">
      <c r="F16" s="176" t="s">
        <v>584</v>
      </c>
      <c r="G16" s="177">
        <v>16672.46</v>
      </c>
      <c r="H16" s="177">
        <v>16672.46</v>
      </c>
    </row>
    <row r="17" spans="6:11" x14ac:dyDescent="0.2">
      <c r="F17" s="176" t="s">
        <v>585</v>
      </c>
      <c r="G17" s="178">
        <v>30035.5</v>
      </c>
      <c r="H17" s="178"/>
    </row>
    <row r="18" spans="6:11" x14ac:dyDescent="0.2">
      <c r="F18" s="176" t="s">
        <v>586</v>
      </c>
      <c r="G18" s="178">
        <v>17399.5</v>
      </c>
      <c r="H18" s="178"/>
    </row>
    <row r="19" spans="6:11" x14ac:dyDescent="0.2">
      <c r="F19" s="176" t="s">
        <v>587</v>
      </c>
      <c r="G19" s="177">
        <v>54979.33</v>
      </c>
      <c r="H19" s="177">
        <v>54979.33</v>
      </c>
    </row>
    <row r="20" spans="6:11" x14ac:dyDescent="0.2">
      <c r="F20" s="176" t="s">
        <v>588</v>
      </c>
      <c r="G20" s="177">
        <v>26090</v>
      </c>
      <c r="H20" s="177">
        <v>26090</v>
      </c>
    </row>
    <row r="21" spans="6:11" x14ac:dyDescent="0.2">
      <c r="F21" s="176" t="s">
        <v>589</v>
      </c>
      <c r="G21" s="177">
        <v>9313.2000000000007</v>
      </c>
      <c r="H21" s="177">
        <v>9313.2000000000007</v>
      </c>
    </row>
    <row r="22" spans="6:11" x14ac:dyDescent="0.2">
      <c r="F22" s="176" t="s">
        <v>590</v>
      </c>
      <c r="G22" s="177">
        <v>25500</v>
      </c>
      <c r="H22" s="177">
        <v>25500</v>
      </c>
    </row>
    <row r="23" spans="6:11" x14ac:dyDescent="0.2">
      <c r="F23" s="176" t="s">
        <v>591</v>
      </c>
      <c r="G23" s="177"/>
      <c r="H23" s="177"/>
    </row>
    <row r="24" spans="6:11" x14ac:dyDescent="0.2">
      <c r="F24" s="176" t="s">
        <v>592</v>
      </c>
      <c r="G24" s="177"/>
      <c r="H24" s="177"/>
    </row>
    <row r="25" spans="6:11" x14ac:dyDescent="0.2">
      <c r="F25" s="176" t="s">
        <v>593</v>
      </c>
      <c r="G25" s="177">
        <v>79703</v>
      </c>
      <c r="H25" s="177">
        <v>79703</v>
      </c>
    </row>
    <row r="26" spans="6:11" x14ac:dyDescent="0.2">
      <c r="F26" s="176" t="s">
        <v>594</v>
      </c>
      <c r="G26" s="177">
        <v>47905</v>
      </c>
      <c r="H26" s="177">
        <v>47905</v>
      </c>
      <c r="K26" s="137" t="s">
        <v>56</v>
      </c>
    </row>
    <row r="27" spans="6:11" x14ac:dyDescent="0.2">
      <c r="F27" s="176" t="s">
        <v>595</v>
      </c>
      <c r="G27" s="177">
        <v>15069</v>
      </c>
      <c r="H27" s="177"/>
    </row>
    <row r="28" spans="6:11" x14ac:dyDescent="0.2">
      <c r="F28" s="176" t="s">
        <v>289</v>
      </c>
      <c r="G28" s="177">
        <v>0</v>
      </c>
      <c r="H28" s="177">
        <v>0</v>
      </c>
    </row>
    <row r="29" spans="6:11" x14ac:dyDescent="0.2">
      <c r="F29" s="176" t="s">
        <v>596</v>
      </c>
      <c r="G29" s="177">
        <v>0</v>
      </c>
      <c r="H29" s="177">
        <v>0</v>
      </c>
    </row>
    <row r="30" spans="6:11" x14ac:dyDescent="0.2">
      <c r="F30" s="176"/>
      <c r="G30" s="178"/>
      <c r="H30" s="178"/>
      <c r="I30" s="153"/>
    </row>
    <row r="31" spans="6:11" x14ac:dyDescent="0.2">
      <c r="F31" s="3" t="s">
        <v>597</v>
      </c>
      <c r="G31" s="147"/>
      <c r="H31" s="147"/>
      <c r="I31" s="153"/>
    </row>
    <row r="32" spans="6:11" x14ac:dyDescent="0.2">
      <c r="F32" s="5" t="s">
        <v>598</v>
      </c>
      <c r="G32" s="175">
        <v>500000</v>
      </c>
      <c r="H32" s="175">
        <v>500000</v>
      </c>
    </row>
    <row r="33" spans="6:14" x14ac:dyDescent="0.2">
      <c r="F33" s="5" t="s">
        <v>599</v>
      </c>
      <c r="G33" s="107">
        <v>12000</v>
      </c>
      <c r="H33" s="107">
        <v>12000</v>
      </c>
      <c r="I33" s="153"/>
    </row>
    <row r="34" spans="6:14" x14ac:dyDescent="0.2">
      <c r="F34" s="5" t="s">
        <v>600</v>
      </c>
      <c r="G34" s="107">
        <v>27208.5</v>
      </c>
      <c r="H34" s="107">
        <v>27208.5</v>
      </c>
    </row>
    <row r="35" spans="6:14" x14ac:dyDescent="0.2">
      <c r="F35" s="5" t="s">
        <v>601</v>
      </c>
      <c r="G35" s="178">
        <v>101500</v>
      </c>
      <c r="H35" s="178"/>
    </row>
    <row r="36" spans="6:14" x14ac:dyDescent="0.2">
      <c r="F36" s="5" t="s">
        <v>592</v>
      </c>
      <c r="G36" s="178">
        <v>24500</v>
      </c>
      <c r="H36" s="178"/>
    </row>
    <row r="37" spans="6:14" x14ac:dyDescent="0.2">
      <c r="F37" s="5"/>
      <c r="G37" s="107"/>
      <c r="H37" s="137"/>
      <c r="I37" s="137"/>
      <c r="J37" s="137"/>
    </row>
    <row r="38" spans="6:14" x14ac:dyDescent="0.2">
      <c r="F38" s="5" t="s">
        <v>602</v>
      </c>
      <c r="G38" s="107">
        <f>SUM(G5:G36)</f>
        <v>1656880.0899999999</v>
      </c>
      <c r="H38" s="182">
        <f>SUM(H5:H36)</f>
        <v>1468376.0899999999</v>
      </c>
      <c r="I38" s="183"/>
      <c r="J38" s="183"/>
      <c r="N38" s="107"/>
    </row>
    <row r="39" spans="6:14" x14ac:dyDescent="0.2">
      <c r="F39" s="5" t="s">
        <v>761</v>
      </c>
      <c r="G39" s="107">
        <f>G38*0.18</f>
        <v>298238.41619999998</v>
      </c>
      <c r="H39" s="182">
        <f>H38*0.18</f>
        <v>264307.69619999995</v>
      </c>
      <c r="I39" s="183"/>
      <c r="J39" s="183"/>
      <c r="N39" s="107"/>
    </row>
    <row r="40" spans="6:14" x14ac:dyDescent="0.2">
      <c r="F40" s="5" t="s">
        <v>2</v>
      </c>
      <c r="G40" s="107">
        <f>(G38+G39)*0.1</f>
        <v>195511.85061999998</v>
      </c>
      <c r="H40" s="182">
        <f>(H38+H39)*0.1</f>
        <v>173268.37861999997</v>
      </c>
      <c r="I40" s="183"/>
      <c r="J40" s="183"/>
      <c r="N40" s="107"/>
    </row>
    <row r="41" spans="6:14" x14ac:dyDescent="0.2">
      <c r="F41" s="5" t="s">
        <v>0</v>
      </c>
      <c r="G41" s="107">
        <f t="shared" ref="G41:H41" si="0">SUM(G38:G40)</f>
        <v>2150630.3568199999</v>
      </c>
      <c r="H41" s="182">
        <f t="shared" si="0"/>
        <v>1905952.1648199996</v>
      </c>
      <c r="I41" s="183"/>
      <c r="J41" s="183"/>
    </row>
    <row r="42" spans="6:14" x14ac:dyDescent="0.2">
      <c r="F42" s="181" t="s">
        <v>5</v>
      </c>
      <c r="G42" s="107">
        <v>605000</v>
      </c>
      <c r="H42" s="182">
        <v>605000</v>
      </c>
      <c r="I42" s="183"/>
      <c r="J42" s="168"/>
    </row>
    <row r="43" spans="6:14" x14ac:dyDescent="0.2">
      <c r="F43" s="181" t="s">
        <v>762</v>
      </c>
      <c r="G43" s="107">
        <f>G41-G42</f>
        <v>1545630.3568199999</v>
      </c>
      <c r="H43" s="107">
        <f>H41-H42</f>
        <v>1300952.1648199996</v>
      </c>
    </row>
    <row r="44" spans="6:14" x14ac:dyDescent="0.2">
      <c r="F44" s="181" t="s">
        <v>2</v>
      </c>
      <c r="G44" s="107">
        <f>G43/11</f>
        <v>140511.85061999998</v>
      </c>
      <c r="H44" s="107">
        <f>H43/11</f>
        <v>118268.37861999996</v>
      </c>
      <c r="K44" s="137" t="s">
        <v>56</v>
      </c>
    </row>
    <row r="45" spans="6:14" x14ac:dyDescent="0.2">
      <c r="F45" s="181" t="s">
        <v>763</v>
      </c>
      <c r="G45" s="107">
        <f>G43-G44</f>
        <v>1405118.5061999999</v>
      </c>
      <c r="H45" s="107">
        <f>H43-H44</f>
        <v>1182683.7861999997</v>
      </c>
    </row>
  </sheetData>
  <pageMargins left="0.7" right="0.7" top="0.75" bottom="0.75" header="0.3" footer="0.3"/>
  <headerFooter>
    <oddFooter>&amp;C_x000D_&amp;1#&amp;"Arial"&amp;8&amp;K000000 Information Security Classification -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6A26-B83A-B541-9236-F78769EDA96C}">
  <sheetPr filterMode="1"/>
  <dimension ref="A1:W1020"/>
  <sheetViews>
    <sheetView workbookViewId="0">
      <selection activeCell="L157" sqref="L157"/>
    </sheetView>
  </sheetViews>
  <sheetFormatPr baseColWidth="10" defaultRowHeight="16" x14ac:dyDescent="0.2"/>
  <cols>
    <col min="2" max="2" width="23.140625" bestFit="1" customWidth="1"/>
    <col min="4" max="4" width="12.28515625" bestFit="1" customWidth="1"/>
    <col min="5" max="5" width="28.7109375" bestFit="1" customWidth="1"/>
    <col min="6" max="6" width="40.42578125" bestFit="1" customWidth="1"/>
  </cols>
  <sheetData>
    <row r="1" spans="1:23" x14ac:dyDescent="0.2">
      <c r="A1" s="170" t="s">
        <v>708</v>
      </c>
      <c r="B1" s="170" t="s">
        <v>709</v>
      </c>
      <c r="C1" s="170" t="s">
        <v>24</v>
      </c>
      <c r="D1" s="170" t="s">
        <v>710</v>
      </c>
      <c r="E1" s="170" t="s">
        <v>711</v>
      </c>
      <c r="F1" s="170" t="s">
        <v>712</v>
      </c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</row>
    <row r="2" spans="1:23" x14ac:dyDescent="0.2">
      <c r="A2" s="171">
        <v>44253</v>
      </c>
      <c r="B2" s="34" t="s">
        <v>740</v>
      </c>
      <c r="C2" s="163">
        <v>590000</v>
      </c>
      <c r="D2" s="163">
        <v>590000</v>
      </c>
      <c r="E2" s="34" t="s">
        <v>64</v>
      </c>
      <c r="F2" s="34" t="s">
        <v>64</v>
      </c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</row>
    <row r="3" spans="1:23" hidden="1" x14ac:dyDescent="0.2">
      <c r="A3" s="171">
        <v>44255</v>
      </c>
      <c r="B3" s="34" t="s">
        <v>713</v>
      </c>
      <c r="C3" s="34">
        <v>371.11</v>
      </c>
      <c r="D3" s="163">
        <v>590805.12</v>
      </c>
      <c r="E3" s="34"/>
      <c r="F3" s="34" t="s">
        <v>714</v>
      </c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</row>
    <row r="4" spans="1:23" hidden="1" x14ac:dyDescent="0.2">
      <c r="A4" s="171">
        <v>44255</v>
      </c>
      <c r="B4" s="34" t="s">
        <v>6</v>
      </c>
      <c r="C4" s="34">
        <v>434.01</v>
      </c>
      <c r="D4" s="163">
        <v>590434.01</v>
      </c>
      <c r="E4" s="34"/>
      <c r="F4" s="34" t="s">
        <v>715</v>
      </c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</row>
    <row r="5" spans="1:23" hidden="1" x14ac:dyDescent="0.2">
      <c r="A5" s="171">
        <v>44258</v>
      </c>
      <c r="B5" s="34" t="s">
        <v>754</v>
      </c>
      <c r="C5" s="163">
        <v>23650</v>
      </c>
      <c r="D5" s="163">
        <v>659607.12</v>
      </c>
      <c r="E5" s="34" t="s">
        <v>318</v>
      </c>
      <c r="F5" s="34" t="s">
        <v>755</v>
      </c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</row>
    <row r="6" spans="1:23" hidden="1" x14ac:dyDescent="0.2">
      <c r="A6" s="171">
        <v>44258</v>
      </c>
      <c r="B6" s="34" t="s">
        <v>716</v>
      </c>
      <c r="C6" s="163">
        <v>45152</v>
      </c>
      <c r="D6" s="163">
        <v>635957.12</v>
      </c>
      <c r="E6" s="34" t="s">
        <v>756</v>
      </c>
      <c r="F6" s="34" t="s">
        <v>756</v>
      </c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</row>
    <row r="7" spans="1:23" hidden="1" x14ac:dyDescent="0.2">
      <c r="A7" s="171">
        <v>44264</v>
      </c>
      <c r="B7" s="34" t="s">
        <v>720</v>
      </c>
      <c r="C7" s="163">
        <v>8812.18</v>
      </c>
      <c r="D7" s="163">
        <v>668707.9</v>
      </c>
      <c r="E7" s="34" t="s">
        <v>753</v>
      </c>
      <c r="F7" s="34" t="s">
        <v>749</v>
      </c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</row>
    <row r="8" spans="1:23" hidden="1" x14ac:dyDescent="0.2">
      <c r="A8" s="171">
        <v>44264</v>
      </c>
      <c r="B8" s="34" t="s">
        <v>720</v>
      </c>
      <c r="C8" s="34">
        <v>288.60000000000002</v>
      </c>
      <c r="D8" s="163">
        <v>659895.72</v>
      </c>
      <c r="E8" s="34" t="s">
        <v>753</v>
      </c>
      <c r="F8" s="34" t="s">
        <v>749</v>
      </c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</row>
    <row r="9" spans="1:23" hidden="1" x14ac:dyDescent="0.2">
      <c r="A9" s="171">
        <v>44286</v>
      </c>
      <c r="B9" s="34" t="s">
        <v>713</v>
      </c>
      <c r="C9" s="163">
        <v>3834.85</v>
      </c>
      <c r="D9" s="163">
        <v>677574.25</v>
      </c>
      <c r="E9" s="34"/>
      <c r="F9" s="34" t="s">
        <v>714</v>
      </c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</row>
    <row r="10" spans="1:23" hidden="1" x14ac:dyDescent="0.2">
      <c r="A10" s="171">
        <v>44286</v>
      </c>
      <c r="B10" s="34" t="s">
        <v>6</v>
      </c>
      <c r="C10" s="163">
        <v>5031.5</v>
      </c>
      <c r="D10" s="163">
        <v>673739.4</v>
      </c>
      <c r="E10" s="34"/>
      <c r="F10" s="34" t="s">
        <v>715</v>
      </c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</row>
    <row r="11" spans="1:23" hidden="1" x14ac:dyDescent="0.2">
      <c r="A11" s="171">
        <v>44293</v>
      </c>
      <c r="B11" s="34" t="s">
        <v>720</v>
      </c>
      <c r="C11" s="34">
        <v>300</v>
      </c>
      <c r="D11" s="163">
        <v>740150.15</v>
      </c>
      <c r="E11" s="34" t="s">
        <v>750</v>
      </c>
      <c r="F11" s="34" t="s">
        <v>722</v>
      </c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</row>
    <row r="12" spans="1:23" hidden="1" x14ac:dyDescent="0.2">
      <c r="A12" s="171">
        <v>44293</v>
      </c>
      <c r="B12" s="34" t="s">
        <v>505</v>
      </c>
      <c r="C12" s="163">
        <v>12500</v>
      </c>
      <c r="D12" s="163">
        <v>739850.15</v>
      </c>
      <c r="E12" s="34" t="s">
        <v>751</v>
      </c>
      <c r="F12" s="34" t="s">
        <v>505</v>
      </c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</row>
    <row r="13" spans="1:23" hidden="1" x14ac:dyDescent="0.2">
      <c r="A13" s="171">
        <v>44293</v>
      </c>
      <c r="B13" s="34" t="s">
        <v>723</v>
      </c>
      <c r="C13" s="163">
        <v>49775.9</v>
      </c>
      <c r="D13" s="163">
        <v>727350.15</v>
      </c>
      <c r="E13" s="34" t="s">
        <v>752</v>
      </c>
      <c r="F13" s="34" t="s">
        <v>725</v>
      </c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</row>
    <row r="14" spans="1:23" hidden="1" x14ac:dyDescent="0.2">
      <c r="A14" s="171">
        <v>44314</v>
      </c>
      <c r="B14" s="34" t="s">
        <v>720</v>
      </c>
      <c r="C14" s="34">
        <v>300</v>
      </c>
      <c r="D14" s="163">
        <v>832729.8</v>
      </c>
      <c r="E14" s="34" t="s">
        <v>727</v>
      </c>
      <c r="F14" s="34" t="s">
        <v>722</v>
      </c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</row>
    <row r="15" spans="1:23" hidden="1" x14ac:dyDescent="0.2">
      <c r="A15" s="171">
        <v>44314</v>
      </c>
      <c r="B15" s="34" t="s">
        <v>2</v>
      </c>
      <c r="C15" s="34">
        <v>90</v>
      </c>
      <c r="D15" s="163">
        <v>832429.8</v>
      </c>
      <c r="E15" s="34"/>
      <c r="F15" s="34" t="s">
        <v>747</v>
      </c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</row>
    <row r="16" spans="1:23" ht="15" hidden="1" customHeight="1" x14ac:dyDescent="0.2">
      <c r="A16" s="171">
        <v>44314</v>
      </c>
      <c r="B16" s="34" t="s">
        <v>720</v>
      </c>
      <c r="C16" s="34">
        <v>900</v>
      </c>
      <c r="D16" s="163">
        <v>832429.8</v>
      </c>
      <c r="E16" s="34" t="s">
        <v>748</v>
      </c>
      <c r="F16" s="34" t="s">
        <v>749</v>
      </c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</row>
    <row r="17" spans="1:23" hidden="1" x14ac:dyDescent="0.2">
      <c r="A17" s="171">
        <v>44314</v>
      </c>
      <c r="B17" s="34" t="s">
        <v>723</v>
      </c>
      <c r="C17" s="163">
        <v>91289.65</v>
      </c>
      <c r="D17" s="163">
        <v>831439.8</v>
      </c>
      <c r="E17" s="34" t="s">
        <v>737</v>
      </c>
      <c r="F17" s="34" t="s">
        <v>725</v>
      </c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</row>
    <row r="18" spans="1:23" hidden="1" x14ac:dyDescent="0.2">
      <c r="A18" s="171">
        <v>44316</v>
      </c>
      <c r="B18" s="34" t="s">
        <v>713</v>
      </c>
      <c r="C18" s="163">
        <v>3711.15</v>
      </c>
      <c r="D18" s="163">
        <v>841861.66</v>
      </c>
      <c r="E18" s="34"/>
      <c r="F18" s="34" t="s">
        <v>714</v>
      </c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</row>
    <row r="19" spans="1:23" hidden="1" x14ac:dyDescent="0.2">
      <c r="A19" s="171">
        <v>44316</v>
      </c>
      <c r="B19" s="34" t="s">
        <v>6</v>
      </c>
      <c r="C19" s="163">
        <v>5420.71</v>
      </c>
      <c r="D19" s="163">
        <v>838150.51</v>
      </c>
      <c r="E19" s="34"/>
      <c r="F19" s="34" t="s">
        <v>715</v>
      </c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</row>
    <row r="20" spans="1:23" hidden="1" x14ac:dyDescent="0.2">
      <c r="A20" s="171">
        <v>44335</v>
      </c>
      <c r="B20" s="34" t="s">
        <v>6</v>
      </c>
      <c r="C20" s="34">
        <v>-165</v>
      </c>
      <c r="D20" s="163">
        <v>841696.66</v>
      </c>
      <c r="E20" s="34" t="s">
        <v>745</v>
      </c>
      <c r="F20" s="34" t="s">
        <v>746</v>
      </c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</row>
    <row r="21" spans="1:23" hidden="1" x14ac:dyDescent="0.2">
      <c r="A21" s="171">
        <v>44347</v>
      </c>
      <c r="B21" s="34" t="s">
        <v>713</v>
      </c>
      <c r="C21" s="163">
        <v>3834.85</v>
      </c>
      <c r="D21" s="163">
        <v>851930.29</v>
      </c>
      <c r="E21" s="34"/>
      <c r="F21" s="34" t="s">
        <v>714</v>
      </c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</row>
    <row r="22" spans="1:23" hidden="1" x14ac:dyDescent="0.2">
      <c r="A22" s="171">
        <v>44347</v>
      </c>
      <c r="B22" s="34" t="s">
        <v>6</v>
      </c>
      <c r="C22" s="163">
        <v>6398.78</v>
      </c>
      <c r="D22" s="163">
        <v>848095.44</v>
      </c>
      <c r="E22" s="34"/>
      <c r="F22" s="34" t="s">
        <v>715</v>
      </c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</row>
    <row r="23" spans="1:23" hidden="1" x14ac:dyDescent="0.2">
      <c r="A23" s="171">
        <v>44369</v>
      </c>
      <c r="B23" s="34" t="s">
        <v>720</v>
      </c>
      <c r="C23" s="34">
        <v>300</v>
      </c>
      <c r="D23" s="163">
        <v>911841.8</v>
      </c>
      <c r="E23" s="34" t="s">
        <v>743</v>
      </c>
      <c r="F23" s="34" t="s">
        <v>722</v>
      </c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</row>
    <row r="24" spans="1:23" hidden="1" x14ac:dyDescent="0.2">
      <c r="A24" s="171">
        <v>44369</v>
      </c>
      <c r="B24" s="34" t="s">
        <v>505</v>
      </c>
      <c r="C24" s="163">
        <v>10767.28</v>
      </c>
      <c r="D24" s="163">
        <v>911541.8</v>
      </c>
      <c r="E24" s="34" t="s">
        <v>744</v>
      </c>
      <c r="F24" s="34" t="s">
        <v>505</v>
      </c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</row>
    <row r="25" spans="1:23" hidden="1" x14ac:dyDescent="0.2">
      <c r="A25" s="171">
        <v>44369</v>
      </c>
      <c r="B25" s="34" t="s">
        <v>723</v>
      </c>
      <c r="C25" s="163">
        <v>48844.23</v>
      </c>
      <c r="D25" s="163">
        <v>900774.52</v>
      </c>
      <c r="E25" s="34" t="s">
        <v>737</v>
      </c>
      <c r="F25" s="34" t="s">
        <v>725</v>
      </c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</row>
    <row r="26" spans="1:23" hidden="1" x14ac:dyDescent="0.2">
      <c r="A26" s="171">
        <v>44377</v>
      </c>
      <c r="B26" s="34" t="s">
        <v>713</v>
      </c>
      <c r="C26" s="163">
        <v>3711.15</v>
      </c>
      <c r="D26" s="163">
        <v>921952.1</v>
      </c>
      <c r="E26" s="34"/>
      <c r="F26" s="34" t="s">
        <v>714</v>
      </c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</row>
    <row r="27" spans="1:23" hidden="1" x14ac:dyDescent="0.2">
      <c r="A27" s="171">
        <v>44377</v>
      </c>
      <c r="B27" s="34" t="s">
        <v>6</v>
      </c>
      <c r="C27" s="163">
        <v>6399.15</v>
      </c>
      <c r="D27" s="163">
        <v>918240.95</v>
      </c>
      <c r="E27" s="34"/>
      <c r="F27" s="34" t="s">
        <v>715</v>
      </c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</row>
    <row r="28" spans="1:23" x14ac:dyDescent="0.2">
      <c r="A28" s="171">
        <v>44385</v>
      </c>
      <c r="B28" s="34" t="s">
        <v>740</v>
      </c>
      <c r="C28" s="34">
        <v>-133.19999999999999</v>
      </c>
      <c r="D28" s="163">
        <v>921818.9</v>
      </c>
      <c r="E28" s="34" t="s">
        <v>741</v>
      </c>
      <c r="F28" s="34" t="s">
        <v>742</v>
      </c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</row>
    <row r="29" spans="1:23" hidden="1" x14ac:dyDescent="0.2">
      <c r="A29" s="171">
        <v>44408</v>
      </c>
      <c r="B29" s="34" t="s">
        <v>713</v>
      </c>
      <c r="C29" s="163">
        <v>3834.85</v>
      </c>
      <c r="D29" s="163">
        <v>932661.07</v>
      </c>
      <c r="E29" s="34"/>
      <c r="F29" s="34" t="s">
        <v>714</v>
      </c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</row>
    <row r="30" spans="1:23" hidden="1" x14ac:dyDescent="0.2">
      <c r="A30" s="171">
        <v>44408</v>
      </c>
      <c r="B30" s="34" t="s">
        <v>6</v>
      </c>
      <c r="C30" s="163">
        <v>7007.32</v>
      </c>
      <c r="D30" s="163">
        <v>928826.22</v>
      </c>
      <c r="E30" s="34"/>
      <c r="F30" s="34" t="s">
        <v>715</v>
      </c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</row>
    <row r="31" spans="1:23" hidden="1" x14ac:dyDescent="0.2">
      <c r="A31" s="171">
        <v>44439</v>
      </c>
      <c r="B31" s="34" t="s">
        <v>713</v>
      </c>
      <c r="C31" s="163">
        <v>3834.85</v>
      </c>
      <c r="D31" s="163">
        <v>943585.42</v>
      </c>
      <c r="E31" s="34"/>
      <c r="F31" s="34" t="s">
        <v>714</v>
      </c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</row>
    <row r="32" spans="1:23" hidden="1" x14ac:dyDescent="0.2">
      <c r="A32" s="171">
        <v>44439</v>
      </c>
      <c r="B32" s="34" t="s">
        <v>6</v>
      </c>
      <c r="C32" s="163">
        <v>7089.5</v>
      </c>
      <c r="D32" s="163">
        <v>939750.57</v>
      </c>
      <c r="E32" s="34"/>
      <c r="F32" s="34" t="s">
        <v>715</v>
      </c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</row>
    <row r="33" spans="1:23" hidden="1" x14ac:dyDescent="0.2">
      <c r="A33" s="171">
        <v>44441</v>
      </c>
      <c r="B33" s="34" t="s">
        <v>720</v>
      </c>
      <c r="C33" s="34">
        <v>300</v>
      </c>
      <c r="D33" s="163">
        <v>1032235.69</v>
      </c>
      <c r="E33" s="34" t="s">
        <v>739</v>
      </c>
      <c r="F33" s="34" t="s">
        <v>722</v>
      </c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</row>
    <row r="34" spans="1:23" hidden="1" x14ac:dyDescent="0.2">
      <c r="A34" s="171">
        <v>44441</v>
      </c>
      <c r="B34" s="34" t="s">
        <v>723</v>
      </c>
      <c r="C34" s="163">
        <v>88350.27</v>
      </c>
      <c r="D34" s="163">
        <v>1031935.69</v>
      </c>
      <c r="E34" s="34" t="s">
        <v>737</v>
      </c>
      <c r="F34" s="34" t="s">
        <v>725</v>
      </c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</row>
    <row r="35" spans="1:23" hidden="1" x14ac:dyDescent="0.2">
      <c r="A35" s="171">
        <v>44469</v>
      </c>
      <c r="B35" s="34" t="s">
        <v>713</v>
      </c>
      <c r="C35" s="163">
        <v>3711.15</v>
      </c>
      <c r="D35" s="163">
        <v>1043518.4</v>
      </c>
      <c r="E35" s="34"/>
      <c r="F35" s="34" t="s">
        <v>714</v>
      </c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</row>
    <row r="36" spans="1:23" hidden="1" x14ac:dyDescent="0.2">
      <c r="A36" s="171">
        <v>44469</v>
      </c>
      <c r="B36" s="34" t="s">
        <v>6</v>
      </c>
      <c r="C36" s="163">
        <v>7571.56</v>
      </c>
      <c r="D36" s="163">
        <v>1039807.25</v>
      </c>
      <c r="E36" s="34"/>
      <c r="F36" s="34" t="s">
        <v>715</v>
      </c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</row>
    <row r="37" spans="1:23" hidden="1" x14ac:dyDescent="0.2">
      <c r="A37" s="171">
        <v>44500</v>
      </c>
      <c r="B37" s="34" t="s">
        <v>713</v>
      </c>
      <c r="C37" s="163">
        <v>3834.85</v>
      </c>
      <c r="D37" s="163">
        <v>1055285.42</v>
      </c>
      <c r="E37" s="34"/>
      <c r="F37" s="34" t="s">
        <v>714</v>
      </c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</row>
    <row r="38" spans="1:23" hidden="1" x14ac:dyDescent="0.2">
      <c r="A38" s="171">
        <v>44500</v>
      </c>
      <c r="B38" s="34" t="s">
        <v>6</v>
      </c>
      <c r="C38" s="163">
        <v>7932.17</v>
      </c>
      <c r="D38" s="163">
        <v>1051450.57</v>
      </c>
      <c r="E38" s="34"/>
      <c r="F38" s="34" t="s">
        <v>715</v>
      </c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</row>
    <row r="39" spans="1:23" hidden="1" x14ac:dyDescent="0.2">
      <c r="A39" s="171">
        <v>44530</v>
      </c>
      <c r="B39" s="34" t="s">
        <v>713</v>
      </c>
      <c r="C39" s="163">
        <v>3711.15</v>
      </c>
      <c r="D39" s="163">
        <v>1066759.42</v>
      </c>
      <c r="E39" s="34"/>
      <c r="F39" s="34" t="s">
        <v>714</v>
      </c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</row>
    <row r="40" spans="1:23" hidden="1" x14ac:dyDescent="0.2">
      <c r="A40" s="171">
        <v>44530</v>
      </c>
      <c r="B40" s="34" t="s">
        <v>6</v>
      </c>
      <c r="C40" s="163">
        <v>7762.85</v>
      </c>
      <c r="D40" s="163">
        <v>1063048.27</v>
      </c>
      <c r="E40" s="34"/>
      <c r="F40" s="34" t="s">
        <v>715</v>
      </c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</row>
    <row r="41" spans="1:23" hidden="1" x14ac:dyDescent="0.2">
      <c r="A41" s="171">
        <v>44561</v>
      </c>
      <c r="B41" s="34" t="s">
        <v>713</v>
      </c>
      <c r="C41" s="163">
        <v>3834.85</v>
      </c>
      <c r="D41" s="163">
        <v>1078703.1000000001</v>
      </c>
      <c r="E41" s="34"/>
      <c r="F41" s="34" t="s">
        <v>714</v>
      </c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</row>
    <row r="42" spans="1:23" hidden="1" x14ac:dyDescent="0.2">
      <c r="A42" s="171">
        <v>44561</v>
      </c>
      <c r="B42" s="34" t="s">
        <v>6</v>
      </c>
      <c r="C42" s="163">
        <v>8108.83</v>
      </c>
      <c r="D42" s="163">
        <v>1074868.25</v>
      </c>
      <c r="E42" s="34"/>
      <c r="F42" s="34" t="s">
        <v>715</v>
      </c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</row>
    <row r="43" spans="1:23" hidden="1" x14ac:dyDescent="0.2">
      <c r="A43" s="171">
        <v>44582</v>
      </c>
      <c r="B43" s="34" t="s">
        <v>720</v>
      </c>
      <c r="C43" s="34">
        <v>300</v>
      </c>
      <c r="D43" s="163">
        <v>1168274.6399999999</v>
      </c>
      <c r="E43" s="34" t="s">
        <v>738</v>
      </c>
      <c r="F43" s="34" t="s">
        <v>722</v>
      </c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</row>
    <row r="44" spans="1:23" hidden="1" x14ac:dyDescent="0.2">
      <c r="A44" s="171">
        <v>44582</v>
      </c>
      <c r="B44" s="34" t="s">
        <v>723</v>
      </c>
      <c r="C44" s="163">
        <v>89271.54</v>
      </c>
      <c r="D44" s="163">
        <v>1167974.6399999999</v>
      </c>
      <c r="E44" s="34" t="s">
        <v>737</v>
      </c>
      <c r="F44" s="34" t="s">
        <v>725</v>
      </c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</row>
    <row r="45" spans="1:23" hidden="1" x14ac:dyDescent="0.2">
      <c r="A45" s="171">
        <v>44592</v>
      </c>
      <c r="B45" s="34" t="s">
        <v>713</v>
      </c>
      <c r="C45" s="163">
        <v>3834.85</v>
      </c>
      <c r="D45" s="163">
        <v>1180550.71</v>
      </c>
      <c r="E45" s="34"/>
      <c r="F45" s="34" t="s">
        <v>714</v>
      </c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</row>
    <row r="46" spans="1:23" hidden="1" x14ac:dyDescent="0.2">
      <c r="A46" s="171">
        <v>44592</v>
      </c>
      <c r="B46" s="34" t="s">
        <v>6</v>
      </c>
      <c r="C46" s="163">
        <v>8441.2199999999993</v>
      </c>
      <c r="D46" s="163">
        <v>1176715.8600000001</v>
      </c>
      <c r="E46" s="34"/>
      <c r="F46" s="34" t="s">
        <v>715</v>
      </c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</row>
    <row r="47" spans="1:23" hidden="1" x14ac:dyDescent="0.2">
      <c r="A47" s="171">
        <v>44620</v>
      </c>
      <c r="B47" s="34" t="s">
        <v>713</v>
      </c>
      <c r="C47" s="163">
        <v>3463.74</v>
      </c>
      <c r="D47" s="163">
        <v>1192119.82</v>
      </c>
      <c r="E47" s="34"/>
      <c r="F47" s="34" t="s">
        <v>714</v>
      </c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</row>
    <row r="48" spans="1:23" hidden="1" x14ac:dyDescent="0.2">
      <c r="A48" s="171">
        <v>44620</v>
      </c>
      <c r="B48" s="34" t="s">
        <v>6</v>
      </c>
      <c r="C48" s="163">
        <v>8105.37</v>
      </c>
      <c r="D48" s="163">
        <v>1188656.08</v>
      </c>
      <c r="E48" s="34"/>
      <c r="F48" s="34" t="s">
        <v>715</v>
      </c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</row>
    <row r="49" spans="1:23" hidden="1" x14ac:dyDescent="0.2">
      <c r="A49" s="171">
        <v>44637</v>
      </c>
      <c r="B49" s="34" t="s">
        <v>720</v>
      </c>
      <c r="C49" s="34">
        <v>300</v>
      </c>
      <c r="D49" s="163">
        <v>1254233.68</v>
      </c>
      <c r="E49" s="34" t="s">
        <v>736</v>
      </c>
      <c r="F49" s="34" t="s">
        <v>722</v>
      </c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</row>
    <row r="50" spans="1:23" hidden="1" x14ac:dyDescent="0.2">
      <c r="A50" s="171">
        <v>44637</v>
      </c>
      <c r="B50" s="34" t="s">
        <v>723</v>
      </c>
      <c r="C50" s="163">
        <v>61813.86</v>
      </c>
      <c r="D50" s="163">
        <v>1253933.68</v>
      </c>
      <c r="E50" s="34" t="s">
        <v>737</v>
      </c>
      <c r="F50" s="34" t="s">
        <v>725</v>
      </c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</row>
    <row r="51" spans="1:23" hidden="1" x14ac:dyDescent="0.2">
      <c r="A51" s="171">
        <v>44651</v>
      </c>
      <c r="B51" s="34" t="s">
        <v>713</v>
      </c>
      <c r="C51" s="163">
        <v>3834.85</v>
      </c>
      <c r="D51" s="163">
        <v>1267358.73</v>
      </c>
      <c r="E51" s="34"/>
      <c r="F51" s="34" t="s">
        <v>714</v>
      </c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</row>
    <row r="52" spans="1:23" hidden="1" x14ac:dyDescent="0.2">
      <c r="A52" s="171">
        <v>44651</v>
      </c>
      <c r="B52" s="34" t="s">
        <v>6</v>
      </c>
      <c r="C52" s="163">
        <v>9290.2000000000007</v>
      </c>
      <c r="D52" s="163">
        <v>1263523.8799999999</v>
      </c>
      <c r="E52" s="34"/>
      <c r="F52" s="34" t="s">
        <v>715</v>
      </c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</row>
    <row r="53" spans="1:23" hidden="1" x14ac:dyDescent="0.2">
      <c r="A53" s="171">
        <v>44681</v>
      </c>
      <c r="B53" s="34" t="s">
        <v>713</v>
      </c>
      <c r="C53" s="163">
        <v>3711.15</v>
      </c>
      <c r="D53" s="163">
        <v>1281642.78</v>
      </c>
      <c r="E53" s="34"/>
      <c r="F53" s="34" t="s">
        <v>714</v>
      </c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</row>
    <row r="54" spans="1:23" hidden="1" x14ac:dyDescent="0.2">
      <c r="A54" s="171">
        <v>44681</v>
      </c>
      <c r="B54" s="34" t="s">
        <v>6</v>
      </c>
      <c r="C54" s="163">
        <v>9322.9</v>
      </c>
      <c r="D54" s="163">
        <v>1277931.6299999999</v>
      </c>
      <c r="E54" s="34"/>
      <c r="F54" s="34" t="s">
        <v>715</v>
      </c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</row>
    <row r="55" spans="1:23" hidden="1" x14ac:dyDescent="0.2">
      <c r="A55" s="171">
        <v>44693</v>
      </c>
      <c r="B55" s="34" t="s">
        <v>716</v>
      </c>
      <c r="C55" s="163">
        <v>1250</v>
      </c>
      <c r="D55" s="163">
        <v>1268608.73</v>
      </c>
      <c r="E55" s="34" t="s">
        <v>735</v>
      </c>
      <c r="F55" s="34" t="s">
        <v>735</v>
      </c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</row>
    <row r="56" spans="1:23" hidden="1" x14ac:dyDescent="0.2">
      <c r="A56" s="171">
        <v>44712</v>
      </c>
      <c r="B56" s="34" t="s">
        <v>713</v>
      </c>
      <c r="C56" s="163">
        <v>3992.39</v>
      </c>
      <c r="D56" s="163">
        <v>1297462.47</v>
      </c>
      <c r="E56" s="34"/>
      <c r="F56" s="34" t="s">
        <v>714</v>
      </c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</row>
    <row r="57" spans="1:23" hidden="1" x14ac:dyDescent="0.2">
      <c r="A57" s="171">
        <v>44712</v>
      </c>
      <c r="B57" s="34" t="s">
        <v>6</v>
      </c>
      <c r="C57" s="163">
        <v>9739.3799999999992</v>
      </c>
      <c r="D57" s="163">
        <v>1293470.08</v>
      </c>
      <c r="E57" s="34"/>
      <c r="F57" s="34" t="s">
        <v>715</v>
      </c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</row>
    <row r="58" spans="1:23" hidden="1" x14ac:dyDescent="0.2">
      <c r="A58" s="171">
        <v>44712</v>
      </c>
      <c r="B58" s="34" t="s">
        <v>716</v>
      </c>
      <c r="C58" s="163">
        <v>2087.92</v>
      </c>
      <c r="D58" s="163">
        <v>1283730.7</v>
      </c>
      <c r="E58" s="34" t="s">
        <v>734</v>
      </c>
      <c r="F58" s="34" t="s">
        <v>718</v>
      </c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</row>
    <row r="59" spans="1:23" hidden="1" x14ac:dyDescent="0.2">
      <c r="A59" s="171">
        <v>44742</v>
      </c>
      <c r="B59" s="34" t="s">
        <v>713</v>
      </c>
      <c r="C59" s="163">
        <v>3916.63</v>
      </c>
      <c r="D59" s="163">
        <v>1312971.45</v>
      </c>
      <c r="E59" s="34"/>
      <c r="F59" s="34" t="s">
        <v>714</v>
      </c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</row>
    <row r="60" spans="1:23" hidden="1" x14ac:dyDescent="0.2">
      <c r="A60" s="171">
        <v>44742</v>
      </c>
      <c r="B60" s="34" t="s">
        <v>6</v>
      </c>
      <c r="C60" s="163">
        <v>9544.85</v>
      </c>
      <c r="D60" s="163">
        <v>1309054.82</v>
      </c>
      <c r="E60" s="34"/>
      <c r="F60" s="34" t="s">
        <v>715</v>
      </c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</row>
    <row r="61" spans="1:23" hidden="1" x14ac:dyDescent="0.2">
      <c r="A61" s="171">
        <v>44742</v>
      </c>
      <c r="B61" s="34" t="s">
        <v>716</v>
      </c>
      <c r="C61" s="163">
        <v>2047.5</v>
      </c>
      <c r="D61" s="163">
        <v>1299509.97</v>
      </c>
      <c r="E61" s="34" t="s">
        <v>733</v>
      </c>
      <c r="F61" s="34" t="s">
        <v>718</v>
      </c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</row>
    <row r="62" spans="1:23" hidden="1" x14ac:dyDescent="0.2">
      <c r="A62" s="171">
        <v>44771</v>
      </c>
      <c r="B62" s="34" t="s">
        <v>716</v>
      </c>
      <c r="C62" s="163">
        <v>2141.04</v>
      </c>
      <c r="D62" s="163">
        <v>1315112.49</v>
      </c>
      <c r="E62" s="34" t="s">
        <v>732</v>
      </c>
      <c r="F62" s="34" t="s">
        <v>718</v>
      </c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</row>
    <row r="63" spans="1:23" hidden="1" x14ac:dyDescent="0.2">
      <c r="A63" s="171">
        <v>44773</v>
      </c>
      <c r="B63" s="34" t="s">
        <v>713</v>
      </c>
      <c r="C63" s="163">
        <v>4047.18</v>
      </c>
      <c r="D63" s="163">
        <v>1329141.6299999999</v>
      </c>
      <c r="E63" s="34"/>
      <c r="F63" s="34" t="s">
        <v>714</v>
      </c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</row>
    <row r="64" spans="1:23" hidden="1" x14ac:dyDescent="0.2">
      <c r="A64" s="171">
        <v>44773</v>
      </c>
      <c r="B64" s="34" t="s">
        <v>6</v>
      </c>
      <c r="C64" s="163">
        <v>9981.9599999999991</v>
      </c>
      <c r="D64" s="163">
        <v>1325094.45</v>
      </c>
      <c r="E64" s="34"/>
      <c r="F64" s="34" t="s">
        <v>715</v>
      </c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</row>
    <row r="65" spans="1:23" hidden="1" x14ac:dyDescent="0.2">
      <c r="A65" s="171">
        <v>44804</v>
      </c>
      <c r="B65" s="34" t="s">
        <v>713</v>
      </c>
      <c r="C65" s="163">
        <v>4047.18</v>
      </c>
      <c r="D65" s="163">
        <v>1345460.05</v>
      </c>
      <c r="E65" s="34"/>
      <c r="F65" s="34" t="s">
        <v>714</v>
      </c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</row>
    <row r="66" spans="1:23" hidden="1" x14ac:dyDescent="0.2">
      <c r="A66" s="171">
        <v>44804</v>
      </c>
      <c r="B66" s="34" t="s">
        <v>6</v>
      </c>
      <c r="C66" s="163">
        <v>10103.83</v>
      </c>
      <c r="D66" s="163">
        <v>1341412.8700000001</v>
      </c>
      <c r="E66" s="34"/>
      <c r="F66" s="34" t="s">
        <v>715</v>
      </c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</row>
    <row r="67" spans="1:23" hidden="1" x14ac:dyDescent="0.2">
      <c r="A67" s="171">
        <v>44804</v>
      </c>
      <c r="B67" s="34" t="s">
        <v>716</v>
      </c>
      <c r="C67" s="163">
        <v>2167.41</v>
      </c>
      <c r="D67" s="163">
        <v>1331309.04</v>
      </c>
      <c r="E67" s="34" t="s">
        <v>731</v>
      </c>
      <c r="F67" s="34" t="s">
        <v>718</v>
      </c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</row>
    <row r="68" spans="1:23" hidden="1" x14ac:dyDescent="0.2">
      <c r="A68" s="171">
        <v>44834</v>
      </c>
      <c r="B68" s="34" t="s">
        <v>713</v>
      </c>
      <c r="C68" s="163">
        <v>3916.63</v>
      </c>
      <c r="D68" s="163">
        <v>1361397.88</v>
      </c>
      <c r="E68" s="34"/>
      <c r="F68" s="34" t="s">
        <v>714</v>
      </c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</row>
    <row r="69" spans="1:23" hidden="1" x14ac:dyDescent="0.2">
      <c r="A69" s="171">
        <v>44834</v>
      </c>
      <c r="B69" s="34" t="s">
        <v>6</v>
      </c>
      <c r="C69" s="163">
        <v>9897.9500000000007</v>
      </c>
      <c r="D69" s="163">
        <v>1357481.25</v>
      </c>
      <c r="E69" s="34"/>
      <c r="F69" s="34" t="s">
        <v>715</v>
      </c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</row>
    <row r="70" spans="1:23" hidden="1" x14ac:dyDescent="0.2">
      <c r="A70" s="171">
        <v>44834</v>
      </c>
      <c r="B70" s="34" t="s">
        <v>716</v>
      </c>
      <c r="C70" s="163">
        <v>2123.25</v>
      </c>
      <c r="D70" s="163">
        <v>1347583.3</v>
      </c>
      <c r="E70" s="34" t="s">
        <v>730</v>
      </c>
      <c r="F70" s="34" t="s">
        <v>718</v>
      </c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</row>
    <row r="71" spans="1:23" hidden="1" x14ac:dyDescent="0.2">
      <c r="A71" s="171">
        <v>44861</v>
      </c>
      <c r="B71" s="34" t="s">
        <v>720</v>
      </c>
      <c r="C71" s="34">
        <v>300</v>
      </c>
      <c r="D71" s="163">
        <v>1452685.91</v>
      </c>
      <c r="E71" s="34" t="s">
        <v>729</v>
      </c>
      <c r="F71" s="34" t="s">
        <v>722</v>
      </c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</row>
    <row r="72" spans="1:23" hidden="1" x14ac:dyDescent="0.2">
      <c r="A72" s="171">
        <v>44861</v>
      </c>
      <c r="B72" s="34" t="s">
        <v>723</v>
      </c>
      <c r="C72" s="163">
        <v>90988.03</v>
      </c>
      <c r="D72" s="163">
        <v>1452385.91</v>
      </c>
      <c r="E72" s="34" t="s">
        <v>724</v>
      </c>
      <c r="F72" s="34" t="s">
        <v>725</v>
      </c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</row>
    <row r="73" spans="1:23" hidden="1" x14ac:dyDescent="0.2">
      <c r="A73" s="171">
        <v>44865</v>
      </c>
      <c r="B73" s="34" t="s">
        <v>713</v>
      </c>
      <c r="C73" s="163">
        <v>4047.18</v>
      </c>
      <c r="D73" s="163">
        <v>1469414.05</v>
      </c>
      <c r="E73" s="34"/>
      <c r="F73" s="34" t="s">
        <v>714</v>
      </c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</row>
    <row r="74" spans="1:23" hidden="1" x14ac:dyDescent="0.2">
      <c r="A74" s="171">
        <v>44865</v>
      </c>
      <c r="B74" s="34" t="s">
        <v>6</v>
      </c>
      <c r="C74" s="163">
        <v>10460.950000000001</v>
      </c>
      <c r="D74" s="163">
        <v>1465366.87</v>
      </c>
      <c r="E74" s="34"/>
      <c r="F74" s="34" t="s">
        <v>715</v>
      </c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</row>
    <row r="75" spans="1:23" hidden="1" x14ac:dyDescent="0.2">
      <c r="A75" s="171">
        <v>44865</v>
      </c>
      <c r="B75" s="34" t="s">
        <v>716</v>
      </c>
      <c r="C75" s="163">
        <v>2220.0100000000002</v>
      </c>
      <c r="D75" s="163">
        <v>1454905.92</v>
      </c>
      <c r="E75" s="34" t="s">
        <v>728</v>
      </c>
      <c r="F75" s="34" t="s">
        <v>718</v>
      </c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</row>
    <row r="76" spans="1:23" hidden="1" x14ac:dyDescent="0.2">
      <c r="A76" s="171">
        <v>44882</v>
      </c>
      <c r="B76" s="34" t="s">
        <v>720</v>
      </c>
      <c r="C76" s="34">
        <v>300</v>
      </c>
      <c r="D76" s="163">
        <v>1532630.46</v>
      </c>
      <c r="E76" s="34" t="s">
        <v>727</v>
      </c>
      <c r="F76" s="34" t="s">
        <v>722</v>
      </c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</row>
    <row r="77" spans="1:23" hidden="1" x14ac:dyDescent="0.2">
      <c r="A77" s="171">
        <v>44882</v>
      </c>
      <c r="B77" s="34" t="s">
        <v>505</v>
      </c>
      <c r="C77" s="163">
        <v>6116.41</v>
      </c>
      <c r="D77" s="163">
        <v>1532330.46</v>
      </c>
      <c r="E77" s="34" t="s">
        <v>724</v>
      </c>
      <c r="F77" s="34" t="s">
        <v>505</v>
      </c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</row>
    <row r="78" spans="1:23" hidden="1" x14ac:dyDescent="0.2">
      <c r="A78" s="171">
        <v>44882</v>
      </c>
      <c r="B78" s="34" t="s">
        <v>723</v>
      </c>
      <c r="C78" s="163">
        <v>56800</v>
      </c>
      <c r="D78" s="163">
        <v>1526214.05</v>
      </c>
      <c r="E78" s="34" t="s">
        <v>724</v>
      </c>
      <c r="F78" s="34" t="s">
        <v>725</v>
      </c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</row>
    <row r="79" spans="1:23" hidden="1" x14ac:dyDescent="0.2">
      <c r="A79" s="171">
        <v>44895</v>
      </c>
      <c r="B79" s="34" t="s">
        <v>713</v>
      </c>
      <c r="C79" s="163">
        <v>3916.63</v>
      </c>
      <c r="D79" s="163">
        <v>1549892.78</v>
      </c>
      <c r="E79" s="34"/>
      <c r="F79" s="34" t="s">
        <v>714</v>
      </c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</row>
    <row r="80" spans="1:23" hidden="1" x14ac:dyDescent="0.2">
      <c r="A80" s="171">
        <v>44895</v>
      </c>
      <c r="B80" s="34" t="s">
        <v>6</v>
      </c>
      <c r="C80" s="163">
        <v>11026.83</v>
      </c>
      <c r="D80" s="163">
        <v>1545976.15</v>
      </c>
      <c r="E80" s="34"/>
      <c r="F80" s="34" t="s">
        <v>715</v>
      </c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</row>
    <row r="81" spans="1:23" hidden="1" x14ac:dyDescent="0.2">
      <c r="A81" s="171">
        <v>44895</v>
      </c>
      <c r="B81" s="34" t="s">
        <v>716</v>
      </c>
      <c r="C81" s="163">
        <v>2318.86</v>
      </c>
      <c r="D81" s="163">
        <v>1534949.32</v>
      </c>
      <c r="E81" s="34" t="s">
        <v>726</v>
      </c>
      <c r="F81" s="34" t="s">
        <v>718</v>
      </c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</row>
    <row r="82" spans="1:23" hidden="1" x14ac:dyDescent="0.2">
      <c r="A82" s="171">
        <v>44917</v>
      </c>
      <c r="B82" s="34" t="s">
        <v>720</v>
      </c>
      <c r="C82" s="34">
        <v>300</v>
      </c>
      <c r="D82" s="163">
        <v>1589692.78</v>
      </c>
      <c r="E82" s="34" t="s">
        <v>721</v>
      </c>
      <c r="F82" s="34" t="s">
        <v>722</v>
      </c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</row>
    <row r="83" spans="1:23" hidden="1" x14ac:dyDescent="0.2">
      <c r="A83" s="171">
        <v>44917</v>
      </c>
      <c r="B83" s="34" t="s">
        <v>723</v>
      </c>
      <c r="C83" s="163">
        <v>39500</v>
      </c>
      <c r="D83" s="163">
        <v>1589392.78</v>
      </c>
      <c r="E83" s="34" t="s">
        <v>724</v>
      </c>
      <c r="F83" s="34" t="s">
        <v>725</v>
      </c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</row>
    <row r="84" spans="1:23" hidden="1" x14ac:dyDescent="0.2">
      <c r="A84" s="171">
        <v>44925</v>
      </c>
      <c r="B84" s="34" t="s">
        <v>716</v>
      </c>
      <c r="C84" s="163">
        <v>2527.39</v>
      </c>
      <c r="D84" s="163">
        <v>1592220.17</v>
      </c>
      <c r="E84" s="34" t="s">
        <v>719</v>
      </c>
      <c r="F84" s="34" t="s">
        <v>718</v>
      </c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</row>
    <row r="85" spans="1:23" hidden="1" x14ac:dyDescent="0.2">
      <c r="A85" s="171">
        <v>44926</v>
      </c>
      <c r="B85" s="34" t="s">
        <v>713</v>
      </c>
      <c r="C85" s="163">
        <v>4047.18</v>
      </c>
      <c r="D85" s="163">
        <v>1608147.49</v>
      </c>
      <c r="E85" s="34"/>
      <c r="F85" s="34" t="s">
        <v>714</v>
      </c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</row>
    <row r="86" spans="1:23" hidden="1" x14ac:dyDescent="0.2">
      <c r="A86" s="171">
        <v>44926</v>
      </c>
      <c r="B86" s="34" t="s">
        <v>6</v>
      </c>
      <c r="C86" s="163">
        <v>11880.14</v>
      </c>
      <c r="D86" s="163">
        <v>1604100.31</v>
      </c>
      <c r="E86" s="34"/>
      <c r="F86" s="34" t="s">
        <v>715</v>
      </c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</row>
    <row r="87" spans="1:23" hidden="1" x14ac:dyDescent="0.2">
      <c r="A87" s="171">
        <v>44957</v>
      </c>
      <c r="B87" s="34" t="s">
        <v>713</v>
      </c>
      <c r="C87" s="163">
        <v>4047.18</v>
      </c>
      <c r="D87" s="163">
        <v>1627041.82</v>
      </c>
      <c r="E87" s="34"/>
      <c r="F87" s="34" t="s">
        <v>714</v>
      </c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</row>
    <row r="88" spans="1:23" hidden="1" x14ac:dyDescent="0.2">
      <c r="A88" s="171">
        <v>44957</v>
      </c>
      <c r="B88" s="34" t="s">
        <v>6</v>
      </c>
      <c r="C88" s="163">
        <v>12224.77</v>
      </c>
      <c r="D88" s="163">
        <v>1622994.64</v>
      </c>
      <c r="E88" s="34"/>
      <c r="F88" s="34" t="s">
        <v>715</v>
      </c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</row>
    <row r="89" spans="1:23" hidden="1" x14ac:dyDescent="0.2">
      <c r="A89" s="171">
        <v>44957</v>
      </c>
      <c r="B89" s="34" t="s">
        <v>716</v>
      </c>
      <c r="C89" s="163">
        <v>2622.38</v>
      </c>
      <c r="D89" s="163">
        <v>1610769.87</v>
      </c>
      <c r="E89" s="34" t="s">
        <v>717</v>
      </c>
      <c r="F89" s="34" t="s">
        <v>718</v>
      </c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</row>
    <row r="90" spans="1:23" hidden="1" x14ac:dyDescent="0.2">
      <c r="A90" s="171">
        <v>44977</v>
      </c>
      <c r="B90" s="34" t="s">
        <v>720</v>
      </c>
      <c r="C90" s="163">
        <v>300</v>
      </c>
      <c r="D90" s="163">
        <v>1685161.45</v>
      </c>
      <c r="E90" s="34" t="s">
        <v>785</v>
      </c>
      <c r="F90" s="34" t="s">
        <v>786</v>
      </c>
      <c r="G90" s="171"/>
      <c r="H90" s="34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</row>
    <row r="91" spans="1:23" hidden="1" x14ac:dyDescent="0.2">
      <c r="A91" s="171">
        <v>44977</v>
      </c>
      <c r="B91" s="34" t="s">
        <v>723</v>
      </c>
      <c r="C91" s="163">
        <v>57819.63</v>
      </c>
      <c r="D91" s="163">
        <v>1684861.45</v>
      </c>
      <c r="E91" s="34" t="s">
        <v>724</v>
      </c>
      <c r="F91" s="34" t="s">
        <v>787</v>
      </c>
      <c r="G91" s="171"/>
      <c r="H91" s="34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</row>
    <row r="92" spans="1:23" hidden="1" x14ac:dyDescent="0.2">
      <c r="A92" s="171">
        <v>44985</v>
      </c>
      <c r="B92" s="34" t="s">
        <v>713</v>
      </c>
      <c r="C92" s="163">
        <v>3655.52</v>
      </c>
      <c r="D92" s="163">
        <v>1702612.99</v>
      </c>
      <c r="E92" s="34"/>
      <c r="F92" s="34"/>
      <c r="G92" s="171"/>
      <c r="H92" s="34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</row>
    <row r="93" spans="1:23" hidden="1" x14ac:dyDescent="0.2">
      <c r="A93" s="171">
        <v>44985</v>
      </c>
      <c r="B93" s="34" t="s">
        <v>6</v>
      </c>
      <c r="C93" s="163">
        <v>11299.74</v>
      </c>
      <c r="D93" s="163">
        <v>1698957.47</v>
      </c>
      <c r="E93" s="34"/>
      <c r="F93" s="34"/>
      <c r="G93" s="171"/>
      <c r="H93" s="34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</row>
    <row r="94" spans="1:23" hidden="1" x14ac:dyDescent="0.2">
      <c r="A94" s="171">
        <v>44985</v>
      </c>
      <c r="B94" s="34" t="s">
        <v>718</v>
      </c>
      <c r="C94" s="163">
        <v>2496.2800000000002</v>
      </c>
      <c r="D94" s="163">
        <v>1687657.73</v>
      </c>
      <c r="E94" s="34" t="s">
        <v>783</v>
      </c>
      <c r="F94" s="34" t="s">
        <v>784</v>
      </c>
      <c r="G94" s="171"/>
      <c r="H94" s="34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</row>
    <row r="95" spans="1:23" hidden="1" x14ac:dyDescent="0.2">
      <c r="A95" s="171">
        <v>45014</v>
      </c>
      <c r="B95" s="34" t="s">
        <v>720</v>
      </c>
      <c r="C95" s="163">
        <v>300</v>
      </c>
      <c r="D95" s="163">
        <v>1760212.99</v>
      </c>
      <c r="E95" s="34" t="s">
        <v>780</v>
      </c>
      <c r="F95" s="34" t="s">
        <v>781</v>
      </c>
      <c r="G95" s="171"/>
      <c r="H95" s="34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</row>
    <row r="96" spans="1:23" hidden="1" x14ac:dyDescent="0.2">
      <c r="A96" s="171">
        <v>45014</v>
      </c>
      <c r="B96" s="34" t="s">
        <v>723</v>
      </c>
      <c r="C96" s="163">
        <v>57300</v>
      </c>
      <c r="D96" s="163">
        <v>1759912.99</v>
      </c>
      <c r="E96" s="34" t="s">
        <v>724</v>
      </c>
      <c r="F96" s="34" t="s">
        <v>782</v>
      </c>
      <c r="G96" s="171"/>
      <c r="H96" s="34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</row>
    <row r="97" spans="1:23" hidden="1" x14ac:dyDescent="0.2">
      <c r="A97" s="171">
        <v>45016</v>
      </c>
      <c r="B97" s="34" t="s">
        <v>713</v>
      </c>
      <c r="C97" s="163">
        <v>4047.18</v>
      </c>
      <c r="D97" s="163">
        <v>1780137.55</v>
      </c>
      <c r="E97" s="34"/>
      <c r="F97" s="34"/>
      <c r="G97" s="171"/>
      <c r="H97" s="34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</row>
    <row r="98" spans="1:23" hidden="1" x14ac:dyDescent="0.2">
      <c r="A98" s="171">
        <v>45016</v>
      </c>
      <c r="B98" s="34" t="s">
        <v>6</v>
      </c>
      <c r="C98" s="163">
        <v>12985.27</v>
      </c>
      <c r="D98" s="163">
        <v>1776090.37</v>
      </c>
      <c r="E98" s="34"/>
      <c r="F98" s="34"/>
      <c r="G98" s="171"/>
      <c r="H98" s="34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</row>
    <row r="99" spans="1:23" hidden="1" x14ac:dyDescent="0.2">
      <c r="A99" s="171">
        <v>45016</v>
      </c>
      <c r="B99" s="34" t="s">
        <v>718</v>
      </c>
      <c r="C99" s="163">
        <v>2892.11</v>
      </c>
      <c r="D99" s="163">
        <v>1763105.1</v>
      </c>
      <c r="E99" s="34" t="s">
        <v>778</v>
      </c>
      <c r="F99" s="34" t="s">
        <v>779</v>
      </c>
      <c r="G99" s="171"/>
      <c r="H99" s="34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</row>
    <row r="100" spans="1:23" hidden="1" x14ac:dyDescent="0.2">
      <c r="A100" s="171">
        <v>45044</v>
      </c>
      <c r="B100" s="34" t="s">
        <v>718</v>
      </c>
      <c r="C100" s="163">
        <v>2926.25</v>
      </c>
      <c r="D100" s="163">
        <v>1783063.8</v>
      </c>
      <c r="E100" s="34" t="s">
        <v>776</v>
      </c>
      <c r="F100" s="34" t="s">
        <v>777</v>
      </c>
      <c r="G100" s="171"/>
      <c r="H100" s="34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</row>
    <row r="101" spans="1:23" hidden="1" x14ac:dyDescent="0.2">
      <c r="A101" s="171">
        <v>45046</v>
      </c>
      <c r="B101" s="34" t="s">
        <v>713</v>
      </c>
      <c r="C101" s="163">
        <v>3916.63</v>
      </c>
      <c r="D101" s="163">
        <v>1800882.42</v>
      </c>
      <c r="E101" s="34"/>
      <c r="F101" s="34"/>
      <c r="G101" s="171"/>
      <c r="H101" s="34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</row>
    <row r="102" spans="1:23" hidden="1" x14ac:dyDescent="0.2">
      <c r="A102" s="171">
        <v>45046</v>
      </c>
      <c r="B102" s="34" t="s">
        <v>6</v>
      </c>
      <c r="C102" s="163">
        <v>13901.99</v>
      </c>
      <c r="D102" s="163">
        <v>1796965.79</v>
      </c>
      <c r="E102" s="34"/>
      <c r="F102" s="34"/>
      <c r="G102" s="171"/>
      <c r="H102" s="34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</row>
    <row r="103" spans="1:23" hidden="1" x14ac:dyDescent="0.2">
      <c r="A103" s="171">
        <v>45050</v>
      </c>
      <c r="B103" s="34" t="s">
        <v>720</v>
      </c>
      <c r="C103" s="163">
        <v>300</v>
      </c>
      <c r="D103" s="163">
        <v>1902227.42</v>
      </c>
      <c r="E103" s="34" t="s">
        <v>771</v>
      </c>
      <c r="F103" s="34" t="s">
        <v>772</v>
      </c>
      <c r="G103" s="171"/>
      <c r="H103" s="34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</row>
    <row r="104" spans="1:23" hidden="1" x14ac:dyDescent="0.2">
      <c r="A104" s="171">
        <v>45050</v>
      </c>
      <c r="B104" s="34" t="s">
        <v>723</v>
      </c>
      <c r="C104" s="163">
        <v>96095</v>
      </c>
      <c r="D104" s="163">
        <v>1901927.42</v>
      </c>
      <c r="E104" s="34" t="s">
        <v>724</v>
      </c>
      <c r="F104" s="34" t="s">
        <v>773</v>
      </c>
      <c r="G104" s="171"/>
      <c r="H104" s="34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</row>
    <row r="105" spans="1:23" hidden="1" x14ac:dyDescent="0.2">
      <c r="A105" s="171">
        <v>45050</v>
      </c>
      <c r="B105" s="34" t="s">
        <v>757</v>
      </c>
      <c r="C105" s="163">
        <v>4950</v>
      </c>
      <c r="D105" s="163">
        <v>1805832.42</v>
      </c>
      <c r="E105" s="34" t="s">
        <v>774</v>
      </c>
      <c r="F105" s="34" t="s">
        <v>775</v>
      </c>
      <c r="G105" s="171"/>
      <c r="H105" s="34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</row>
    <row r="106" spans="1:23" hidden="1" x14ac:dyDescent="0.2">
      <c r="A106" s="171">
        <v>45077</v>
      </c>
      <c r="B106" s="34" t="s">
        <v>713</v>
      </c>
      <c r="C106" s="163">
        <v>4047.18</v>
      </c>
      <c r="D106" s="163">
        <v>1924603.4</v>
      </c>
      <c r="E106" s="34"/>
      <c r="F106" s="34"/>
      <c r="G106" s="171"/>
      <c r="H106" s="34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</row>
    <row r="107" spans="1:23" hidden="1" x14ac:dyDescent="0.2">
      <c r="A107" s="171">
        <v>45077</v>
      </c>
      <c r="B107" s="34" t="s">
        <v>6</v>
      </c>
      <c r="C107" s="163">
        <v>15269.77</v>
      </c>
      <c r="D107" s="163">
        <v>1920556.22</v>
      </c>
      <c r="E107" s="34"/>
      <c r="F107" s="34"/>
      <c r="G107" s="171"/>
      <c r="H107" s="34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</row>
    <row r="108" spans="1:23" hidden="1" x14ac:dyDescent="0.2">
      <c r="A108" s="171">
        <v>45077</v>
      </c>
      <c r="B108" s="34" t="s">
        <v>718</v>
      </c>
      <c r="C108" s="163">
        <v>3059.03</v>
      </c>
      <c r="D108" s="163">
        <v>1905286.45</v>
      </c>
      <c r="E108" s="34" t="s">
        <v>769</v>
      </c>
      <c r="F108" s="34" t="s">
        <v>770</v>
      </c>
      <c r="G108" s="171"/>
      <c r="H108" s="34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</row>
    <row r="109" spans="1:23" hidden="1" x14ac:dyDescent="0.2">
      <c r="A109" s="171">
        <v>45093</v>
      </c>
      <c r="B109" s="34" t="s">
        <v>720</v>
      </c>
      <c r="C109" s="163">
        <v>300</v>
      </c>
      <c r="D109" s="163">
        <v>1987464.84</v>
      </c>
      <c r="E109" s="34" t="s">
        <v>766</v>
      </c>
      <c r="F109" s="34" t="s">
        <v>767</v>
      </c>
      <c r="G109" s="171"/>
      <c r="H109" s="34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</row>
    <row r="110" spans="1:23" hidden="1" x14ac:dyDescent="0.2">
      <c r="A110" s="171">
        <v>45093</v>
      </c>
      <c r="B110" s="34" t="s">
        <v>723</v>
      </c>
      <c r="C110" s="163">
        <v>62561.440000000002</v>
      </c>
      <c r="D110" s="163">
        <v>1987164.84</v>
      </c>
      <c r="E110" s="34" t="s">
        <v>724</v>
      </c>
      <c r="F110" s="34" t="s">
        <v>768</v>
      </c>
      <c r="G110" s="171"/>
      <c r="H110" s="34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</row>
    <row r="111" spans="1:23" hidden="1" x14ac:dyDescent="0.2">
      <c r="A111" s="171">
        <v>45107</v>
      </c>
      <c r="B111" s="34" t="s">
        <v>713</v>
      </c>
      <c r="C111" s="163">
        <v>3916.63</v>
      </c>
      <c r="D111" s="163">
        <v>2009819.17</v>
      </c>
      <c r="E111" s="34"/>
      <c r="F111" s="34"/>
      <c r="G111" s="171"/>
      <c r="H111" s="34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</row>
    <row r="112" spans="1:23" hidden="1" x14ac:dyDescent="0.2">
      <c r="A112" s="171">
        <v>45107</v>
      </c>
      <c r="B112" s="34" t="s">
        <v>6</v>
      </c>
      <c r="C112" s="163">
        <v>15273.97</v>
      </c>
      <c r="D112" s="163">
        <v>2005902.54</v>
      </c>
      <c r="E112" s="34"/>
      <c r="F112" s="34"/>
      <c r="G112" s="171"/>
      <c r="H112" s="34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</row>
    <row r="113" spans="1:23" hidden="1" x14ac:dyDescent="0.2">
      <c r="A113" s="171">
        <v>45107</v>
      </c>
      <c r="B113" s="34" t="s">
        <v>718</v>
      </c>
      <c r="C113" s="163">
        <v>3163.73</v>
      </c>
      <c r="D113" s="163">
        <v>1990628.57</v>
      </c>
      <c r="E113" s="34" t="s">
        <v>764</v>
      </c>
      <c r="F113" s="34" t="s">
        <v>765</v>
      </c>
      <c r="G113" s="171"/>
      <c r="H113" s="34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</row>
    <row r="114" spans="1:23" x14ac:dyDescent="0.2">
      <c r="A114" s="171"/>
      <c r="B114" s="34"/>
      <c r="C114" s="163"/>
      <c r="D114" s="163"/>
      <c r="E114" s="34"/>
      <c r="F114" s="34"/>
      <c r="G114" s="171"/>
      <c r="H114" s="34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</row>
    <row r="115" spans="1:23" x14ac:dyDescent="0.2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</row>
    <row r="116" spans="1:23" x14ac:dyDescent="0.2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</row>
    <row r="117" spans="1:23" x14ac:dyDescent="0.2">
      <c r="A117" s="170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</row>
    <row r="118" spans="1:23" x14ac:dyDescent="0.2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</row>
    <row r="119" spans="1:23" x14ac:dyDescent="0.2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</row>
    <row r="120" spans="1:23" x14ac:dyDescent="0.2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</row>
    <row r="121" spans="1:23" x14ac:dyDescent="0.2">
      <c r="A121" s="34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</row>
    <row r="122" spans="1:23" x14ac:dyDescent="0.2">
      <c r="A122" s="34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</row>
    <row r="123" spans="1:23" x14ac:dyDescent="0.2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</row>
    <row r="124" spans="1:23" x14ac:dyDescent="0.2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</row>
    <row r="125" spans="1:23" x14ac:dyDescent="0.2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</row>
    <row r="126" spans="1:23" x14ac:dyDescent="0.2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</row>
    <row r="127" spans="1:23" x14ac:dyDescent="0.2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</row>
    <row r="128" spans="1:23" x14ac:dyDescent="0.2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</row>
    <row r="129" spans="1:23" x14ac:dyDescent="0.2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</row>
    <row r="130" spans="1:23" x14ac:dyDescent="0.2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</row>
    <row r="131" spans="1:23" x14ac:dyDescent="0.2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</row>
    <row r="132" spans="1:23" x14ac:dyDescent="0.2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</row>
    <row r="133" spans="1:23" x14ac:dyDescent="0.2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</row>
    <row r="134" spans="1:23" x14ac:dyDescent="0.2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</row>
    <row r="135" spans="1:23" x14ac:dyDescent="0.2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</row>
    <row r="136" spans="1:23" x14ac:dyDescent="0.2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</row>
    <row r="137" spans="1:23" x14ac:dyDescent="0.2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</row>
    <row r="138" spans="1:23" x14ac:dyDescent="0.2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</row>
    <row r="139" spans="1:23" x14ac:dyDescent="0.2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</row>
    <row r="140" spans="1:23" x14ac:dyDescent="0.2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</row>
    <row r="141" spans="1:23" x14ac:dyDescent="0.2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</row>
    <row r="142" spans="1:23" x14ac:dyDescent="0.2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</row>
    <row r="143" spans="1:23" x14ac:dyDescent="0.2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</row>
    <row r="144" spans="1:23" x14ac:dyDescent="0.2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</row>
    <row r="145" spans="1:23" x14ac:dyDescent="0.2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</row>
    <row r="146" spans="1:23" x14ac:dyDescent="0.2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</row>
    <row r="147" spans="1:23" x14ac:dyDescent="0.2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</row>
    <row r="148" spans="1:23" x14ac:dyDescent="0.2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</row>
    <row r="149" spans="1:23" x14ac:dyDescent="0.2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</row>
    <row r="150" spans="1:23" x14ac:dyDescent="0.2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</row>
    <row r="151" spans="1:23" x14ac:dyDescent="0.2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</row>
    <row r="152" spans="1:23" x14ac:dyDescent="0.2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</row>
    <row r="153" spans="1:23" x14ac:dyDescent="0.2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</row>
    <row r="154" spans="1:23" x14ac:dyDescent="0.2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</row>
    <row r="155" spans="1:23" x14ac:dyDescent="0.2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</row>
    <row r="156" spans="1:23" x14ac:dyDescent="0.2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</row>
    <row r="157" spans="1:23" x14ac:dyDescent="0.2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</row>
    <row r="158" spans="1:23" x14ac:dyDescent="0.2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</row>
    <row r="159" spans="1:23" x14ac:dyDescent="0.2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</row>
    <row r="160" spans="1:23" x14ac:dyDescent="0.2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</row>
    <row r="161" spans="1:23" x14ac:dyDescent="0.2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</row>
    <row r="162" spans="1:23" x14ac:dyDescent="0.2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</row>
    <row r="163" spans="1:23" x14ac:dyDescent="0.2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</row>
    <row r="164" spans="1:23" x14ac:dyDescent="0.2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</row>
    <row r="165" spans="1:23" x14ac:dyDescent="0.2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</row>
    <row r="166" spans="1:23" x14ac:dyDescent="0.2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</row>
    <row r="167" spans="1:23" x14ac:dyDescent="0.2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</row>
    <row r="168" spans="1:23" x14ac:dyDescent="0.2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</row>
    <row r="169" spans="1:23" x14ac:dyDescent="0.2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</row>
    <row r="170" spans="1:23" x14ac:dyDescent="0.2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</row>
    <row r="171" spans="1:23" x14ac:dyDescent="0.2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</row>
    <row r="172" spans="1:23" x14ac:dyDescent="0.2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</row>
    <row r="173" spans="1:23" x14ac:dyDescent="0.2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</row>
    <row r="174" spans="1:23" x14ac:dyDescent="0.2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</row>
    <row r="175" spans="1:23" x14ac:dyDescent="0.2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</row>
    <row r="176" spans="1:23" x14ac:dyDescent="0.2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</row>
    <row r="177" spans="1:23" x14ac:dyDescent="0.2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</row>
    <row r="178" spans="1:23" x14ac:dyDescent="0.2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</row>
    <row r="179" spans="1:23" x14ac:dyDescent="0.2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</row>
    <row r="180" spans="1:23" x14ac:dyDescent="0.2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</row>
    <row r="181" spans="1:23" x14ac:dyDescent="0.2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</row>
    <row r="182" spans="1:23" x14ac:dyDescent="0.2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</row>
    <row r="183" spans="1:23" x14ac:dyDescent="0.2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</row>
    <row r="184" spans="1:23" x14ac:dyDescent="0.2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</row>
    <row r="185" spans="1:23" x14ac:dyDescent="0.2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</row>
    <row r="186" spans="1:23" x14ac:dyDescent="0.2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</row>
    <row r="187" spans="1:23" x14ac:dyDescent="0.2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</row>
    <row r="188" spans="1:23" x14ac:dyDescent="0.2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</row>
    <row r="189" spans="1:23" x14ac:dyDescent="0.2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</row>
    <row r="190" spans="1:23" x14ac:dyDescent="0.2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</row>
    <row r="191" spans="1:23" x14ac:dyDescent="0.2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</row>
    <row r="192" spans="1:23" x14ac:dyDescent="0.2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</row>
    <row r="193" spans="1:23" x14ac:dyDescent="0.2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</row>
    <row r="194" spans="1:23" x14ac:dyDescent="0.2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</row>
    <row r="195" spans="1:23" x14ac:dyDescent="0.2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</row>
    <row r="196" spans="1:23" x14ac:dyDescent="0.2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</row>
    <row r="197" spans="1:23" x14ac:dyDescent="0.2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</row>
    <row r="198" spans="1:23" x14ac:dyDescent="0.2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</row>
    <row r="199" spans="1:23" x14ac:dyDescent="0.2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</row>
    <row r="200" spans="1:23" x14ac:dyDescent="0.2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</row>
    <row r="201" spans="1:23" x14ac:dyDescent="0.2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</row>
    <row r="202" spans="1:23" x14ac:dyDescent="0.2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</row>
    <row r="203" spans="1:23" x14ac:dyDescent="0.2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</row>
    <row r="204" spans="1:23" x14ac:dyDescent="0.2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</row>
    <row r="205" spans="1:23" x14ac:dyDescent="0.2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</row>
    <row r="206" spans="1:23" x14ac:dyDescent="0.2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</row>
    <row r="207" spans="1:23" x14ac:dyDescent="0.2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</row>
    <row r="208" spans="1:23" x14ac:dyDescent="0.2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</row>
    <row r="209" spans="1:23" x14ac:dyDescent="0.2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</row>
    <row r="210" spans="1:23" x14ac:dyDescent="0.2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</row>
    <row r="211" spans="1:23" x14ac:dyDescent="0.2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</row>
    <row r="212" spans="1:23" x14ac:dyDescent="0.2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</row>
    <row r="213" spans="1:23" x14ac:dyDescent="0.2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</row>
    <row r="214" spans="1:23" x14ac:dyDescent="0.2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</row>
    <row r="215" spans="1:23" x14ac:dyDescent="0.2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</row>
    <row r="216" spans="1:23" x14ac:dyDescent="0.2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</row>
    <row r="217" spans="1:23" x14ac:dyDescent="0.2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</row>
    <row r="218" spans="1:23" x14ac:dyDescent="0.2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</row>
    <row r="219" spans="1:23" x14ac:dyDescent="0.2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</row>
    <row r="220" spans="1:23" x14ac:dyDescent="0.2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</row>
    <row r="221" spans="1:23" x14ac:dyDescent="0.2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</row>
    <row r="222" spans="1:23" x14ac:dyDescent="0.2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</row>
    <row r="223" spans="1:23" x14ac:dyDescent="0.2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</row>
    <row r="224" spans="1:23" x14ac:dyDescent="0.2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</row>
    <row r="225" spans="1:23" x14ac:dyDescent="0.2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</row>
    <row r="226" spans="1:23" x14ac:dyDescent="0.2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</row>
    <row r="227" spans="1:23" x14ac:dyDescent="0.2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</row>
    <row r="228" spans="1:23" x14ac:dyDescent="0.2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</row>
    <row r="229" spans="1:23" x14ac:dyDescent="0.2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</row>
    <row r="230" spans="1:23" x14ac:dyDescent="0.2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</row>
    <row r="231" spans="1:23" x14ac:dyDescent="0.2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</row>
    <row r="232" spans="1:23" x14ac:dyDescent="0.2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</row>
    <row r="233" spans="1:23" x14ac:dyDescent="0.2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</row>
    <row r="234" spans="1:23" x14ac:dyDescent="0.2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</row>
    <row r="235" spans="1:23" x14ac:dyDescent="0.2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</row>
    <row r="236" spans="1:23" x14ac:dyDescent="0.2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</row>
    <row r="237" spans="1:23" x14ac:dyDescent="0.2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</row>
    <row r="238" spans="1:23" x14ac:dyDescent="0.2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</row>
    <row r="239" spans="1:23" x14ac:dyDescent="0.2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</row>
    <row r="240" spans="1:23" x14ac:dyDescent="0.2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</row>
    <row r="241" spans="1:23" x14ac:dyDescent="0.2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</row>
    <row r="242" spans="1:23" x14ac:dyDescent="0.2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</row>
    <row r="243" spans="1:23" x14ac:dyDescent="0.2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</row>
    <row r="244" spans="1:23" x14ac:dyDescent="0.2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</row>
    <row r="245" spans="1:23" x14ac:dyDescent="0.2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</row>
    <row r="246" spans="1:23" x14ac:dyDescent="0.2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</row>
    <row r="247" spans="1:23" x14ac:dyDescent="0.2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</row>
    <row r="248" spans="1:23" x14ac:dyDescent="0.2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</row>
    <row r="249" spans="1:23" x14ac:dyDescent="0.2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</row>
    <row r="250" spans="1:23" x14ac:dyDescent="0.2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</row>
    <row r="251" spans="1:23" x14ac:dyDescent="0.2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</row>
    <row r="252" spans="1:23" x14ac:dyDescent="0.2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</row>
    <row r="253" spans="1:23" x14ac:dyDescent="0.2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</row>
    <row r="254" spans="1:23" x14ac:dyDescent="0.2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</row>
    <row r="255" spans="1:23" x14ac:dyDescent="0.2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</row>
    <row r="256" spans="1:23" x14ac:dyDescent="0.2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</row>
    <row r="257" spans="1:23" x14ac:dyDescent="0.2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</row>
    <row r="258" spans="1:23" x14ac:dyDescent="0.2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</row>
    <row r="259" spans="1:23" x14ac:dyDescent="0.2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</row>
    <row r="260" spans="1:23" x14ac:dyDescent="0.2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</row>
    <row r="261" spans="1:23" x14ac:dyDescent="0.2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</row>
    <row r="262" spans="1:23" x14ac:dyDescent="0.2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</row>
    <row r="263" spans="1:23" x14ac:dyDescent="0.2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</row>
    <row r="264" spans="1:23" x14ac:dyDescent="0.2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</row>
    <row r="265" spans="1:23" x14ac:dyDescent="0.2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</row>
    <row r="266" spans="1:23" x14ac:dyDescent="0.2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</row>
    <row r="267" spans="1:23" x14ac:dyDescent="0.2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</row>
    <row r="268" spans="1:23" x14ac:dyDescent="0.2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</row>
    <row r="269" spans="1:23" x14ac:dyDescent="0.2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</row>
    <row r="270" spans="1:23" x14ac:dyDescent="0.2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</row>
    <row r="271" spans="1:23" x14ac:dyDescent="0.2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</row>
    <row r="272" spans="1:23" x14ac:dyDescent="0.2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</row>
    <row r="273" spans="1:23" x14ac:dyDescent="0.2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</row>
    <row r="274" spans="1:23" x14ac:dyDescent="0.2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</row>
    <row r="275" spans="1:23" x14ac:dyDescent="0.2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</row>
    <row r="276" spans="1:23" x14ac:dyDescent="0.2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</row>
    <row r="277" spans="1:23" x14ac:dyDescent="0.2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</row>
    <row r="278" spans="1:23" x14ac:dyDescent="0.2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</row>
    <row r="279" spans="1:23" x14ac:dyDescent="0.2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</row>
    <row r="280" spans="1:23" x14ac:dyDescent="0.2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</row>
    <row r="281" spans="1:23" x14ac:dyDescent="0.2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</row>
    <row r="282" spans="1:23" x14ac:dyDescent="0.2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</row>
    <row r="283" spans="1:23" x14ac:dyDescent="0.2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</row>
    <row r="284" spans="1:23" x14ac:dyDescent="0.2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</row>
    <row r="285" spans="1:23" x14ac:dyDescent="0.2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</row>
    <row r="286" spans="1:23" x14ac:dyDescent="0.2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</row>
    <row r="287" spans="1:23" x14ac:dyDescent="0.2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</row>
    <row r="288" spans="1:23" x14ac:dyDescent="0.2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</row>
    <row r="289" spans="1:23" x14ac:dyDescent="0.2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</row>
    <row r="290" spans="1:23" x14ac:dyDescent="0.2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</row>
    <row r="291" spans="1:23" x14ac:dyDescent="0.2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</row>
    <row r="292" spans="1:23" x14ac:dyDescent="0.2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</row>
    <row r="293" spans="1:23" x14ac:dyDescent="0.2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</row>
    <row r="294" spans="1:23" x14ac:dyDescent="0.2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</row>
    <row r="295" spans="1:23" x14ac:dyDescent="0.2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</row>
    <row r="296" spans="1:23" x14ac:dyDescent="0.2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</row>
    <row r="297" spans="1:23" x14ac:dyDescent="0.2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</row>
    <row r="298" spans="1:23" x14ac:dyDescent="0.2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</row>
    <row r="299" spans="1:23" x14ac:dyDescent="0.2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</row>
    <row r="300" spans="1:23" x14ac:dyDescent="0.2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</row>
    <row r="301" spans="1:23" x14ac:dyDescent="0.2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</row>
    <row r="302" spans="1:23" x14ac:dyDescent="0.2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</row>
    <row r="303" spans="1:23" x14ac:dyDescent="0.2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</row>
    <row r="304" spans="1:23" x14ac:dyDescent="0.2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</row>
    <row r="305" spans="1:23" x14ac:dyDescent="0.2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</row>
    <row r="306" spans="1:23" x14ac:dyDescent="0.2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</row>
    <row r="307" spans="1:23" x14ac:dyDescent="0.2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</row>
    <row r="308" spans="1:23" x14ac:dyDescent="0.2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</row>
    <row r="309" spans="1:23" x14ac:dyDescent="0.2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</row>
    <row r="310" spans="1:23" x14ac:dyDescent="0.2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</row>
    <row r="311" spans="1:23" x14ac:dyDescent="0.2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</row>
    <row r="312" spans="1:23" x14ac:dyDescent="0.2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</row>
    <row r="313" spans="1:23" x14ac:dyDescent="0.2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</row>
    <row r="314" spans="1:23" x14ac:dyDescent="0.2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</row>
    <row r="315" spans="1:23" x14ac:dyDescent="0.2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</row>
    <row r="316" spans="1:23" x14ac:dyDescent="0.2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</row>
    <row r="317" spans="1:23" x14ac:dyDescent="0.2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</row>
    <row r="318" spans="1:23" x14ac:dyDescent="0.2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</row>
    <row r="319" spans="1:23" x14ac:dyDescent="0.2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</row>
    <row r="320" spans="1:23" x14ac:dyDescent="0.2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</row>
    <row r="321" spans="1:23" x14ac:dyDescent="0.2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</row>
    <row r="322" spans="1:23" x14ac:dyDescent="0.2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</row>
    <row r="323" spans="1:23" x14ac:dyDescent="0.2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</row>
    <row r="324" spans="1:23" x14ac:dyDescent="0.2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</row>
    <row r="325" spans="1:23" x14ac:dyDescent="0.2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</row>
    <row r="326" spans="1:23" x14ac:dyDescent="0.2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</row>
    <row r="327" spans="1:23" x14ac:dyDescent="0.2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</row>
    <row r="328" spans="1:23" x14ac:dyDescent="0.2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</row>
    <row r="329" spans="1:23" x14ac:dyDescent="0.2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</row>
    <row r="330" spans="1:23" x14ac:dyDescent="0.2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</row>
    <row r="331" spans="1:23" x14ac:dyDescent="0.2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</row>
    <row r="332" spans="1:23" x14ac:dyDescent="0.2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</row>
    <row r="333" spans="1:23" x14ac:dyDescent="0.2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</row>
    <row r="334" spans="1:23" x14ac:dyDescent="0.2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</row>
    <row r="335" spans="1:23" x14ac:dyDescent="0.2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</row>
    <row r="336" spans="1:23" x14ac:dyDescent="0.2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</row>
    <row r="337" spans="1:23" x14ac:dyDescent="0.2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</row>
    <row r="338" spans="1:23" x14ac:dyDescent="0.2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</row>
    <row r="339" spans="1:23" x14ac:dyDescent="0.2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</row>
    <row r="340" spans="1:23" x14ac:dyDescent="0.2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</row>
    <row r="341" spans="1:23" x14ac:dyDescent="0.2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</row>
    <row r="342" spans="1:23" x14ac:dyDescent="0.2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</row>
    <row r="343" spans="1:23" x14ac:dyDescent="0.2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</row>
    <row r="344" spans="1:23" x14ac:dyDescent="0.2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</row>
    <row r="345" spans="1:23" x14ac:dyDescent="0.2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</row>
    <row r="346" spans="1:23" x14ac:dyDescent="0.2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</row>
    <row r="347" spans="1:23" x14ac:dyDescent="0.2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</row>
    <row r="348" spans="1:23" x14ac:dyDescent="0.2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</row>
    <row r="349" spans="1:23" x14ac:dyDescent="0.2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</row>
    <row r="350" spans="1:23" x14ac:dyDescent="0.2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</row>
    <row r="351" spans="1:23" x14ac:dyDescent="0.2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</row>
    <row r="352" spans="1:23" x14ac:dyDescent="0.2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</row>
    <row r="353" spans="1:23" x14ac:dyDescent="0.2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</row>
    <row r="354" spans="1:23" x14ac:dyDescent="0.2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</row>
    <row r="355" spans="1:23" x14ac:dyDescent="0.2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</row>
    <row r="356" spans="1:23" x14ac:dyDescent="0.2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</row>
    <row r="357" spans="1:23" x14ac:dyDescent="0.2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</row>
    <row r="358" spans="1:23" x14ac:dyDescent="0.2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</row>
    <row r="359" spans="1:23" x14ac:dyDescent="0.2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</row>
    <row r="360" spans="1:23" x14ac:dyDescent="0.2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</row>
    <row r="361" spans="1:23" x14ac:dyDescent="0.2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</row>
    <row r="362" spans="1:23" x14ac:dyDescent="0.2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</row>
    <row r="363" spans="1:23" x14ac:dyDescent="0.2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</row>
    <row r="364" spans="1:23" x14ac:dyDescent="0.2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</row>
    <row r="365" spans="1:23" x14ac:dyDescent="0.2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</row>
    <row r="366" spans="1:23" x14ac:dyDescent="0.2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</row>
    <row r="367" spans="1:23" x14ac:dyDescent="0.2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</row>
    <row r="368" spans="1:23" x14ac:dyDescent="0.2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</row>
    <row r="369" spans="1:23" x14ac:dyDescent="0.2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</row>
    <row r="370" spans="1:23" x14ac:dyDescent="0.2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</row>
    <row r="371" spans="1:23" x14ac:dyDescent="0.2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</row>
    <row r="372" spans="1:23" x14ac:dyDescent="0.2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</row>
    <row r="373" spans="1:23" x14ac:dyDescent="0.2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</row>
    <row r="374" spans="1:23" x14ac:dyDescent="0.2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</row>
    <row r="375" spans="1:23" x14ac:dyDescent="0.2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</row>
    <row r="376" spans="1:23" x14ac:dyDescent="0.2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</row>
    <row r="377" spans="1:23" x14ac:dyDescent="0.2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</row>
    <row r="378" spans="1:23" x14ac:dyDescent="0.2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</row>
    <row r="379" spans="1:23" x14ac:dyDescent="0.2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</row>
    <row r="380" spans="1:23" x14ac:dyDescent="0.2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</row>
    <row r="381" spans="1:23" x14ac:dyDescent="0.2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</row>
    <row r="382" spans="1:23" x14ac:dyDescent="0.2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</row>
    <row r="383" spans="1:23" x14ac:dyDescent="0.2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</row>
    <row r="384" spans="1:23" x14ac:dyDescent="0.2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</row>
    <row r="385" spans="1:23" x14ac:dyDescent="0.2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</row>
    <row r="386" spans="1:23" x14ac:dyDescent="0.2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</row>
    <row r="387" spans="1:23" x14ac:dyDescent="0.2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</row>
    <row r="388" spans="1:23" x14ac:dyDescent="0.2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</row>
    <row r="389" spans="1:23" x14ac:dyDescent="0.2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</row>
    <row r="390" spans="1:23" x14ac:dyDescent="0.2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</row>
    <row r="391" spans="1:23" x14ac:dyDescent="0.2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</row>
    <row r="392" spans="1:23" x14ac:dyDescent="0.2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</row>
    <row r="393" spans="1:23" x14ac:dyDescent="0.2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</row>
    <row r="394" spans="1:23" x14ac:dyDescent="0.2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</row>
    <row r="395" spans="1:23" x14ac:dyDescent="0.2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</row>
    <row r="396" spans="1:23" x14ac:dyDescent="0.2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</row>
    <row r="397" spans="1:23" x14ac:dyDescent="0.2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</row>
    <row r="398" spans="1:23" x14ac:dyDescent="0.2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</row>
    <row r="399" spans="1:23" x14ac:dyDescent="0.2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</row>
    <row r="400" spans="1:23" x14ac:dyDescent="0.2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</row>
    <row r="401" spans="1:23" x14ac:dyDescent="0.2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</row>
    <row r="402" spans="1:23" x14ac:dyDescent="0.2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</row>
    <row r="403" spans="1:23" x14ac:dyDescent="0.2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</row>
    <row r="404" spans="1:23" x14ac:dyDescent="0.2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</row>
    <row r="405" spans="1:23" x14ac:dyDescent="0.2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</row>
    <row r="406" spans="1:23" x14ac:dyDescent="0.2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</row>
    <row r="407" spans="1:23" x14ac:dyDescent="0.2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</row>
    <row r="408" spans="1:23" x14ac:dyDescent="0.2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</row>
    <row r="409" spans="1:23" x14ac:dyDescent="0.2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</row>
    <row r="410" spans="1:23" x14ac:dyDescent="0.2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</row>
    <row r="411" spans="1:23" x14ac:dyDescent="0.2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</row>
    <row r="412" spans="1:23" x14ac:dyDescent="0.2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</row>
    <row r="413" spans="1:23" x14ac:dyDescent="0.2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</row>
    <row r="414" spans="1:23" x14ac:dyDescent="0.2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</row>
    <row r="415" spans="1:23" x14ac:dyDescent="0.2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</row>
    <row r="416" spans="1:23" x14ac:dyDescent="0.2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</row>
    <row r="417" spans="1:23" x14ac:dyDescent="0.2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</row>
    <row r="418" spans="1:23" x14ac:dyDescent="0.2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</row>
    <row r="419" spans="1:23" x14ac:dyDescent="0.2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</row>
    <row r="420" spans="1:23" x14ac:dyDescent="0.2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</row>
    <row r="421" spans="1:23" x14ac:dyDescent="0.2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</row>
    <row r="422" spans="1:23" x14ac:dyDescent="0.2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</row>
    <row r="423" spans="1:23" x14ac:dyDescent="0.2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</row>
    <row r="424" spans="1:23" x14ac:dyDescent="0.2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</row>
    <row r="425" spans="1:23" x14ac:dyDescent="0.2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</row>
    <row r="426" spans="1:23" x14ac:dyDescent="0.2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</row>
    <row r="427" spans="1:23" x14ac:dyDescent="0.2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</row>
    <row r="428" spans="1:23" x14ac:dyDescent="0.2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</row>
    <row r="429" spans="1:23" x14ac:dyDescent="0.2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</row>
    <row r="430" spans="1:23" x14ac:dyDescent="0.2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</row>
    <row r="431" spans="1:23" x14ac:dyDescent="0.2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</row>
    <row r="432" spans="1:23" x14ac:dyDescent="0.2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</row>
    <row r="433" spans="1:23" x14ac:dyDescent="0.2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</row>
    <row r="434" spans="1:23" x14ac:dyDescent="0.2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</row>
    <row r="435" spans="1:23" x14ac:dyDescent="0.2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</row>
    <row r="436" spans="1:23" x14ac:dyDescent="0.2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</row>
    <row r="437" spans="1:23" x14ac:dyDescent="0.2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</row>
    <row r="438" spans="1:23" x14ac:dyDescent="0.2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</row>
    <row r="439" spans="1:23" x14ac:dyDescent="0.2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</row>
    <row r="440" spans="1:23" x14ac:dyDescent="0.2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</row>
    <row r="441" spans="1:23" x14ac:dyDescent="0.2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</row>
    <row r="442" spans="1:23" x14ac:dyDescent="0.2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</row>
    <row r="443" spans="1:23" x14ac:dyDescent="0.2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</row>
    <row r="444" spans="1:23" x14ac:dyDescent="0.2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</row>
    <row r="445" spans="1:23" x14ac:dyDescent="0.2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</row>
    <row r="446" spans="1:23" x14ac:dyDescent="0.2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</row>
    <row r="447" spans="1:23" x14ac:dyDescent="0.2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</row>
    <row r="448" spans="1:23" x14ac:dyDescent="0.2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</row>
    <row r="449" spans="1:23" x14ac:dyDescent="0.2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</row>
    <row r="450" spans="1:23" x14ac:dyDescent="0.2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</row>
    <row r="451" spans="1:23" x14ac:dyDescent="0.2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</row>
    <row r="452" spans="1:23" x14ac:dyDescent="0.2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</row>
    <row r="453" spans="1:23" x14ac:dyDescent="0.2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</row>
    <row r="454" spans="1:23" x14ac:dyDescent="0.2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</row>
    <row r="455" spans="1:23" x14ac:dyDescent="0.2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</row>
    <row r="456" spans="1:23" x14ac:dyDescent="0.2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</row>
    <row r="457" spans="1:23" x14ac:dyDescent="0.2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</row>
    <row r="458" spans="1:23" x14ac:dyDescent="0.2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</row>
    <row r="459" spans="1:23" x14ac:dyDescent="0.2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</row>
    <row r="460" spans="1:23" x14ac:dyDescent="0.2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</row>
    <row r="461" spans="1:23" x14ac:dyDescent="0.2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</row>
    <row r="462" spans="1:23" x14ac:dyDescent="0.2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</row>
    <row r="463" spans="1:23" x14ac:dyDescent="0.2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</row>
    <row r="464" spans="1:23" x14ac:dyDescent="0.2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</row>
    <row r="465" spans="1:23" x14ac:dyDescent="0.2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</row>
    <row r="466" spans="1:23" x14ac:dyDescent="0.2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</row>
    <row r="467" spans="1:23" x14ac:dyDescent="0.2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</row>
    <row r="468" spans="1:23" x14ac:dyDescent="0.2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</row>
    <row r="469" spans="1:23" x14ac:dyDescent="0.2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</row>
    <row r="470" spans="1:23" x14ac:dyDescent="0.2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</row>
    <row r="471" spans="1:23" x14ac:dyDescent="0.2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</row>
    <row r="472" spans="1:23" x14ac:dyDescent="0.2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</row>
    <row r="473" spans="1:23" x14ac:dyDescent="0.2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</row>
    <row r="474" spans="1:23" x14ac:dyDescent="0.2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</row>
    <row r="475" spans="1:23" x14ac:dyDescent="0.2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</row>
    <row r="476" spans="1:23" x14ac:dyDescent="0.2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</row>
    <row r="477" spans="1:23" x14ac:dyDescent="0.2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</row>
    <row r="478" spans="1:23" x14ac:dyDescent="0.2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</row>
    <row r="479" spans="1:23" x14ac:dyDescent="0.2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</row>
    <row r="480" spans="1:23" x14ac:dyDescent="0.2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</row>
    <row r="481" spans="1:23" x14ac:dyDescent="0.2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</row>
    <row r="482" spans="1:23" x14ac:dyDescent="0.2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</row>
    <row r="483" spans="1:23" x14ac:dyDescent="0.2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</row>
    <row r="484" spans="1:23" x14ac:dyDescent="0.2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</row>
    <row r="485" spans="1:23" x14ac:dyDescent="0.2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</row>
    <row r="486" spans="1:23" x14ac:dyDescent="0.2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</row>
    <row r="487" spans="1:23" x14ac:dyDescent="0.2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</row>
    <row r="488" spans="1:23" x14ac:dyDescent="0.2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</row>
    <row r="489" spans="1:23" x14ac:dyDescent="0.2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</row>
    <row r="490" spans="1:23" x14ac:dyDescent="0.2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</row>
    <row r="491" spans="1:23" x14ac:dyDescent="0.2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</row>
    <row r="492" spans="1:23" x14ac:dyDescent="0.2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</row>
    <row r="493" spans="1:23" x14ac:dyDescent="0.2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</row>
    <row r="494" spans="1:23" x14ac:dyDescent="0.2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</row>
    <row r="495" spans="1:23" x14ac:dyDescent="0.2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</row>
    <row r="496" spans="1:23" x14ac:dyDescent="0.2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</row>
    <row r="497" spans="1:23" x14ac:dyDescent="0.2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</row>
    <row r="498" spans="1:23" x14ac:dyDescent="0.2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</row>
    <row r="499" spans="1:23" x14ac:dyDescent="0.2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</row>
    <row r="500" spans="1:23" x14ac:dyDescent="0.2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</row>
    <row r="501" spans="1:23" x14ac:dyDescent="0.2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</row>
    <row r="502" spans="1:23" x14ac:dyDescent="0.2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</row>
    <row r="503" spans="1:23" x14ac:dyDescent="0.2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</row>
    <row r="504" spans="1:23" x14ac:dyDescent="0.2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</row>
    <row r="505" spans="1:23" x14ac:dyDescent="0.2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</row>
    <row r="506" spans="1:23" x14ac:dyDescent="0.2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</row>
    <row r="507" spans="1:23" x14ac:dyDescent="0.2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</row>
    <row r="508" spans="1:23" x14ac:dyDescent="0.2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</row>
    <row r="509" spans="1:23" x14ac:dyDescent="0.2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</row>
    <row r="510" spans="1:23" x14ac:dyDescent="0.2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</row>
    <row r="511" spans="1:23" x14ac:dyDescent="0.2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</row>
    <row r="512" spans="1:23" x14ac:dyDescent="0.2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</row>
    <row r="513" spans="1:23" x14ac:dyDescent="0.2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</row>
    <row r="514" spans="1:23" x14ac:dyDescent="0.2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</row>
    <row r="515" spans="1:23" x14ac:dyDescent="0.2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</row>
    <row r="516" spans="1:23" x14ac:dyDescent="0.2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</row>
    <row r="517" spans="1:23" x14ac:dyDescent="0.2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</row>
    <row r="518" spans="1:23" x14ac:dyDescent="0.2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</row>
    <row r="519" spans="1:23" x14ac:dyDescent="0.2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</row>
    <row r="520" spans="1:23" x14ac:dyDescent="0.2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</row>
    <row r="521" spans="1:23" x14ac:dyDescent="0.2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</row>
    <row r="522" spans="1:23" x14ac:dyDescent="0.2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</row>
    <row r="523" spans="1:23" x14ac:dyDescent="0.2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</row>
    <row r="524" spans="1:23" x14ac:dyDescent="0.2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</row>
    <row r="525" spans="1:23" x14ac:dyDescent="0.2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</row>
    <row r="526" spans="1:23" x14ac:dyDescent="0.2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</row>
    <row r="527" spans="1:23" x14ac:dyDescent="0.2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</row>
    <row r="528" spans="1:23" x14ac:dyDescent="0.2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</row>
    <row r="529" spans="1:23" x14ac:dyDescent="0.2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</row>
    <row r="530" spans="1:23" x14ac:dyDescent="0.2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</row>
    <row r="531" spans="1:23" x14ac:dyDescent="0.2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</row>
    <row r="532" spans="1:23" x14ac:dyDescent="0.2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</row>
    <row r="533" spans="1:23" x14ac:dyDescent="0.2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</row>
    <row r="534" spans="1:23" x14ac:dyDescent="0.2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</row>
    <row r="535" spans="1:23" x14ac:dyDescent="0.2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</row>
    <row r="536" spans="1:23" x14ac:dyDescent="0.2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</row>
    <row r="537" spans="1:23" x14ac:dyDescent="0.2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</row>
    <row r="538" spans="1:23" x14ac:dyDescent="0.2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</row>
    <row r="539" spans="1:23" x14ac:dyDescent="0.2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</row>
    <row r="540" spans="1:23" x14ac:dyDescent="0.2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</row>
    <row r="541" spans="1:23" x14ac:dyDescent="0.2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</row>
    <row r="542" spans="1:23" x14ac:dyDescent="0.2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</row>
    <row r="543" spans="1:23" x14ac:dyDescent="0.2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</row>
    <row r="544" spans="1:23" x14ac:dyDescent="0.2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</row>
    <row r="545" spans="1:23" x14ac:dyDescent="0.2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</row>
    <row r="546" spans="1:23" x14ac:dyDescent="0.2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</row>
    <row r="547" spans="1:23" x14ac:dyDescent="0.2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</row>
    <row r="548" spans="1:23" x14ac:dyDescent="0.2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</row>
    <row r="549" spans="1:23" x14ac:dyDescent="0.2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</row>
    <row r="550" spans="1:23" x14ac:dyDescent="0.2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</row>
    <row r="551" spans="1:23" x14ac:dyDescent="0.2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</row>
    <row r="552" spans="1:23" x14ac:dyDescent="0.2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</row>
    <row r="553" spans="1:23" x14ac:dyDescent="0.2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</row>
    <row r="554" spans="1:23" x14ac:dyDescent="0.2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</row>
    <row r="555" spans="1:23" x14ac:dyDescent="0.2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</row>
    <row r="556" spans="1:23" x14ac:dyDescent="0.2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</row>
    <row r="557" spans="1:23" x14ac:dyDescent="0.2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</row>
    <row r="558" spans="1:23" x14ac:dyDescent="0.2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</row>
    <row r="559" spans="1:23" x14ac:dyDescent="0.2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</row>
    <row r="560" spans="1:23" x14ac:dyDescent="0.2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</row>
    <row r="561" spans="1:23" x14ac:dyDescent="0.2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</row>
    <row r="562" spans="1:23" x14ac:dyDescent="0.2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</row>
    <row r="563" spans="1:23" x14ac:dyDescent="0.2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</row>
    <row r="564" spans="1:23" x14ac:dyDescent="0.2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</row>
    <row r="565" spans="1:23" x14ac:dyDescent="0.2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</row>
    <row r="566" spans="1:23" x14ac:dyDescent="0.2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</row>
    <row r="567" spans="1:23" x14ac:dyDescent="0.2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</row>
    <row r="568" spans="1:23" x14ac:dyDescent="0.2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</row>
    <row r="569" spans="1:23" x14ac:dyDescent="0.2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</row>
    <row r="570" spans="1:23" x14ac:dyDescent="0.2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</row>
    <row r="571" spans="1:23" x14ac:dyDescent="0.2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</row>
    <row r="572" spans="1:23" x14ac:dyDescent="0.2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</row>
    <row r="573" spans="1:23" x14ac:dyDescent="0.2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</row>
    <row r="574" spans="1:23" x14ac:dyDescent="0.2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</row>
    <row r="575" spans="1:23" x14ac:dyDescent="0.2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</row>
    <row r="576" spans="1:23" x14ac:dyDescent="0.2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</row>
    <row r="577" spans="1:23" x14ac:dyDescent="0.2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</row>
    <row r="578" spans="1:23" x14ac:dyDescent="0.2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</row>
    <row r="579" spans="1:23" x14ac:dyDescent="0.2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</row>
    <row r="580" spans="1:23" x14ac:dyDescent="0.2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</row>
    <row r="581" spans="1:23" x14ac:dyDescent="0.2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</row>
    <row r="582" spans="1:23" x14ac:dyDescent="0.2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</row>
    <row r="583" spans="1:23" x14ac:dyDescent="0.2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</row>
    <row r="584" spans="1:23" x14ac:dyDescent="0.2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</row>
    <row r="585" spans="1:23" x14ac:dyDescent="0.2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</row>
    <row r="586" spans="1:23" x14ac:dyDescent="0.2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</row>
    <row r="587" spans="1:23" x14ac:dyDescent="0.2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</row>
    <row r="588" spans="1:23" x14ac:dyDescent="0.2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</row>
    <row r="589" spans="1:23" x14ac:dyDescent="0.2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</row>
    <row r="590" spans="1:23" x14ac:dyDescent="0.2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</row>
    <row r="591" spans="1:23" x14ac:dyDescent="0.2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</row>
    <row r="592" spans="1:23" x14ac:dyDescent="0.2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</row>
    <row r="593" spans="1:23" x14ac:dyDescent="0.2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</row>
    <row r="594" spans="1:23" x14ac:dyDescent="0.2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</row>
    <row r="595" spans="1:23" x14ac:dyDescent="0.2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</row>
    <row r="596" spans="1:23" x14ac:dyDescent="0.2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</row>
    <row r="597" spans="1:23" x14ac:dyDescent="0.2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</row>
    <row r="598" spans="1:23" x14ac:dyDescent="0.2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</row>
    <row r="599" spans="1:23" x14ac:dyDescent="0.2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</row>
    <row r="600" spans="1:23" x14ac:dyDescent="0.2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</row>
    <row r="601" spans="1:23" x14ac:dyDescent="0.2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</row>
    <row r="602" spans="1:23" x14ac:dyDescent="0.2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</row>
    <row r="603" spans="1:23" x14ac:dyDescent="0.2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</row>
    <row r="604" spans="1:23" x14ac:dyDescent="0.2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</row>
    <row r="605" spans="1:23" x14ac:dyDescent="0.2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</row>
    <row r="606" spans="1:23" x14ac:dyDescent="0.2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</row>
    <row r="607" spans="1:23" x14ac:dyDescent="0.2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</row>
    <row r="608" spans="1:23" x14ac:dyDescent="0.2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</row>
    <row r="609" spans="1:23" x14ac:dyDescent="0.2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</row>
    <row r="610" spans="1:23" x14ac:dyDescent="0.2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</row>
    <row r="611" spans="1:23" x14ac:dyDescent="0.2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</row>
    <row r="612" spans="1:23" x14ac:dyDescent="0.2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</row>
    <row r="613" spans="1:23" x14ac:dyDescent="0.2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</row>
    <row r="614" spans="1:23" x14ac:dyDescent="0.2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</row>
    <row r="615" spans="1:23" x14ac:dyDescent="0.2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</row>
    <row r="616" spans="1:23" x14ac:dyDescent="0.2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</row>
    <row r="617" spans="1:23" x14ac:dyDescent="0.2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</row>
    <row r="618" spans="1:23" x14ac:dyDescent="0.2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</row>
    <row r="619" spans="1:23" x14ac:dyDescent="0.2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</row>
    <row r="620" spans="1:23" x14ac:dyDescent="0.2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</row>
    <row r="621" spans="1:23" x14ac:dyDescent="0.2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</row>
    <row r="622" spans="1:23" x14ac:dyDescent="0.2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</row>
    <row r="623" spans="1:23" x14ac:dyDescent="0.2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</row>
    <row r="624" spans="1:23" x14ac:dyDescent="0.2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</row>
    <row r="625" spans="1:23" x14ac:dyDescent="0.2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</row>
    <row r="626" spans="1:23" x14ac:dyDescent="0.2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</row>
    <row r="627" spans="1:23" x14ac:dyDescent="0.2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</row>
    <row r="628" spans="1:23" x14ac:dyDescent="0.2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</row>
    <row r="629" spans="1:23" x14ac:dyDescent="0.2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</row>
    <row r="630" spans="1:23" x14ac:dyDescent="0.2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</row>
    <row r="631" spans="1:23" x14ac:dyDescent="0.2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</row>
    <row r="632" spans="1:23" x14ac:dyDescent="0.2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</row>
    <row r="633" spans="1:23" x14ac:dyDescent="0.2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</row>
    <row r="634" spans="1:23" x14ac:dyDescent="0.2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</row>
    <row r="635" spans="1:23" x14ac:dyDescent="0.2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</row>
    <row r="636" spans="1:23" x14ac:dyDescent="0.2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</row>
    <row r="637" spans="1:23" x14ac:dyDescent="0.2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</row>
    <row r="638" spans="1:23" x14ac:dyDescent="0.2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</row>
    <row r="639" spans="1:23" x14ac:dyDescent="0.2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</row>
    <row r="640" spans="1:23" x14ac:dyDescent="0.2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</row>
    <row r="641" spans="1:23" x14ac:dyDescent="0.2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</row>
    <row r="642" spans="1:23" x14ac:dyDescent="0.2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</row>
    <row r="643" spans="1:23" x14ac:dyDescent="0.2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</row>
    <row r="644" spans="1:23" x14ac:dyDescent="0.2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</row>
    <row r="645" spans="1:23" x14ac:dyDescent="0.2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</row>
    <row r="646" spans="1:23" x14ac:dyDescent="0.2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</row>
    <row r="647" spans="1:23" x14ac:dyDescent="0.2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</row>
    <row r="648" spans="1:23" x14ac:dyDescent="0.2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</row>
    <row r="649" spans="1:23" x14ac:dyDescent="0.2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</row>
    <row r="650" spans="1:23" x14ac:dyDescent="0.2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</row>
    <row r="651" spans="1:23" x14ac:dyDescent="0.2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</row>
    <row r="652" spans="1:23" x14ac:dyDescent="0.2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</row>
    <row r="653" spans="1:23" x14ac:dyDescent="0.2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</row>
    <row r="654" spans="1:23" x14ac:dyDescent="0.2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</row>
    <row r="655" spans="1:23" x14ac:dyDescent="0.2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</row>
    <row r="656" spans="1:23" x14ac:dyDescent="0.2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</row>
    <row r="657" spans="1:23" x14ac:dyDescent="0.2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</row>
    <row r="658" spans="1:23" x14ac:dyDescent="0.2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</row>
    <row r="659" spans="1:23" x14ac:dyDescent="0.2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</row>
    <row r="660" spans="1:23" x14ac:dyDescent="0.2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</row>
    <row r="661" spans="1:23" x14ac:dyDescent="0.2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</row>
    <row r="662" spans="1:23" x14ac:dyDescent="0.2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</row>
    <row r="663" spans="1:23" x14ac:dyDescent="0.2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</row>
    <row r="664" spans="1:23" x14ac:dyDescent="0.2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</row>
    <row r="665" spans="1:23" x14ac:dyDescent="0.2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</row>
    <row r="666" spans="1:23" x14ac:dyDescent="0.2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</row>
    <row r="667" spans="1:23" x14ac:dyDescent="0.2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</row>
    <row r="668" spans="1:23" x14ac:dyDescent="0.2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</row>
    <row r="669" spans="1:23" x14ac:dyDescent="0.2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</row>
    <row r="670" spans="1:23" x14ac:dyDescent="0.2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</row>
    <row r="671" spans="1:23" x14ac:dyDescent="0.2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</row>
    <row r="672" spans="1:23" x14ac:dyDescent="0.2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</row>
    <row r="673" spans="1:23" x14ac:dyDescent="0.2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</row>
    <row r="674" spans="1:23" x14ac:dyDescent="0.2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</row>
    <row r="675" spans="1:23" x14ac:dyDescent="0.2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</row>
    <row r="676" spans="1:23" x14ac:dyDescent="0.2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</row>
    <row r="677" spans="1:23" x14ac:dyDescent="0.2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</row>
    <row r="678" spans="1:23" x14ac:dyDescent="0.2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</row>
    <row r="679" spans="1:23" x14ac:dyDescent="0.2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</row>
    <row r="680" spans="1:23" x14ac:dyDescent="0.2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</row>
    <row r="681" spans="1:23" x14ac:dyDescent="0.2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</row>
    <row r="682" spans="1:23" x14ac:dyDescent="0.2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</row>
    <row r="683" spans="1:23" x14ac:dyDescent="0.2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</row>
    <row r="684" spans="1:23" x14ac:dyDescent="0.2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</row>
    <row r="685" spans="1:23" x14ac:dyDescent="0.2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</row>
    <row r="686" spans="1:23" x14ac:dyDescent="0.2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</row>
    <row r="687" spans="1:23" x14ac:dyDescent="0.2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</row>
    <row r="688" spans="1:23" x14ac:dyDescent="0.2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</row>
    <row r="689" spans="1:23" x14ac:dyDescent="0.2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</row>
    <row r="690" spans="1:23" x14ac:dyDescent="0.2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</row>
    <row r="691" spans="1:23" x14ac:dyDescent="0.2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</row>
    <row r="692" spans="1:23" x14ac:dyDescent="0.2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</row>
    <row r="693" spans="1:23" x14ac:dyDescent="0.2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</row>
    <row r="694" spans="1:23" x14ac:dyDescent="0.2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</row>
    <row r="695" spans="1:23" x14ac:dyDescent="0.2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</row>
    <row r="696" spans="1:23" x14ac:dyDescent="0.2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</row>
    <row r="697" spans="1:23" x14ac:dyDescent="0.2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</row>
    <row r="698" spans="1:23" x14ac:dyDescent="0.2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</row>
    <row r="699" spans="1:23" x14ac:dyDescent="0.2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</row>
    <row r="700" spans="1:23" x14ac:dyDescent="0.2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</row>
    <row r="701" spans="1:23" x14ac:dyDescent="0.2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</row>
    <row r="702" spans="1:23" x14ac:dyDescent="0.2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</row>
    <row r="703" spans="1:23" x14ac:dyDescent="0.2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</row>
    <row r="704" spans="1:23" x14ac:dyDescent="0.2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</row>
    <row r="705" spans="1:23" x14ac:dyDescent="0.2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</row>
    <row r="706" spans="1:23" x14ac:dyDescent="0.2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</row>
    <row r="707" spans="1:23" x14ac:dyDescent="0.2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</row>
    <row r="708" spans="1:23" x14ac:dyDescent="0.2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</row>
    <row r="709" spans="1:23" x14ac:dyDescent="0.2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</row>
    <row r="710" spans="1:23" x14ac:dyDescent="0.2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</row>
    <row r="711" spans="1:23" x14ac:dyDescent="0.2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</row>
    <row r="712" spans="1:23" x14ac:dyDescent="0.2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</row>
    <row r="713" spans="1:23" x14ac:dyDescent="0.2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</row>
    <row r="714" spans="1:23" x14ac:dyDescent="0.2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</row>
    <row r="715" spans="1:23" x14ac:dyDescent="0.2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</row>
    <row r="716" spans="1:23" x14ac:dyDescent="0.2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</row>
    <row r="717" spans="1:23" x14ac:dyDescent="0.2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</row>
    <row r="718" spans="1:23" x14ac:dyDescent="0.2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</row>
    <row r="719" spans="1:23" x14ac:dyDescent="0.2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</row>
    <row r="720" spans="1:23" x14ac:dyDescent="0.2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</row>
    <row r="721" spans="1:23" x14ac:dyDescent="0.2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</row>
    <row r="722" spans="1:23" x14ac:dyDescent="0.2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</row>
    <row r="723" spans="1:23" x14ac:dyDescent="0.2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</row>
    <row r="724" spans="1:23" x14ac:dyDescent="0.2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</row>
    <row r="725" spans="1:23" x14ac:dyDescent="0.2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</row>
    <row r="726" spans="1:23" x14ac:dyDescent="0.2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</row>
    <row r="727" spans="1:23" x14ac:dyDescent="0.2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</row>
    <row r="728" spans="1:23" x14ac:dyDescent="0.2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</row>
    <row r="729" spans="1:23" x14ac:dyDescent="0.2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</row>
    <row r="730" spans="1:23" x14ac:dyDescent="0.2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</row>
    <row r="731" spans="1:23" x14ac:dyDescent="0.2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</row>
    <row r="732" spans="1:23" x14ac:dyDescent="0.2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</row>
    <row r="733" spans="1:23" x14ac:dyDescent="0.2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</row>
    <row r="734" spans="1:23" x14ac:dyDescent="0.2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</row>
    <row r="735" spans="1:23" x14ac:dyDescent="0.2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</row>
    <row r="736" spans="1:23" x14ac:dyDescent="0.2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</row>
    <row r="737" spans="1:23" x14ac:dyDescent="0.2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</row>
    <row r="738" spans="1:23" x14ac:dyDescent="0.2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</row>
    <row r="739" spans="1:23" x14ac:dyDescent="0.2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</row>
    <row r="740" spans="1:23" x14ac:dyDescent="0.2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</row>
    <row r="741" spans="1:23" x14ac:dyDescent="0.2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</row>
    <row r="742" spans="1:23" x14ac:dyDescent="0.2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</row>
    <row r="743" spans="1:23" x14ac:dyDescent="0.2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</row>
    <row r="744" spans="1:23" x14ac:dyDescent="0.2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</row>
    <row r="745" spans="1:23" x14ac:dyDescent="0.2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</row>
    <row r="746" spans="1:23" x14ac:dyDescent="0.2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</row>
    <row r="747" spans="1:23" x14ac:dyDescent="0.2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</row>
    <row r="748" spans="1:23" x14ac:dyDescent="0.2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</row>
    <row r="749" spans="1:23" x14ac:dyDescent="0.2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</row>
    <row r="750" spans="1:23" x14ac:dyDescent="0.2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</row>
    <row r="751" spans="1:23" x14ac:dyDescent="0.2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</row>
    <row r="752" spans="1:23" x14ac:dyDescent="0.2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</row>
    <row r="753" spans="1:23" x14ac:dyDescent="0.2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</row>
    <row r="754" spans="1:23" x14ac:dyDescent="0.2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</row>
    <row r="755" spans="1:23" x14ac:dyDescent="0.2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</row>
    <row r="756" spans="1:23" x14ac:dyDescent="0.2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</row>
    <row r="757" spans="1:23" x14ac:dyDescent="0.2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</row>
    <row r="758" spans="1:23" x14ac:dyDescent="0.2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</row>
    <row r="759" spans="1:23" x14ac:dyDescent="0.2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</row>
    <row r="760" spans="1:23" x14ac:dyDescent="0.2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</row>
    <row r="761" spans="1:23" x14ac:dyDescent="0.2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</row>
    <row r="762" spans="1:23" x14ac:dyDescent="0.2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</row>
    <row r="763" spans="1:23" x14ac:dyDescent="0.2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</row>
    <row r="764" spans="1:23" x14ac:dyDescent="0.2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</row>
    <row r="765" spans="1:23" x14ac:dyDescent="0.2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</row>
    <row r="766" spans="1:23" x14ac:dyDescent="0.2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</row>
    <row r="767" spans="1:23" x14ac:dyDescent="0.2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</row>
    <row r="768" spans="1:23" x14ac:dyDescent="0.2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</row>
    <row r="769" spans="1:23" x14ac:dyDescent="0.2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</row>
    <row r="770" spans="1:23" x14ac:dyDescent="0.2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</row>
    <row r="771" spans="1:23" x14ac:dyDescent="0.2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</row>
    <row r="772" spans="1:23" x14ac:dyDescent="0.2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</row>
    <row r="773" spans="1:23" x14ac:dyDescent="0.2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</row>
    <row r="774" spans="1:23" x14ac:dyDescent="0.2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</row>
    <row r="775" spans="1:23" x14ac:dyDescent="0.2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</row>
    <row r="776" spans="1:23" x14ac:dyDescent="0.2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</row>
    <row r="777" spans="1:23" x14ac:dyDescent="0.2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</row>
    <row r="778" spans="1:23" x14ac:dyDescent="0.2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</row>
    <row r="779" spans="1:23" x14ac:dyDescent="0.2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</row>
    <row r="780" spans="1:23" x14ac:dyDescent="0.2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</row>
    <row r="781" spans="1:23" x14ac:dyDescent="0.2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</row>
    <row r="782" spans="1:23" x14ac:dyDescent="0.2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</row>
    <row r="783" spans="1:23" x14ac:dyDescent="0.2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</row>
    <row r="784" spans="1:23" x14ac:dyDescent="0.2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</row>
    <row r="785" spans="1:23" x14ac:dyDescent="0.2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</row>
    <row r="786" spans="1:23" x14ac:dyDescent="0.2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</row>
    <row r="787" spans="1:23" x14ac:dyDescent="0.2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</row>
    <row r="788" spans="1:23" x14ac:dyDescent="0.2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</row>
    <row r="789" spans="1:23" x14ac:dyDescent="0.2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</row>
    <row r="790" spans="1:23" x14ac:dyDescent="0.2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</row>
    <row r="791" spans="1:23" x14ac:dyDescent="0.2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</row>
    <row r="792" spans="1:23" x14ac:dyDescent="0.2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</row>
    <row r="793" spans="1:23" x14ac:dyDescent="0.2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</row>
    <row r="794" spans="1:23" x14ac:dyDescent="0.2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</row>
    <row r="795" spans="1:23" x14ac:dyDescent="0.2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</row>
    <row r="796" spans="1:23" x14ac:dyDescent="0.2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</row>
    <row r="797" spans="1:23" x14ac:dyDescent="0.2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</row>
    <row r="798" spans="1:23" x14ac:dyDescent="0.2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</row>
    <row r="799" spans="1:23" x14ac:dyDescent="0.2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</row>
    <row r="800" spans="1:23" x14ac:dyDescent="0.2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</row>
    <row r="801" spans="1:23" x14ac:dyDescent="0.2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</row>
    <row r="802" spans="1:23" x14ac:dyDescent="0.2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</row>
    <row r="803" spans="1:23" x14ac:dyDescent="0.2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</row>
    <row r="804" spans="1:23" x14ac:dyDescent="0.2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</row>
    <row r="805" spans="1:23" x14ac:dyDescent="0.2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</row>
    <row r="806" spans="1:23" x14ac:dyDescent="0.2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</row>
    <row r="807" spans="1:23" x14ac:dyDescent="0.2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</row>
    <row r="808" spans="1:23" x14ac:dyDescent="0.2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</row>
    <row r="809" spans="1:23" x14ac:dyDescent="0.2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</row>
    <row r="810" spans="1:23" x14ac:dyDescent="0.2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</row>
    <row r="811" spans="1:23" x14ac:dyDescent="0.2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</row>
    <row r="812" spans="1:23" x14ac:dyDescent="0.2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</row>
    <row r="813" spans="1:23" x14ac:dyDescent="0.2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</row>
    <row r="814" spans="1:23" x14ac:dyDescent="0.2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</row>
    <row r="815" spans="1:23" x14ac:dyDescent="0.2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</row>
    <row r="816" spans="1:23" x14ac:dyDescent="0.2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</row>
    <row r="817" spans="1:23" x14ac:dyDescent="0.2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</row>
    <row r="818" spans="1:23" x14ac:dyDescent="0.2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</row>
    <row r="819" spans="1:23" x14ac:dyDescent="0.2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</row>
    <row r="820" spans="1:23" x14ac:dyDescent="0.2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</row>
    <row r="821" spans="1:23" x14ac:dyDescent="0.2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</row>
    <row r="822" spans="1:23" x14ac:dyDescent="0.2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</row>
    <row r="823" spans="1:23" x14ac:dyDescent="0.2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</row>
    <row r="824" spans="1:23" x14ac:dyDescent="0.2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</row>
    <row r="825" spans="1:23" x14ac:dyDescent="0.2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</row>
    <row r="826" spans="1:23" x14ac:dyDescent="0.2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</row>
    <row r="827" spans="1:23" x14ac:dyDescent="0.2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</row>
    <row r="828" spans="1:23" x14ac:dyDescent="0.2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</row>
    <row r="829" spans="1:23" x14ac:dyDescent="0.2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</row>
    <row r="830" spans="1:23" x14ac:dyDescent="0.2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</row>
    <row r="831" spans="1:23" x14ac:dyDescent="0.2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</row>
    <row r="832" spans="1:23" x14ac:dyDescent="0.2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</row>
    <row r="833" spans="1:23" x14ac:dyDescent="0.2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</row>
    <row r="834" spans="1:23" x14ac:dyDescent="0.2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</row>
    <row r="835" spans="1:23" x14ac:dyDescent="0.2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</row>
    <row r="836" spans="1:23" x14ac:dyDescent="0.2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</row>
    <row r="837" spans="1:23" x14ac:dyDescent="0.2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</row>
    <row r="838" spans="1:23" x14ac:dyDescent="0.2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</row>
    <row r="839" spans="1:23" x14ac:dyDescent="0.2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</row>
    <row r="840" spans="1:23" x14ac:dyDescent="0.2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</row>
    <row r="841" spans="1:23" x14ac:dyDescent="0.2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</row>
    <row r="842" spans="1:23" x14ac:dyDescent="0.2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</row>
    <row r="843" spans="1:23" x14ac:dyDescent="0.2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</row>
    <row r="844" spans="1:23" x14ac:dyDescent="0.2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</row>
    <row r="845" spans="1:23" x14ac:dyDescent="0.2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</row>
    <row r="846" spans="1:23" x14ac:dyDescent="0.2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</row>
    <row r="847" spans="1:23" x14ac:dyDescent="0.2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</row>
    <row r="848" spans="1:23" x14ac:dyDescent="0.2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</row>
    <row r="849" spans="1:23" x14ac:dyDescent="0.2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</row>
    <row r="850" spans="1:23" x14ac:dyDescent="0.2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</row>
    <row r="851" spans="1:23" x14ac:dyDescent="0.2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</row>
    <row r="852" spans="1:23" x14ac:dyDescent="0.2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</row>
    <row r="853" spans="1:23" x14ac:dyDescent="0.2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</row>
    <row r="854" spans="1:23" x14ac:dyDescent="0.2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</row>
    <row r="855" spans="1:23" x14ac:dyDescent="0.2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</row>
    <row r="856" spans="1:23" x14ac:dyDescent="0.2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</row>
    <row r="857" spans="1:23" x14ac:dyDescent="0.2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</row>
    <row r="858" spans="1:23" x14ac:dyDescent="0.2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</row>
    <row r="859" spans="1:23" x14ac:dyDescent="0.2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</row>
    <row r="860" spans="1:23" x14ac:dyDescent="0.2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</row>
    <row r="861" spans="1:23" x14ac:dyDescent="0.2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</row>
    <row r="862" spans="1:23" x14ac:dyDescent="0.2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</row>
    <row r="863" spans="1:23" x14ac:dyDescent="0.2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</row>
    <row r="864" spans="1:23" x14ac:dyDescent="0.2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</row>
    <row r="865" spans="1:23" x14ac:dyDescent="0.2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</row>
    <row r="866" spans="1:23" x14ac:dyDescent="0.2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</row>
    <row r="867" spans="1:23" x14ac:dyDescent="0.2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</row>
    <row r="868" spans="1:23" x14ac:dyDescent="0.2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</row>
    <row r="869" spans="1:23" x14ac:dyDescent="0.2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</row>
    <row r="870" spans="1:23" x14ac:dyDescent="0.2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</row>
    <row r="871" spans="1:23" x14ac:dyDescent="0.2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</row>
    <row r="872" spans="1:23" x14ac:dyDescent="0.2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</row>
    <row r="873" spans="1:23" x14ac:dyDescent="0.2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</row>
    <row r="874" spans="1:23" x14ac:dyDescent="0.2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</row>
    <row r="875" spans="1:23" x14ac:dyDescent="0.2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</row>
    <row r="876" spans="1:23" x14ac:dyDescent="0.2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</row>
    <row r="877" spans="1:23" x14ac:dyDescent="0.2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</row>
    <row r="878" spans="1:23" x14ac:dyDescent="0.2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</row>
    <row r="879" spans="1:23" x14ac:dyDescent="0.2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</row>
    <row r="880" spans="1:23" x14ac:dyDescent="0.2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</row>
    <row r="881" spans="1:23" x14ac:dyDescent="0.2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</row>
    <row r="882" spans="1:23" x14ac:dyDescent="0.2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</row>
    <row r="883" spans="1:23" x14ac:dyDescent="0.2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</row>
    <row r="884" spans="1:23" x14ac:dyDescent="0.2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</row>
    <row r="885" spans="1:23" x14ac:dyDescent="0.2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</row>
    <row r="886" spans="1:23" x14ac:dyDescent="0.2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</row>
    <row r="887" spans="1:23" x14ac:dyDescent="0.2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</row>
    <row r="888" spans="1:23" x14ac:dyDescent="0.2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</row>
    <row r="889" spans="1:23" x14ac:dyDescent="0.2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</row>
    <row r="890" spans="1:23" x14ac:dyDescent="0.2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</row>
    <row r="891" spans="1:23" x14ac:dyDescent="0.2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</row>
    <row r="892" spans="1:23" x14ac:dyDescent="0.2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</row>
    <row r="893" spans="1:23" x14ac:dyDescent="0.2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</row>
    <row r="894" spans="1:23" x14ac:dyDescent="0.2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</row>
    <row r="895" spans="1:23" x14ac:dyDescent="0.2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</row>
    <row r="896" spans="1:23" x14ac:dyDescent="0.2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</row>
    <row r="897" spans="1:23" x14ac:dyDescent="0.2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</row>
    <row r="898" spans="1:23" x14ac:dyDescent="0.2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</row>
    <row r="899" spans="1:23" x14ac:dyDescent="0.2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</row>
    <row r="900" spans="1:23" x14ac:dyDescent="0.2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</row>
    <row r="901" spans="1:23" x14ac:dyDescent="0.2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</row>
    <row r="902" spans="1:23" x14ac:dyDescent="0.2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</row>
    <row r="903" spans="1:23" x14ac:dyDescent="0.2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</row>
    <row r="904" spans="1:23" x14ac:dyDescent="0.2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</row>
    <row r="905" spans="1:23" x14ac:dyDescent="0.2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</row>
    <row r="906" spans="1:23" x14ac:dyDescent="0.2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</row>
    <row r="907" spans="1:23" x14ac:dyDescent="0.2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</row>
    <row r="908" spans="1:23" x14ac:dyDescent="0.2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</row>
    <row r="909" spans="1:23" x14ac:dyDescent="0.2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</row>
    <row r="910" spans="1:23" x14ac:dyDescent="0.2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</row>
    <row r="911" spans="1:23" x14ac:dyDescent="0.2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</row>
    <row r="912" spans="1:23" x14ac:dyDescent="0.2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</row>
    <row r="913" spans="1:23" x14ac:dyDescent="0.2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</row>
    <row r="914" spans="1:23" x14ac:dyDescent="0.2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</row>
    <row r="915" spans="1:23" x14ac:dyDescent="0.2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</row>
    <row r="916" spans="1:23" x14ac:dyDescent="0.2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</row>
    <row r="917" spans="1:23" x14ac:dyDescent="0.2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</row>
    <row r="918" spans="1:23" x14ac:dyDescent="0.2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</row>
    <row r="919" spans="1:23" x14ac:dyDescent="0.2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</row>
    <row r="920" spans="1:23" x14ac:dyDescent="0.2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</row>
    <row r="921" spans="1:23" x14ac:dyDescent="0.2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</row>
    <row r="922" spans="1:23" x14ac:dyDescent="0.2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</row>
    <row r="923" spans="1:23" x14ac:dyDescent="0.2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</row>
    <row r="924" spans="1:23" x14ac:dyDescent="0.2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</row>
    <row r="925" spans="1:23" x14ac:dyDescent="0.2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</row>
    <row r="926" spans="1:23" x14ac:dyDescent="0.2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</row>
    <row r="927" spans="1:23" x14ac:dyDescent="0.2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</row>
    <row r="928" spans="1:23" x14ac:dyDescent="0.2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</row>
    <row r="929" spans="1:23" x14ac:dyDescent="0.2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</row>
    <row r="930" spans="1:23" x14ac:dyDescent="0.2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</row>
    <row r="931" spans="1:23" x14ac:dyDescent="0.2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</row>
    <row r="932" spans="1:23" x14ac:dyDescent="0.2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</row>
    <row r="933" spans="1:23" x14ac:dyDescent="0.2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</row>
    <row r="934" spans="1:23" x14ac:dyDescent="0.2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</row>
    <row r="935" spans="1:23" x14ac:dyDescent="0.2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</row>
    <row r="936" spans="1:23" x14ac:dyDescent="0.2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</row>
    <row r="937" spans="1:23" x14ac:dyDescent="0.2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</row>
    <row r="938" spans="1:23" x14ac:dyDescent="0.2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</row>
    <row r="939" spans="1:23" x14ac:dyDescent="0.2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</row>
    <row r="940" spans="1:23" x14ac:dyDescent="0.2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</row>
    <row r="941" spans="1:23" x14ac:dyDescent="0.2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</row>
    <row r="942" spans="1:23" x14ac:dyDescent="0.2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</row>
    <row r="943" spans="1:23" x14ac:dyDescent="0.2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</row>
    <row r="944" spans="1:23" x14ac:dyDescent="0.2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</row>
    <row r="945" spans="1:23" x14ac:dyDescent="0.2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</row>
    <row r="946" spans="1:23" x14ac:dyDescent="0.2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</row>
    <row r="947" spans="1:23" x14ac:dyDescent="0.2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</row>
    <row r="948" spans="1:23" x14ac:dyDescent="0.2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</row>
    <row r="949" spans="1:23" x14ac:dyDescent="0.2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</row>
    <row r="950" spans="1:23" x14ac:dyDescent="0.2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</row>
    <row r="951" spans="1:23" x14ac:dyDescent="0.2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</row>
    <row r="952" spans="1:23" x14ac:dyDescent="0.2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</row>
    <row r="953" spans="1:23" x14ac:dyDescent="0.2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</row>
    <row r="954" spans="1:23" x14ac:dyDescent="0.2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</row>
    <row r="955" spans="1:23" x14ac:dyDescent="0.2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</row>
    <row r="956" spans="1:23" x14ac:dyDescent="0.2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</row>
    <row r="957" spans="1:23" x14ac:dyDescent="0.2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</row>
    <row r="958" spans="1:23" x14ac:dyDescent="0.2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</row>
    <row r="959" spans="1:23" x14ac:dyDescent="0.2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</row>
    <row r="960" spans="1:23" x14ac:dyDescent="0.2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</row>
    <row r="961" spans="1:23" x14ac:dyDescent="0.2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</row>
    <row r="962" spans="1:23" x14ac:dyDescent="0.2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</row>
    <row r="963" spans="1:23" x14ac:dyDescent="0.2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</row>
    <row r="964" spans="1:23" x14ac:dyDescent="0.2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</row>
    <row r="965" spans="1:23" x14ac:dyDescent="0.2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</row>
    <row r="966" spans="1:23" x14ac:dyDescent="0.2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</row>
    <row r="967" spans="1:23" x14ac:dyDescent="0.2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</row>
    <row r="968" spans="1:23" x14ac:dyDescent="0.2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</row>
    <row r="969" spans="1:23" x14ac:dyDescent="0.2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</row>
    <row r="970" spans="1:23" x14ac:dyDescent="0.2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</row>
    <row r="971" spans="1:23" x14ac:dyDescent="0.2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</row>
    <row r="972" spans="1:23" x14ac:dyDescent="0.2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</row>
    <row r="973" spans="1:23" x14ac:dyDescent="0.2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</row>
    <row r="974" spans="1:23" x14ac:dyDescent="0.2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</row>
    <row r="975" spans="1:23" x14ac:dyDescent="0.2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</row>
    <row r="976" spans="1:23" x14ac:dyDescent="0.2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</row>
    <row r="977" spans="1:23" x14ac:dyDescent="0.2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</row>
    <row r="978" spans="1:23" x14ac:dyDescent="0.2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</row>
    <row r="979" spans="1:23" x14ac:dyDescent="0.2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</row>
    <row r="980" spans="1:23" x14ac:dyDescent="0.2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</row>
    <row r="981" spans="1:23" x14ac:dyDescent="0.2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</row>
    <row r="982" spans="1:23" x14ac:dyDescent="0.2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</row>
    <row r="983" spans="1:23" x14ac:dyDescent="0.2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</row>
    <row r="984" spans="1:23" x14ac:dyDescent="0.2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</row>
    <row r="985" spans="1:23" x14ac:dyDescent="0.2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</row>
    <row r="986" spans="1:23" x14ac:dyDescent="0.2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</row>
    <row r="987" spans="1:23" x14ac:dyDescent="0.2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</row>
    <row r="988" spans="1:23" x14ac:dyDescent="0.2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</row>
    <row r="989" spans="1:23" x14ac:dyDescent="0.2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</row>
    <row r="990" spans="1:23" x14ac:dyDescent="0.2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</row>
    <row r="991" spans="1:23" x14ac:dyDescent="0.2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</row>
    <row r="992" spans="1:23" x14ac:dyDescent="0.2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</row>
    <row r="993" spans="1:23" x14ac:dyDescent="0.2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</row>
    <row r="994" spans="1:23" x14ac:dyDescent="0.2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</row>
    <row r="995" spans="1:23" x14ac:dyDescent="0.2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</row>
    <row r="996" spans="1:23" x14ac:dyDescent="0.2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</row>
    <row r="997" spans="1:23" x14ac:dyDescent="0.2">
      <c r="A997" s="169"/>
      <c r="B997" s="169"/>
      <c r="C997" s="169"/>
      <c r="D997" s="169"/>
      <c r="E997" s="169"/>
      <c r="F997" s="169"/>
      <c r="G997" s="169"/>
      <c r="H997" s="169"/>
      <c r="I997" s="169"/>
      <c r="J997" s="169"/>
      <c r="K997" s="169"/>
      <c r="L997" s="169"/>
      <c r="M997" s="169"/>
      <c r="N997" s="169"/>
      <c r="O997" s="169"/>
      <c r="P997" s="169"/>
      <c r="Q997" s="169"/>
      <c r="R997" s="169"/>
      <c r="S997" s="169"/>
      <c r="T997" s="169"/>
      <c r="U997" s="169"/>
      <c r="V997" s="169"/>
      <c r="W997" s="169"/>
    </row>
    <row r="998" spans="1:23" x14ac:dyDescent="0.2">
      <c r="A998" s="169"/>
      <c r="B998" s="169"/>
      <c r="C998" s="169"/>
      <c r="D998" s="169"/>
      <c r="E998" s="169"/>
      <c r="F998" s="169"/>
      <c r="G998" s="169"/>
      <c r="H998" s="169"/>
      <c r="I998" s="169"/>
      <c r="J998" s="169"/>
      <c r="K998" s="169"/>
      <c r="L998" s="169"/>
      <c r="M998" s="169"/>
      <c r="N998" s="169"/>
      <c r="O998" s="169"/>
      <c r="P998" s="169"/>
      <c r="Q998" s="169"/>
      <c r="R998" s="169"/>
      <c r="S998" s="169"/>
      <c r="T998" s="169"/>
      <c r="U998" s="169"/>
      <c r="V998" s="169"/>
      <c r="W998" s="169"/>
    </row>
    <row r="999" spans="1:23" x14ac:dyDescent="0.2">
      <c r="A999" s="169"/>
      <c r="B999" s="169"/>
      <c r="C999" s="169"/>
      <c r="D999" s="169"/>
      <c r="E999" s="169"/>
      <c r="F999" s="169"/>
      <c r="G999" s="169"/>
      <c r="H999" s="169"/>
      <c r="I999" s="169"/>
      <c r="J999" s="169"/>
      <c r="K999" s="169"/>
      <c r="L999" s="169"/>
      <c r="M999" s="169"/>
      <c r="N999" s="169"/>
      <c r="O999" s="169"/>
      <c r="P999" s="169"/>
      <c r="Q999" s="169"/>
      <c r="R999" s="169"/>
      <c r="S999" s="169"/>
      <c r="T999" s="169"/>
      <c r="U999" s="169"/>
      <c r="V999" s="169"/>
      <c r="W999" s="169"/>
    </row>
    <row r="1000" spans="1:23" x14ac:dyDescent="0.2">
      <c r="A1000" s="169"/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9"/>
      <c r="W1000" s="169"/>
    </row>
    <row r="1001" spans="1:23" x14ac:dyDescent="0.2">
      <c r="A1001" s="169"/>
      <c r="B1001" s="169"/>
      <c r="C1001" s="169"/>
      <c r="D1001" s="169"/>
      <c r="E1001" s="169"/>
      <c r="F1001" s="169"/>
      <c r="G1001" s="169"/>
      <c r="H1001" s="169"/>
      <c r="I1001" s="169"/>
      <c r="J1001" s="169"/>
      <c r="K1001" s="169"/>
      <c r="L1001" s="169"/>
      <c r="M1001" s="169"/>
      <c r="N1001" s="169"/>
      <c r="O1001" s="169"/>
      <c r="P1001" s="169"/>
      <c r="Q1001" s="169"/>
      <c r="R1001" s="169"/>
      <c r="S1001" s="169"/>
      <c r="T1001" s="169"/>
      <c r="U1001" s="169"/>
      <c r="V1001" s="169"/>
      <c r="W1001" s="169"/>
    </row>
    <row r="1002" spans="1:23" x14ac:dyDescent="0.2">
      <c r="A1002" s="169"/>
      <c r="B1002" s="169"/>
      <c r="C1002" s="169"/>
      <c r="D1002" s="169"/>
      <c r="E1002" s="169"/>
      <c r="F1002" s="169"/>
      <c r="G1002" s="169"/>
      <c r="H1002" s="169"/>
      <c r="I1002" s="169"/>
      <c r="J1002" s="169"/>
      <c r="K1002" s="169"/>
      <c r="L1002" s="169"/>
      <c r="M1002" s="169"/>
      <c r="N1002" s="169"/>
      <c r="O1002" s="169"/>
      <c r="P1002" s="169"/>
      <c r="Q1002" s="169"/>
      <c r="R1002" s="169"/>
      <c r="S1002" s="169"/>
      <c r="T1002" s="169"/>
      <c r="U1002" s="169"/>
      <c r="V1002" s="169"/>
      <c r="W1002" s="169"/>
    </row>
    <row r="1003" spans="1:23" x14ac:dyDescent="0.2">
      <c r="A1003" s="169"/>
      <c r="B1003" s="169"/>
      <c r="C1003" s="169"/>
      <c r="D1003" s="169"/>
      <c r="E1003" s="169"/>
      <c r="F1003" s="169"/>
      <c r="G1003" s="169"/>
      <c r="H1003" s="169"/>
      <c r="I1003" s="169"/>
      <c r="J1003" s="169"/>
      <c r="K1003" s="169"/>
      <c r="L1003" s="169"/>
      <c r="M1003" s="169"/>
      <c r="N1003" s="169"/>
      <c r="O1003" s="169"/>
      <c r="P1003" s="169"/>
      <c r="Q1003" s="169"/>
      <c r="R1003" s="169"/>
      <c r="S1003" s="169"/>
      <c r="T1003" s="169"/>
      <c r="U1003" s="169"/>
      <c r="V1003" s="169"/>
      <c r="W1003" s="169"/>
    </row>
    <row r="1004" spans="1:23" x14ac:dyDescent="0.2">
      <c r="A1004" s="169"/>
      <c r="B1004" s="169"/>
      <c r="C1004" s="169"/>
      <c r="D1004" s="169"/>
      <c r="E1004" s="169"/>
      <c r="F1004" s="169"/>
      <c r="G1004" s="169"/>
      <c r="H1004" s="169"/>
      <c r="I1004" s="169"/>
      <c r="J1004" s="169"/>
      <c r="K1004" s="169"/>
      <c r="L1004" s="169"/>
      <c r="M1004" s="169"/>
      <c r="N1004" s="169"/>
      <c r="O1004" s="169"/>
      <c r="P1004" s="169"/>
      <c r="Q1004" s="169"/>
      <c r="R1004" s="169"/>
      <c r="S1004" s="169"/>
      <c r="T1004" s="169"/>
      <c r="U1004" s="169"/>
      <c r="V1004" s="169"/>
      <c r="W1004" s="169"/>
    </row>
    <row r="1005" spans="1:23" x14ac:dyDescent="0.2">
      <c r="A1005" s="169"/>
      <c r="B1005" s="169"/>
      <c r="C1005" s="169"/>
      <c r="D1005" s="169"/>
      <c r="E1005" s="169"/>
      <c r="F1005" s="169"/>
      <c r="G1005" s="169"/>
      <c r="H1005" s="169"/>
      <c r="I1005" s="169"/>
      <c r="J1005" s="169"/>
      <c r="K1005" s="169"/>
      <c r="L1005" s="169"/>
      <c r="M1005" s="169"/>
      <c r="N1005" s="169"/>
      <c r="O1005" s="169"/>
      <c r="P1005" s="169"/>
      <c r="Q1005" s="169"/>
      <c r="R1005" s="169"/>
      <c r="S1005" s="169"/>
      <c r="T1005" s="169"/>
      <c r="U1005" s="169"/>
      <c r="V1005" s="169"/>
      <c r="W1005" s="169"/>
    </row>
    <row r="1006" spans="1:23" x14ac:dyDescent="0.2">
      <c r="A1006" s="169"/>
      <c r="B1006" s="169"/>
      <c r="C1006" s="169"/>
      <c r="D1006" s="169"/>
      <c r="E1006" s="169"/>
      <c r="F1006" s="169"/>
      <c r="G1006" s="169"/>
      <c r="H1006" s="169"/>
      <c r="I1006" s="169"/>
      <c r="J1006" s="169"/>
      <c r="K1006" s="169"/>
      <c r="L1006" s="169"/>
      <c r="M1006" s="169"/>
      <c r="N1006" s="169"/>
      <c r="O1006" s="169"/>
      <c r="P1006" s="169"/>
      <c r="Q1006" s="169"/>
      <c r="R1006" s="169"/>
      <c r="S1006" s="169"/>
      <c r="T1006" s="169"/>
      <c r="U1006" s="169"/>
      <c r="V1006" s="169"/>
      <c r="W1006" s="169"/>
    </row>
    <row r="1007" spans="1:23" x14ac:dyDescent="0.2">
      <c r="A1007" s="169"/>
      <c r="B1007" s="169"/>
      <c r="C1007" s="169"/>
      <c r="D1007" s="169"/>
      <c r="E1007" s="169"/>
      <c r="F1007" s="169"/>
      <c r="G1007" s="169"/>
      <c r="H1007" s="169"/>
      <c r="I1007" s="169"/>
      <c r="J1007" s="169"/>
      <c r="K1007" s="169"/>
      <c r="L1007" s="169"/>
      <c r="M1007" s="169"/>
      <c r="N1007" s="169"/>
      <c r="O1007" s="169"/>
      <c r="P1007" s="169"/>
      <c r="Q1007" s="169"/>
      <c r="R1007" s="169"/>
      <c r="S1007" s="169"/>
      <c r="T1007" s="169"/>
      <c r="U1007" s="169"/>
      <c r="V1007" s="169"/>
      <c r="W1007" s="169"/>
    </row>
    <row r="1008" spans="1:23" x14ac:dyDescent="0.2">
      <c r="A1008" s="169"/>
      <c r="B1008" s="169"/>
      <c r="C1008" s="169"/>
      <c r="D1008" s="169"/>
      <c r="E1008" s="169"/>
      <c r="F1008" s="169"/>
      <c r="G1008" s="169"/>
      <c r="H1008" s="169"/>
      <c r="I1008" s="169"/>
      <c r="J1008" s="169"/>
      <c r="K1008" s="169"/>
      <c r="L1008" s="169"/>
      <c r="M1008" s="169"/>
      <c r="N1008" s="169"/>
      <c r="O1008" s="169"/>
      <c r="P1008" s="169"/>
      <c r="Q1008" s="169"/>
      <c r="R1008" s="169"/>
      <c r="S1008" s="169"/>
      <c r="T1008" s="169"/>
      <c r="U1008" s="169"/>
      <c r="V1008" s="169"/>
      <c r="W1008" s="169"/>
    </row>
    <row r="1009" spans="1:23" x14ac:dyDescent="0.2">
      <c r="A1009" s="169"/>
      <c r="B1009" s="169"/>
      <c r="C1009" s="169"/>
      <c r="D1009" s="169"/>
      <c r="E1009" s="169"/>
      <c r="F1009" s="169"/>
      <c r="G1009" s="169"/>
      <c r="H1009" s="169"/>
      <c r="I1009" s="169"/>
      <c r="J1009" s="169"/>
      <c r="K1009" s="169"/>
      <c r="L1009" s="169"/>
      <c r="M1009" s="169"/>
      <c r="N1009" s="169"/>
      <c r="O1009" s="169"/>
      <c r="P1009" s="169"/>
      <c r="Q1009" s="169"/>
      <c r="R1009" s="169"/>
      <c r="S1009" s="169"/>
      <c r="T1009" s="169"/>
      <c r="U1009" s="169"/>
      <c r="V1009" s="169"/>
      <c r="W1009" s="169"/>
    </row>
    <row r="1010" spans="1:23" x14ac:dyDescent="0.2">
      <c r="A1010" s="169"/>
      <c r="B1010" s="169"/>
      <c r="C1010" s="169"/>
      <c r="D1010" s="169"/>
      <c r="E1010" s="169"/>
      <c r="F1010" s="169"/>
      <c r="G1010" s="169"/>
      <c r="H1010" s="169"/>
      <c r="I1010" s="169"/>
      <c r="J1010" s="169"/>
      <c r="K1010" s="169"/>
      <c r="L1010" s="169"/>
      <c r="M1010" s="169"/>
      <c r="N1010" s="169"/>
      <c r="O1010" s="169"/>
      <c r="P1010" s="169"/>
      <c r="Q1010" s="169"/>
      <c r="R1010" s="169"/>
      <c r="S1010" s="169"/>
      <c r="T1010" s="169"/>
      <c r="U1010" s="169"/>
      <c r="V1010" s="169"/>
      <c r="W1010" s="169"/>
    </row>
    <row r="1011" spans="1:23" x14ac:dyDescent="0.2">
      <c r="A1011" s="169"/>
      <c r="B1011" s="169"/>
      <c r="C1011" s="169"/>
      <c r="D1011" s="169"/>
      <c r="E1011" s="169"/>
      <c r="F1011" s="169"/>
      <c r="G1011" s="169"/>
      <c r="H1011" s="169"/>
      <c r="I1011" s="169"/>
      <c r="J1011" s="169"/>
      <c r="K1011" s="169"/>
      <c r="L1011" s="169"/>
      <c r="M1011" s="169"/>
      <c r="N1011" s="169"/>
      <c r="O1011" s="169"/>
      <c r="P1011" s="169"/>
      <c r="Q1011" s="169"/>
      <c r="R1011" s="169"/>
      <c r="S1011" s="169"/>
      <c r="T1011" s="169"/>
      <c r="U1011" s="169"/>
      <c r="V1011" s="169"/>
      <c r="W1011" s="169"/>
    </row>
    <row r="1012" spans="1:23" x14ac:dyDescent="0.2">
      <c r="A1012" s="169"/>
      <c r="B1012" s="169"/>
      <c r="C1012" s="169"/>
      <c r="D1012" s="169"/>
      <c r="E1012" s="169"/>
      <c r="F1012" s="169"/>
      <c r="G1012" s="169"/>
      <c r="H1012" s="169"/>
      <c r="I1012" s="169"/>
      <c r="J1012" s="169"/>
      <c r="K1012" s="169"/>
      <c r="L1012" s="169"/>
      <c r="M1012" s="169"/>
      <c r="N1012" s="169"/>
      <c r="O1012" s="169"/>
      <c r="P1012" s="169"/>
      <c r="Q1012" s="169"/>
      <c r="R1012" s="169"/>
      <c r="S1012" s="169"/>
      <c r="T1012" s="169"/>
      <c r="U1012" s="169"/>
      <c r="V1012" s="169"/>
      <c r="W1012" s="169"/>
    </row>
    <row r="1013" spans="1:23" x14ac:dyDescent="0.2">
      <c r="A1013" s="169"/>
      <c r="B1013" s="169"/>
      <c r="C1013" s="169"/>
      <c r="D1013" s="169"/>
      <c r="E1013" s="169"/>
      <c r="F1013" s="169"/>
      <c r="G1013" s="169"/>
      <c r="H1013" s="169"/>
      <c r="I1013" s="169"/>
      <c r="J1013" s="169"/>
      <c r="K1013" s="169"/>
      <c r="L1013" s="169"/>
      <c r="M1013" s="169"/>
      <c r="N1013" s="169"/>
      <c r="O1013" s="169"/>
      <c r="P1013" s="169"/>
      <c r="Q1013" s="169"/>
      <c r="R1013" s="169"/>
      <c r="S1013" s="169"/>
      <c r="T1013" s="169"/>
      <c r="U1013" s="169"/>
      <c r="V1013" s="169"/>
      <c r="W1013" s="169"/>
    </row>
    <row r="1014" spans="1:23" x14ac:dyDescent="0.2">
      <c r="A1014" s="169"/>
      <c r="B1014" s="169"/>
      <c r="C1014" s="169"/>
      <c r="D1014" s="169"/>
      <c r="E1014" s="169"/>
      <c r="F1014" s="169"/>
      <c r="G1014" s="169"/>
      <c r="H1014" s="169"/>
      <c r="I1014" s="169"/>
      <c r="J1014" s="169"/>
      <c r="K1014" s="169"/>
      <c r="L1014" s="169"/>
      <c r="M1014" s="169"/>
      <c r="N1014" s="169"/>
      <c r="O1014" s="169"/>
      <c r="P1014" s="169"/>
      <c r="Q1014" s="169"/>
      <c r="R1014" s="169"/>
      <c r="S1014" s="169"/>
      <c r="T1014" s="169"/>
      <c r="U1014" s="169"/>
      <c r="V1014" s="169"/>
      <c r="W1014" s="169"/>
    </row>
    <row r="1015" spans="1:23" x14ac:dyDescent="0.2">
      <c r="A1015" s="169"/>
      <c r="B1015" s="169"/>
      <c r="C1015" s="169"/>
      <c r="D1015" s="169"/>
      <c r="E1015" s="169"/>
      <c r="F1015" s="169"/>
      <c r="G1015" s="169"/>
      <c r="H1015" s="169"/>
      <c r="I1015" s="169"/>
      <c r="J1015" s="169"/>
      <c r="K1015" s="169"/>
      <c r="L1015" s="169"/>
      <c r="M1015" s="169"/>
      <c r="N1015" s="169"/>
      <c r="O1015" s="169"/>
      <c r="P1015" s="169"/>
      <c r="Q1015" s="169"/>
      <c r="R1015" s="169"/>
      <c r="S1015" s="169"/>
      <c r="T1015" s="169"/>
      <c r="U1015" s="169"/>
      <c r="V1015" s="169"/>
      <c r="W1015" s="169"/>
    </row>
    <row r="1016" spans="1:23" x14ac:dyDescent="0.2">
      <c r="A1016" s="169"/>
      <c r="B1016" s="169"/>
      <c r="C1016" s="169"/>
      <c r="D1016" s="169"/>
      <c r="E1016" s="169"/>
      <c r="F1016" s="169"/>
      <c r="G1016" s="169"/>
      <c r="H1016" s="169"/>
      <c r="I1016" s="169"/>
      <c r="J1016" s="169"/>
      <c r="K1016" s="169"/>
      <c r="L1016" s="169"/>
      <c r="M1016" s="169"/>
      <c r="N1016" s="169"/>
      <c r="O1016" s="169"/>
      <c r="P1016" s="169"/>
      <c r="Q1016" s="169"/>
      <c r="R1016" s="169"/>
      <c r="S1016" s="169"/>
      <c r="T1016" s="169"/>
      <c r="U1016" s="169"/>
      <c r="V1016" s="169"/>
      <c r="W1016" s="169"/>
    </row>
    <row r="1017" spans="1:23" x14ac:dyDescent="0.2">
      <c r="A1017" s="169"/>
      <c r="B1017" s="169"/>
      <c r="C1017" s="169"/>
      <c r="D1017" s="169"/>
      <c r="E1017" s="169"/>
      <c r="F1017" s="169"/>
      <c r="G1017" s="169"/>
      <c r="H1017" s="169"/>
      <c r="I1017" s="169"/>
      <c r="J1017" s="169"/>
      <c r="K1017" s="169"/>
      <c r="L1017" s="169"/>
      <c r="M1017" s="169"/>
      <c r="N1017" s="169"/>
      <c r="O1017" s="169"/>
      <c r="P1017" s="169"/>
      <c r="Q1017" s="169"/>
      <c r="R1017" s="169"/>
      <c r="S1017" s="169"/>
      <c r="T1017" s="169"/>
      <c r="U1017" s="169"/>
      <c r="V1017" s="169"/>
      <c r="W1017" s="169"/>
    </row>
    <row r="1018" spans="1:23" x14ac:dyDescent="0.2">
      <c r="A1018" s="169"/>
      <c r="B1018" s="169"/>
      <c r="C1018" s="169"/>
      <c r="D1018" s="169"/>
      <c r="E1018" s="169"/>
      <c r="F1018" s="169"/>
      <c r="G1018" s="169"/>
      <c r="H1018" s="169"/>
      <c r="I1018" s="169"/>
      <c r="J1018" s="169"/>
      <c r="K1018" s="169"/>
      <c r="L1018" s="169"/>
      <c r="M1018" s="169"/>
      <c r="N1018" s="169"/>
      <c r="O1018" s="169"/>
      <c r="P1018" s="169"/>
      <c r="Q1018" s="169"/>
      <c r="R1018" s="169"/>
      <c r="S1018" s="169"/>
      <c r="T1018" s="169"/>
      <c r="U1018" s="169"/>
      <c r="V1018" s="169"/>
      <c r="W1018" s="169"/>
    </row>
    <row r="1019" spans="1:23" x14ac:dyDescent="0.2">
      <c r="A1019" s="169"/>
      <c r="B1019" s="169"/>
      <c r="C1019" s="169"/>
      <c r="D1019" s="169"/>
      <c r="E1019" s="169"/>
      <c r="F1019" s="169"/>
      <c r="G1019" s="169"/>
      <c r="H1019" s="169"/>
      <c r="I1019" s="169"/>
      <c r="J1019" s="169"/>
      <c r="K1019" s="169"/>
      <c r="L1019" s="169"/>
      <c r="M1019" s="169"/>
      <c r="N1019" s="169"/>
      <c r="O1019" s="169"/>
      <c r="P1019" s="169"/>
      <c r="Q1019" s="169"/>
      <c r="R1019" s="169"/>
      <c r="S1019" s="169"/>
      <c r="T1019" s="169"/>
      <c r="U1019" s="169"/>
      <c r="V1019" s="169"/>
      <c r="W1019" s="169"/>
    </row>
    <row r="1020" spans="1:23" x14ac:dyDescent="0.2">
      <c r="A1020" s="169"/>
      <c r="B1020" s="169"/>
      <c r="C1020" s="169"/>
      <c r="D1020" s="169"/>
      <c r="E1020" s="169"/>
      <c r="F1020" s="169"/>
      <c r="G1020" s="169"/>
      <c r="H1020" s="169"/>
      <c r="I1020" s="169"/>
      <c r="J1020" s="169"/>
      <c r="K1020" s="169"/>
      <c r="L1020" s="169"/>
      <c r="M1020" s="169"/>
      <c r="N1020" s="169"/>
      <c r="O1020" s="169"/>
      <c r="P1020" s="169"/>
      <c r="Q1020" s="169"/>
      <c r="R1020" s="169"/>
      <c r="S1020" s="169"/>
      <c r="T1020" s="169"/>
      <c r="U1020" s="169"/>
      <c r="V1020" s="169"/>
      <c r="W1020" s="169"/>
    </row>
  </sheetData>
  <autoFilter ref="A1:F113" xr:uid="{4D3F6A26-B83A-B541-9236-F78769EDA96C}">
    <filterColumn colId="1">
      <filters>
        <filter val="Land Acquisition/Refinance Settlement"/>
      </filters>
    </filterColumn>
    <sortState xmlns:xlrd2="http://schemas.microsoft.com/office/spreadsheetml/2017/richdata2" ref="A2:F113">
      <sortCondition ref="A1:A113"/>
    </sortState>
  </autoFilter>
  <sortState xmlns:xlrd2="http://schemas.microsoft.com/office/spreadsheetml/2017/richdata2" ref="A2:F113">
    <sortCondition ref="A1:A11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topLeftCell="A67" workbookViewId="0"/>
  </sheetViews>
  <sheetFormatPr baseColWidth="10" defaultColWidth="10.140625" defaultRowHeight="15" customHeight="1" x14ac:dyDescent="0.2"/>
  <cols>
    <col min="1" max="1" width="11.140625" customWidth="1"/>
    <col min="2" max="2" width="60.7109375" customWidth="1"/>
    <col min="3" max="26" width="11" customWidth="1"/>
  </cols>
  <sheetData>
    <row r="1" spans="1:4" ht="15.75" customHeight="1" x14ac:dyDescent="0.2"/>
    <row r="2" spans="1:4" ht="15.75" customHeight="1" x14ac:dyDescent="0.2">
      <c r="A2" s="117" t="s">
        <v>23</v>
      </c>
      <c r="B2" s="117" t="s">
        <v>25</v>
      </c>
      <c r="C2" s="117" t="s">
        <v>605</v>
      </c>
      <c r="D2" s="117" t="s">
        <v>606</v>
      </c>
    </row>
    <row r="3" spans="1:4" ht="15.75" customHeight="1" x14ac:dyDescent="0.2">
      <c r="B3" s="7" t="s">
        <v>607</v>
      </c>
      <c r="D3" s="7">
        <v>300000</v>
      </c>
    </row>
    <row r="4" spans="1:4" ht="15.75" customHeight="1" x14ac:dyDescent="0.2">
      <c r="B4" s="118" t="s">
        <v>267</v>
      </c>
      <c r="D4" s="7">
        <v>30000</v>
      </c>
    </row>
    <row r="5" spans="1:4" ht="15.75" customHeight="1" x14ac:dyDescent="0.2">
      <c r="A5" s="28">
        <v>40325</v>
      </c>
      <c r="B5" s="118" t="s">
        <v>412</v>
      </c>
      <c r="D5" s="7">
        <v>700</v>
      </c>
    </row>
    <row r="6" spans="1:4" ht="15.75" customHeight="1" x14ac:dyDescent="0.2">
      <c r="B6" s="118" t="s">
        <v>608</v>
      </c>
      <c r="D6" s="7">
        <v>15656</v>
      </c>
    </row>
    <row r="7" spans="1:4" ht="15.75" customHeight="1" x14ac:dyDescent="0.2">
      <c r="B7" s="118"/>
    </row>
    <row r="8" spans="1:4" ht="15.75" customHeight="1" x14ac:dyDescent="0.2">
      <c r="B8" s="118"/>
    </row>
    <row r="9" spans="1:4" ht="15.75" customHeight="1" x14ac:dyDescent="0.2">
      <c r="B9" s="7" t="s">
        <v>609</v>
      </c>
      <c r="D9" s="7">
        <v>372500</v>
      </c>
    </row>
    <row r="10" spans="1:4" ht="15.75" customHeight="1" x14ac:dyDescent="0.2">
      <c r="B10" s="118" t="s">
        <v>267</v>
      </c>
      <c r="D10" s="7">
        <v>37250</v>
      </c>
    </row>
    <row r="11" spans="1:4" ht="15.75" customHeight="1" x14ac:dyDescent="0.2">
      <c r="B11" s="118" t="s">
        <v>610</v>
      </c>
      <c r="D11" s="7">
        <v>24879</v>
      </c>
    </row>
    <row r="12" spans="1:4" ht="15.75" customHeight="1" x14ac:dyDescent="0.2">
      <c r="B12" s="118" t="s">
        <v>412</v>
      </c>
      <c r="D12" s="7">
        <v>1100</v>
      </c>
    </row>
    <row r="13" spans="1:4" ht="15.75" customHeight="1" x14ac:dyDescent="0.2">
      <c r="B13" s="118"/>
    </row>
    <row r="14" spans="1:4" ht="15.75" customHeight="1" x14ac:dyDescent="0.2">
      <c r="A14" s="119"/>
      <c r="B14" s="119" t="s">
        <v>611</v>
      </c>
      <c r="C14" s="119"/>
      <c r="D14" s="119">
        <f>D4+D5+D6+D7+D10+D11+D12+D13</f>
        <v>109585</v>
      </c>
    </row>
    <row r="15" spans="1:4" ht="15.75" customHeight="1" x14ac:dyDescent="0.2"/>
    <row r="16" spans="1:4" ht="15.75" customHeight="1" x14ac:dyDescent="0.2">
      <c r="A16" s="120"/>
      <c r="B16" s="120" t="s">
        <v>49</v>
      </c>
      <c r="C16" s="120" t="s">
        <v>605</v>
      </c>
      <c r="D16" s="120" t="s">
        <v>606</v>
      </c>
    </row>
    <row r="17" spans="1:4" ht="15.75" customHeight="1" x14ac:dyDescent="0.2">
      <c r="A17" s="28">
        <v>42533</v>
      </c>
      <c r="B17" s="7" t="s">
        <v>612</v>
      </c>
      <c r="C17" s="7"/>
      <c r="D17" s="7">
        <v>550</v>
      </c>
    </row>
    <row r="18" spans="1:4" ht="15.75" customHeight="1" x14ac:dyDescent="0.2">
      <c r="A18" s="28">
        <v>42551</v>
      </c>
      <c r="B18" s="7" t="s">
        <v>613</v>
      </c>
      <c r="C18" s="7"/>
      <c r="D18" s="7">
        <v>1210</v>
      </c>
    </row>
    <row r="19" spans="1:4" ht="15.75" customHeight="1" x14ac:dyDescent="0.2">
      <c r="A19" s="28">
        <v>42588</v>
      </c>
      <c r="B19" s="7" t="s">
        <v>72</v>
      </c>
      <c r="D19" s="7">
        <v>2255</v>
      </c>
    </row>
    <row r="20" spans="1:4" ht="15.75" customHeight="1" x14ac:dyDescent="0.2">
      <c r="A20" s="28">
        <v>42611</v>
      </c>
      <c r="B20" s="7" t="s">
        <v>82</v>
      </c>
      <c r="D20" s="7">
        <v>1560</v>
      </c>
    </row>
    <row r="21" spans="1:4" ht="15.75" customHeight="1" x14ac:dyDescent="0.2">
      <c r="A21" s="28">
        <v>42616</v>
      </c>
      <c r="B21" s="7" t="s">
        <v>614</v>
      </c>
      <c r="D21" s="7">
        <v>15453</v>
      </c>
    </row>
    <row r="22" spans="1:4" ht="15.75" customHeight="1" x14ac:dyDescent="0.2">
      <c r="A22" s="28">
        <v>42691</v>
      </c>
      <c r="B22" s="7" t="s">
        <v>615</v>
      </c>
      <c r="D22" s="7">
        <v>678</v>
      </c>
    </row>
    <row r="23" spans="1:4" ht="15.75" customHeight="1" x14ac:dyDescent="0.2">
      <c r="A23" s="28">
        <v>42976</v>
      </c>
      <c r="B23" s="7" t="s">
        <v>141</v>
      </c>
      <c r="D23" s="7">
        <v>1211</v>
      </c>
    </row>
    <row r="24" spans="1:4" ht="15.75" customHeight="1" x14ac:dyDescent="0.2">
      <c r="A24" s="28">
        <v>43007</v>
      </c>
      <c r="B24" s="7" t="s">
        <v>146</v>
      </c>
      <c r="D24" s="7">
        <v>4169</v>
      </c>
    </row>
    <row r="25" spans="1:4" ht="15.75" customHeight="1" x14ac:dyDescent="0.2">
      <c r="A25" s="28">
        <v>43074</v>
      </c>
      <c r="B25" s="7" t="s">
        <v>616</v>
      </c>
      <c r="D25" s="7">
        <v>1320</v>
      </c>
    </row>
    <row r="26" spans="1:4" ht="15.75" customHeight="1" x14ac:dyDescent="0.2">
      <c r="A26" s="28">
        <v>43090</v>
      </c>
      <c r="B26" s="7" t="s">
        <v>149</v>
      </c>
      <c r="D26" s="7">
        <v>1320</v>
      </c>
    </row>
    <row r="27" spans="1:4" ht="15.75" customHeight="1" x14ac:dyDescent="0.2">
      <c r="A27" s="28">
        <v>43200</v>
      </c>
      <c r="B27" s="7" t="s">
        <v>164</v>
      </c>
      <c r="D27" s="7">
        <v>167.92</v>
      </c>
    </row>
    <row r="28" spans="1:4" ht="15.75" customHeight="1" x14ac:dyDescent="0.2">
      <c r="A28" s="28">
        <v>43200</v>
      </c>
      <c r="B28" s="7" t="s">
        <v>164</v>
      </c>
      <c r="D28" s="7">
        <v>168.5</v>
      </c>
    </row>
    <row r="29" spans="1:4" ht="15.75" customHeight="1" x14ac:dyDescent="0.2">
      <c r="A29" s="28">
        <v>43226</v>
      </c>
      <c r="B29" s="7" t="s">
        <v>164</v>
      </c>
      <c r="D29" s="7">
        <v>170</v>
      </c>
    </row>
    <row r="30" spans="1:4" ht="15.75" customHeight="1" x14ac:dyDescent="0.2">
      <c r="A30" s="121"/>
      <c r="B30" s="121" t="s">
        <v>0</v>
      </c>
      <c r="C30" s="121"/>
      <c r="D30" s="121">
        <f>SUM(D17:D29)</f>
        <v>30232.42</v>
      </c>
    </row>
    <row r="31" spans="1:4" ht="15.75" customHeight="1" x14ac:dyDescent="0.2"/>
    <row r="32" spans="1:4" ht="15.75" customHeight="1" x14ac:dyDescent="0.2">
      <c r="A32" s="120"/>
      <c r="B32" s="120" t="s">
        <v>617</v>
      </c>
      <c r="C32" s="120"/>
      <c r="D32" s="120"/>
    </row>
    <row r="33" spans="1:6" ht="15.75" customHeight="1" x14ac:dyDescent="0.2">
      <c r="A33" s="28">
        <v>42848</v>
      </c>
      <c r="B33" s="7" t="s">
        <v>127</v>
      </c>
      <c r="D33" s="7">
        <v>770</v>
      </c>
    </row>
    <row r="34" spans="1:6" ht="15.75" customHeight="1" x14ac:dyDescent="0.2">
      <c r="A34" s="28">
        <v>42873</v>
      </c>
      <c r="B34" s="7" t="s">
        <v>71</v>
      </c>
      <c r="D34" s="7">
        <v>2200</v>
      </c>
    </row>
    <row r="35" spans="1:6" ht="15.75" customHeight="1" x14ac:dyDescent="0.2">
      <c r="A35" s="28">
        <v>42981</v>
      </c>
      <c r="B35" s="7" t="s">
        <v>618</v>
      </c>
      <c r="D35" s="7">
        <v>2200</v>
      </c>
    </row>
    <row r="36" spans="1:6" ht="15.75" customHeight="1" x14ac:dyDescent="0.2">
      <c r="A36" s="121"/>
      <c r="B36" s="121" t="s">
        <v>0</v>
      </c>
      <c r="C36" s="121"/>
      <c r="D36" s="121">
        <f>SUM(D33:D35)</f>
        <v>5170</v>
      </c>
    </row>
    <row r="37" spans="1:6" ht="15.75" customHeight="1" x14ac:dyDescent="0.2"/>
    <row r="38" spans="1:6" ht="15.75" customHeight="1" x14ac:dyDescent="0.2">
      <c r="A38" s="120"/>
      <c r="B38" s="121" t="s">
        <v>177</v>
      </c>
      <c r="C38" s="120"/>
      <c r="D38" s="120"/>
    </row>
    <row r="39" spans="1:6" ht="15.75" customHeight="1" x14ac:dyDescent="0.2">
      <c r="B39" s="119" t="s">
        <v>619</v>
      </c>
      <c r="C39" s="7">
        <v>11000</v>
      </c>
    </row>
    <row r="40" spans="1:6" ht="15.75" customHeight="1" x14ac:dyDescent="0.2">
      <c r="A40" s="28">
        <v>43438</v>
      </c>
      <c r="B40" s="7" t="s">
        <v>620</v>
      </c>
      <c r="D40" s="7">
        <v>2420</v>
      </c>
      <c r="F40" s="7"/>
    </row>
    <row r="41" spans="1:6" ht="15.75" customHeight="1" x14ac:dyDescent="0.2">
      <c r="A41" s="28">
        <v>43524</v>
      </c>
      <c r="B41" s="7" t="s">
        <v>621</v>
      </c>
      <c r="D41" s="7">
        <v>9955</v>
      </c>
      <c r="F41" s="7"/>
    </row>
    <row r="42" spans="1:6" ht="15.75" customHeight="1" x14ac:dyDescent="0.2">
      <c r="A42" s="28">
        <v>43537</v>
      </c>
      <c r="B42" s="7" t="s">
        <v>622</v>
      </c>
      <c r="D42" s="7"/>
      <c r="F42" s="7"/>
    </row>
    <row r="43" spans="1:6" ht="15.75" customHeight="1" x14ac:dyDescent="0.2">
      <c r="A43" s="28">
        <v>43611</v>
      </c>
      <c r="B43" s="7" t="s">
        <v>215</v>
      </c>
      <c r="D43" s="7"/>
      <c r="F43" s="7"/>
    </row>
    <row r="44" spans="1:6" ht="15.75" customHeight="1" x14ac:dyDescent="0.2">
      <c r="B44" s="119" t="s">
        <v>623</v>
      </c>
      <c r="C44" s="7">
        <v>4950</v>
      </c>
      <c r="D44" s="7"/>
      <c r="F44" s="7"/>
    </row>
    <row r="45" spans="1:6" ht="15.75" customHeight="1" x14ac:dyDescent="0.2">
      <c r="A45" s="28">
        <v>43601</v>
      </c>
      <c r="B45" s="7" t="s">
        <v>211</v>
      </c>
      <c r="D45" s="7">
        <v>3740</v>
      </c>
      <c r="F45" s="7"/>
    </row>
    <row r="46" spans="1:6" ht="15.75" customHeight="1" x14ac:dyDescent="0.2">
      <c r="B46" s="119" t="s">
        <v>624</v>
      </c>
      <c r="C46" s="7">
        <v>5500</v>
      </c>
      <c r="D46" s="7"/>
      <c r="F46" s="7"/>
    </row>
    <row r="47" spans="1:6" ht="15.75" customHeight="1" x14ac:dyDescent="0.2">
      <c r="A47" s="28">
        <v>43647</v>
      </c>
      <c r="B47" s="7" t="s">
        <v>229</v>
      </c>
      <c r="D47" s="7">
        <v>770</v>
      </c>
    </row>
    <row r="48" spans="1:6" ht="15.75" customHeight="1" x14ac:dyDescent="0.2">
      <c r="A48" s="28">
        <v>43492</v>
      </c>
      <c r="B48" s="7" t="s">
        <v>625</v>
      </c>
      <c r="D48" s="7">
        <v>2000</v>
      </c>
    </row>
    <row r="49" spans="1:9" ht="15.75" customHeight="1" x14ac:dyDescent="0.2">
      <c r="A49" s="28"/>
      <c r="B49" s="7" t="s">
        <v>626</v>
      </c>
      <c r="D49" s="7">
        <v>4897</v>
      </c>
    </row>
    <row r="50" spans="1:9" ht="15.75" customHeight="1" x14ac:dyDescent="0.2">
      <c r="B50" s="119" t="s">
        <v>627</v>
      </c>
      <c r="C50" s="7">
        <v>1650</v>
      </c>
      <c r="D50" s="7"/>
    </row>
    <row r="51" spans="1:9" ht="15.75" customHeight="1" x14ac:dyDescent="0.2">
      <c r="B51" s="119" t="s">
        <v>628</v>
      </c>
      <c r="C51" s="7">
        <v>1400</v>
      </c>
      <c r="D51" s="7">
        <v>1295</v>
      </c>
    </row>
    <row r="52" spans="1:9" ht="15.75" customHeight="1" x14ac:dyDescent="0.2">
      <c r="B52" s="119" t="s">
        <v>629</v>
      </c>
      <c r="C52" s="7">
        <v>550</v>
      </c>
      <c r="D52" s="7"/>
    </row>
    <row r="53" spans="1:9" ht="15.75" customHeight="1" x14ac:dyDescent="0.2">
      <c r="A53" s="28">
        <v>43517</v>
      </c>
      <c r="B53" s="7" t="s">
        <v>630</v>
      </c>
      <c r="D53" s="7">
        <v>440</v>
      </c>
    </row>
    <row r="54" spans="1:9" ht="15.75" customHeight="1" x14ac:dyDescent="0.2">
      <c r="A54" s="28">
        <v>43611</v>
      </c>
      <c r="B54" s="7" t="s">
        <v>215</v>
      </c>
      <c r="D54" s="7">
        <v>1425</v>
      </c>
    </row>
    <row r="55" spans="1:9" ht="15.75" customHeight="1" x14ac:dyDescent="0.2">
      <c r="A55" s="28">
        <v>44183</v>
      </c>
      <c r="B55" s="7" t="s">
        <v>333</v>
      </c>
      <c r="D55" s="119">
        <v>726</v>
      </c>
    </row>
    <row r="56" spans="1:9" ht="15.75" customHeight="1" x14ac:dyDescent="0.2">
      <c r="B56" s="7" t="s">
        <v>631</v>
      </c>
      <c r="C56" s="7">
        <f>SUM(C39:C52)*0.05</f>
        <v>1252.5</v>
      </c>
      <c r="D56" s="119"/>
    </row>
    <row r="57" spans="1:9" ht="15.75" customHeight="1" x14ac:dyDescent="0.2">
      <c r="A57" s="120"/>
      <c r="B57" s="121" t="s">
        <v>0</v>
      </c>
      <c r="C57" s="121">
        <f>SUM(C39:C56)</f>
        <v>26302.5</v>
      </c>
      <c r="D57" s="121">
        <f>SUM(D40:D56)</f>
        <v>27668</v>
      </c>
    </row>
    <row r="58" spans="1:9" ht="15.75" customHeight="1" x14ac:dyDescent="0.2">
      <c r="D58" s="7"/>
    </row>
    <row r="59" spans="1:9" ht="15.75" customHeight="1" x14ac:dyDescent="0.2">
      <c r="A59" s="120"/>
      <c r="B59" s="121" t="s">
        <v>412</v>
      </c>
      <c r="C59" s="120"/>
    </row>
    <row r="60" spans="1:9" ht="15.75" customHeight="1" x14ac:dyDescent="0.2">
      <c r="A60" s="28">
        <v>43569</v>
      </c>
      <c r="B60" s="7" t="s">
        <v>201</v>
      </c>
      <c r="C60" s="7">
        <v>5000</v>
      </c>
      <c r="D60" s="7">
        <v>3107.5</v>
      </c>
      <c r="I60" s="7" t="s">
        <v>56</v>
      </c>
    </row>
    <row r="61" spans="1:9" ht="15.75" customHeight="1" x14ac:dyDescent="0.2">
      <c r="A61" s="28">
        <v>43732</v>
      </c>
      <c r="B61" s="7" t="s">
        <v>249</v>
      </c>
      <c r="D61" s="7">
        <v>926.5</v>
      </c>
    </row>
    <row r="62" spans="1:9" ht="15.75" customHeight="1" x14ac:dyDescent="0.2">
      <c r="A62" s="28">
        <v>43804</v>
      </c>
      <c r="B62" s="7" t="s">
        <v>632</v>
      </c>
      <c r="D62" s="7">
        <v>3056.9</v>
      </c>
    </row>
    <row r="63" spans="1:9" ht="15.75" customHeight="1" x14ac:dyDescent="0.2">
      <c r="A63" s="28">
        <v>43901</v>
      </c>
      <c r="B63" s="7" t="s">
        <v>286</v>
      </c>
    </row>
    <row r="64" spans="1:9" ht="15.75" customHeight="1" x14ac:dyDescent="0.2">
      <c r="A64" s="28">
        <v>43901</v>
      </c>
      <c r="B64" s="7" t="s">
        <v>286</v>
      </c>
      <c r="D64" s="7">
        <v>522</v>
      </c>
    </row>
    <row r="65" spans="1:6" ht="15.75" customHeight="1" x14ac:dyDescent="0.2">
      <c r="A65" s="28">
        <v>43949</v>
      </c>
      <c r="B65" s="7" t="s">
        <v>633</v>
      </c>
      <c r="C65" s="7">
        <v>2500</v>
      </c>
      <c r="D65" s="7">
        <v>2575.7800000000002</v>
      </c>
    </row>
    <row r="66" spans="1:6" ht="15.75" customHeight="1" x14ac:dyDescent="0.2">
      <c r="A66" s="120"/>
      <c r="B66" s="121" t="s">
        <v>0</v>
      </c>
      <c r="C66" s="121">
        <f t="shared" ref="C66:D66" si="0">SUM(C60:C65)</f>
        <v>7500</v>
      </c>
      <c r="D66" s="121">
        <f t="shared" si="0"/>
        <v>10188.68</v>
      </c>
    </row>
    <row r="67" spans="1:6" ht="15.75" customHeight="1" x14ac:dyDescent="0.2">
      <c r="D67" s="7"/>
    </row>
    <row r="68" spans="1:6" ht="15.75" customHeight="1" x14ac:dyDescent="0.2">
      <c r="A68" s="120"/>
      <c r="B68" s="121" t="s">
        <v>634</v>
      </c>
      <c r="C68" s="120"/>
    </row>
    <row r="69" spans="1:6" ht="15.75" customHeight="1" x14ac:dyDescent="0.2">
      <c r="B69" s="119" t="s">
        <v>253</v>
      </c>
      <c r="C69" s="7">
        <v>25000</v>
      </c>
      <c r="D69" s="7">
        <v>2062.5</v>
      </c>
    </row>
    <row r="70" spans="1:6" ht="15.75" customHeight="1" x14ac:dyDescent="0.2">
      <c r="A70" s="28">
        <v>43743</v>
      </c>
      <c r="B70" s="7" t="s">
        <v>250</v>
      </c>
      <c r="D70" s="7">
        <v>500</v>
      </c>
      <c r="E70" s="7">
        <f>D69+D71+D72</f>
        <v>20975</v>
      </c>
    </row>
    <row r="71" spans="1:6" ht="15.75" customHeight="1" x14ac:dyDescent="0.2">
      <c r="A71" s="28">
        <v>43749</v>
      </c>
      <c r="B71" s="7" t="s">
        <v>256</v>
      </c>
      <c r="D71" s="7">
        <v>10312.5</v>
      </c>
    </row>
    <row r="72" spans="1:6" ht="15.75" customHeight="1" x14ac:dyDescent="0.2">
      <c r="A72" s="28">
        <v>43785</v>
      </c>
      <c r="B72" s="7" t="s">
        <v>264</v>
      </c>
      <c r="D72" s="7">
        <v>8600</v>
      </c>
    </row>
    <row r="73" spans="1:6" ht="15.75" customHeight="1" x14ac:dyDescent="0.2">
      <c r="A73" s="28">
        <v>43804</v>
      </c>
      <c r="B73" s="7" t="s">
        <v>271</v>
      </c>
    </row>
    <row r="74" spans="1:6" ht="15.75" customHeight="1" x14ac:dyDescent="0.2">
      <c r="B74" s="119" t="s">
        <v>635</v>
      </c>
      <c r="C74" s="7">
        <f>108*14000</f>
        <v>1512000</v>
      </c>
      <c r="D74" s="7">
        <v>2750</v>
      </c>
    </row>
    <row r="75" spans="1:6" ht="15.75" customHeight="1" x14ac:dyDescent="0.2">
      <c r="A75" s="28">
        <v>43802</v>
      </c>
      <c r="B75" s="7" t="s">
        <v>266</v>
      </c>
      <c r="D75" s="7">
        <v>10000</v>
      </c>
    </row>
    <row r="76" spans="1:6" ht="15.75" customHeight="1" x14ac:dyDescent="0.2">
      <c r="A76" s="28">
        <v>43810</v>
      </c>
      <c r="B76" s="7" t="s">
        <v>273</v>
      </c>
    </row>
    <row r="77" spans="1:6" ht="15.75" customHeight="1" x14ac:dyDescent="0.2">
      <c r="A77" s="28">
        <v>43927</v>
      </c>
      <c r="B77" s="7" t="s">
        <v>288</v>
      </c>
      <c r="D77" s="7">
        <v>435.25</v>
      </c>
    </row>
    <row r="78" spans="1:6" ht="15.75" customHeight="1" x14ac:dyDescent="0.2">
      <c r="A78" s="28">
        <v>43927</v>
      </c>
      <c r="B78" s="7" t="s">
        <v>290</v>
      </c>
      <c r="D78" s="7">
        <v>77</v>
      </c>
    </row>
    <row r="79" spans="1:6" ht="15.75" customHeight="1" x14ac:dyDescent="0.2">
      <c r="A79" s="28">
        <v>43973</v>
      </c>
      <c r="B79" s="7" t="s">
        <v>297</v>
      </c>
      <c r="D79" s="7">
        <v>165</v>
      </c>
      <c r="F79" s="28"/>
    </row>
    <row r="80" spans="1:6" ht="15.75" customHeight="1" x14ac:dyDescent="0.2">
      <c r="A80" s="7" t="s">
        <v>56</v>
      </c>
      <c r="B80" s="119" t="s">
        <v>636</v>
      </c>
      <c r="C80" s="7">
        <v>100000</v>
      </c>
    </row>
    <row r="81" spans="1:6" ht="15.75" customHeight="1" x14ac:dyDescent="0.2">
      <c r="B81" s="119" t="s">
        <v>637</v>
      </c>
      <c r="C81" s="7">
        <f>650000*0.045</f>
        <v>29250</v>
      </c>
      <c r="D81" s="119"/>
    </row>
    <row r="82" spans="1:6" ht="15.75" customHeight="1" x14ac:dyDescent="0.2">
      <c r="B82" s="119" t="s">
        <v>638</v>
      </c>
      <c r="C82" s="7">
        <f>SUM(C69:C81)*0.02</f>
        <v>33325</v>
      </c>
    </row>
    <row r="83" spans="1:6" ht="15.75" customHeight="1" x14ac:dyDescent="0.2">
      <c r="A83" s="121"/>
      <c r="B83" s="121" t="s">
        <v>0</v>
      </c>
      <c r="C83" s="121">
        <f t="shared" ref="C83:D83" si="1">SUM(C69:C82)</f>
        <v>1699575</v>
      </c>
      <c r="D83" s="121">
        <f t="shared" si="1"/>
        <v>34902.25</v>
      </c>
    </row>
    <row r="84" spans="1:6" ht="15.75" customHeight="1" x14ac:dyDescent="0.2">
      <c r="D84" s="119"/>
    </row>
    <row r="85" spans="1:6" ht="15" customHeight="1" x14ac:dyDescent="0.2">
      <c r="A85" s="121"/>
      <c r="B85" s="121" t="s">
        <v>639</v>
      </c>
      <c r="C85" s="121"/>
    </row>
    <row r="86" spans="1:6" ht="15" customHeight="1" x14ac:dyDescent="0.2">
      <c r="B86" s="119" t="s">
        <v>640</v>
      </c>
      <c r="C86" s="7">
        <v>10000</v>
      </c>
      <c r="D86" s="7">
        <v>108.92</v>
      </c>
    </row>
    <row r="87" spans="1:6" ht="15.75" customHeight="1" x14ac:dyDescent="0.2">
      <c r="A87" s="28">
        <v>43591</v>
      </c>
      <c r="B87" s="7" t="s">
        <v>207</v>
      </c>
      <c r="D87" s="7">
        <v>2032</v>
      </c>
      <c r="E87" s="7">
        <f>C88-D87</f>
        <v>2968</v>
      </c>
    </row>
    <row r="88" spans="1:6" ht="15.75" customHeight="1" x14ac:dyDescent="0.2">
      <c r="A88" s="28">
        <v>43591</v>
      </c>
      <c r="B88" s="7" t="s">
        <v>641</v>
      </c>
      <c r="C88" s="7">
        <v>5000</v>
      </c>
      <c r="D88" s="7">
        <v>2750</v>
      </c>
    </row>
    <row r="89" spans="1:6" ht="15.75" customHeight="1" x14ac:dyDescent="0.2">
      <c r="A89" s="28">
        <v>43764</v>
      </c>
      <c r="B89" s="7" t="s">
        <v>257</v>
      </c>
      <c r="D89" s="7">
        <v>350</v>
      </c>
    </row>
    <row r="90" spans="1:6" ht="15.75" customHeight="1" x14ac:dyDescent="0.2">
      <c r="A90" s="28">
        <v>43803</v>
      </c>
      <c r="B90" s="7" t="s">
        <v>270</v>
      </c>
      <c r="F90" s="28"/>
    </row>
    <row r="91" spans="1:6" ht="15.75" customHeight="1" x14ac:dyDescent="0.2">
      <c r="A91" s="28"/>
      <c r="B91" s="119" t="s">
        <v>642</v>
      </c>
      <c r="C91" s="7">
        <v>5500</v>
      </c>
      <c r="D91" s="7">
        <v>553</v>
      </c>
    </row>
    <row r="92" spans="1:6" ht="15.75" customHeight="1" x14ac:dyDescent="0.2">
      <c r="A92" s="28">
        <v>43611</v>
      </c>
      <c r="B92" s="7" t="s">
        <v>216</v>
      </c>
      <c r="D92" s="7">
        <v>3600</v>
      </c>
    </row>
    <row r="93" spans="1:6" ht="15.75" customHeight="1" x14ac:dyDescent="0.2">
      <c r="A93" s="28">
        <v>43669</v>
      </c>
      <c r="B93" s="7" t="s">
        <v>237</v>
      </c>
      <c r="F93" s="28"/>
    </row>
    <row r="94" spans="1:6" ht="15.75" customHeight="1" x14ac:dyDescent="0.2">
      <c r="A94" s="28"/>
      <c r="B94" s="119" t="s">
        <v>643</v>
      </c>
      <c r="C94" s="7">
        <v>10762</v>
      </c>
      <c r="D94" s="7">
        <v>9000</v>
      </c>
      <c r="F94" s="28"/>
    </row>
    <row r="95" spans="1:6" ht="15.75" customHeight="1" x14ac:dyDescent="0.2">
      <c r="A95" s="28">
        <v>43675</v>
      </c>
      <c r="B95" s="7" t="s">
        <v>238</v>
      </c>
      <c r="D95" s="7">
        <v>1000</v>
      </c>
      <c r="F95" s="28"/>
    </row>
    <row r="96" spans="1:6" ht="15.75" customHeight="1" x14ac:dyDescent="0.2">
      <c r="A96" s="28">
        <v>43677</v>
      </c>
      <c r="B96" s="7" t="s">
        <v>239</v>
      </c>
      <c r="F96" s="28"/>
    </row>
    <row r="97" spans="1:6" ht="15.75" customHeight="1" x14ac:dyDescent="0.2">
      <c r="A97" s="28"/>
      <c r="B97" s="119" t="s">
        <v>644</v>
      </c>
      <c r="C97" s="7">
        <v>5635.2</v>
      </c>
      <c r="D97" s="7">
        <v>5365</v>
      </c>
      <c r="F97" s="28"/>
    </row>
    <row r="98" spans="1:6" ht="15.75" customHeight="1" x14ac:dyDescent="0.2">
      <c r="A98" s="28">
        <v>43663</v>
      </c>
      <c r="B98" s="7" t="s">
        <v>235</v>
      </c>
      <c r="D98" s="7">
        <v>2100</v>
      </c>
    </row>
    <row r="99" spans="1:6" ht="15.75" customHeight="1" x14ac:dyDescent="0.2">
      <c r="A99" s="28"/>
      <c r="B99" s="119" t="s">
        <v>645</v>
      </c>
      <c r="C99" s="7">
        <v>2100</v>
      </c>
    </row>
    <row r="100" spans="1:6" ht="15.75" customHeight="1" x14ac:dyDescent="0.2">
      <c r="A100" s="28">
        <v>43661</v>
      </c>
      <c r="B100" s="7" t="s">
        <v>232</v>
      </c>
    </row>
    <row r="101" spans="1:6" ht="15.75" customHeight="1" x14ac:dyDescent="0.2">
      <c r="B101" s="119" t="s">
        <v>646</v>
      </c>
      <c r="C101" s="7">
        <f>D10*0.05</f>
        <v>1862.5</v>
      </c>
    </row>
    <row r="102" spans="1:6" ht="15.75" customHeight="1" x14ac:dyDescent="0.2">
      <c r="B102" s="119" t="s">
        <v>11</v>
      </c>
      <c r="D102" s="7">
        <v>190</v>
      </c>
    </row>
    <row r="103" spans="1:6" ht="15.75" customHeight="1" x14ac:dyDescent="0.2">
      <c r="A103" s="28">
        <v>43720</v>
      </c>
      <c r="B103" s="7" t="s">
        <v>247</v>
      </c>
      <c r="D103" s="7">
        <v>220</v>
      </c>
    </row>
    <row r="104" spans="1:6" ht="15.75" customHeight="1" x14ac:dyDescent="0.2">
      <c r="A104" s="28">
        <v>43843</v>
      </c>
      <c r="B104" s="7" t="s">
        <v>276</v>
      </c>
    </row>
    <row r="105" spans="1:6" ht="15.75" customHeight="1" x14ac:dyDescent="0.2">
      <c r="A105" s="121"/>
      <c r="B105" s="121" t="s">
        <v>0</v>
      </c>
      <c r="C105" s="121">
        <f t="shared" ref="C105:D105" si="2">SUM(C86:C103)</f>
        <v>40859.699999999997</v>
      </c>
      <c r="D105" s="121">
        <f t="shared" si="2"/>
        <v>27268.92</v>
      </c>
    </row>
    <row r="106" spans="1:6" ht="15.75" customHeight="1" x14ac:dyDescent="0.2"/>
    <row r="107" spans="1:6" ht="15.75" customHeight="1" x14ac:dyDescent="0.2">
      <c r="A107" s="7" t="s">
        <v>222</v>
      </c>
    </row>
    <row r="108" spans="1:6" ht="15.75" customHeight="1" x14ac:dyDescent="0.2">
      <c r="A108" s="122">
        <v>44132</v>
      </c>
      <c r="B108" s="123" t="s">
        <v>316</v>
      </c>
      <c r="C108" s="123">
        <v>0</v>
      </c>
      <c r="D108" s="123">
        <v>3850</v>
      </c>
    </row>
    <row r="109" spans="1:6" ht="15.75" customHeight="1" x14ac:dyDescent="0.2">
      <c r="A109" s="124">
        <v>44159</v>
      </c>
      <c r="B109" s="7" t="s">
        <v>326</v>
      </c>
      <c r="C109" s="7">
        <v>0</v>
      </c>
      <c r="D109" s="7">
        <v>4950</v>
      </c>
    </row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  <headerFooter>
    <oddFooter>&amp;C_x000D_&amp;1#&amp;"Arial"&amp;8&amp;K000000 Information Security Classification -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0"/>
  <sheetViews>
    <sheetView workbookViewId="0"/>
  </sheetViews>
  <sheetFormatPr baseColWidth="10" defaultColWidth="10.140625" defaultRowHeight="15" customHeight="1" x14ac:dyDescent="0.2"/>
  <cols>
    <col min="1" max="2" width="10.5703125" customWidth="1"/>
    <col min="3" max="3" width="52.7109375" customWidth="1"/>
    <col min="4" max="26" width="10.5703125" customWidth="1"/>
  </cols>
  <sheetData>
    <row r="1" spans="1:5" ht="15.75" customHeight="1" x14ac:dyDescent="0.2">
      <c r="A1" s="124">
        <v>44251</v>
      </c>
      <c r="B1" s="125">
        <v>-40000</v>
      </c>
      <c r="C1" s="125" t="s">
        <v>356</v>
      </c>
      <c r="D1" s="120" t="s">
        <v>647</v>
      </c>
    </row>
    <row r="2" spans="1:5" ht="15.75" customHeight="1" x14ac:dyDescent="0.2">
      <c r="A2" s="124">
        <v>44252</v>
      </c>
      <c r="B2" s="125">
        <v>-35000</v>
      </c>
      <c r="C2" s="125" t="s">
        <v>358</v>
      </c>
      <c r="D2" s="120" t="s">
        <v>634</v>
      </c>
      <c r="E2" s="7" t="s">
        <v>648</v>
      </c>
    </row>
    <row r="3" spans="1:5" ht="15.75" customHeight="1" x14ac:dyDescent="0.2">
      <c r="A3" s="124">
        <v>44252</v>
      </c>
      <c r="B3" s="125">
        <v>-11000</v>
      </c>
      <c r="C3" s="125" t="s">
        <v>359</v>
      </c>
    </row>
    <row r="4" spans="1:5" ht="15.75" customHeight="1" x14ac:dyDescent="0.2">
      <c r="A4" s="124">
        <v>44280</v>
      </c>
      <c r="B4" s="125">
        <v>-15000</v>
      </c>
      <c r="C4" s="125" t="s">
        <v>367</v>
      </c>
    </row>
    <row r="5" spans="1:5" ht="15.75" customHeight="1" x14ac:dyDescent="0.2">
      <c r="A5" s="124">
        <v>44293</v>
      </c>
      <c r="B5" s="125">
        <v>-700</v>
      </c>
      <c r="C5" s="125" t="s">
        <v>649</v>
      </c>
    </row>
    <row r="6" spans="1:5" ht="15.75" customHeight="1" x14ac:dyDescent="0.2">
      <c r="A6" s="124">
        <v>44316</v>
      </c>
      <c r="B6" s="125">
        <v>-800</v>
      </c>
      <c r="C6" s="125" t="s">
        <v>650</v>
      </c>
    </row>
    <row r="7" spans="1:5" ht="15.75" customHeight="1" x14ac:dyDescent="0.2">
      <c r="A7" s="124">
        <v>44375</v>
      </c>
      <c r="B7" s="7">
        <v>-1200</v>
      </c>
      <c r="C7" s="7" t="s">
        <v>651</v>
      </c>
    </row>
    <row r="8" spans="1:5" ht="15.75" customHeight="1" x14ac:dyDescent="0.2">
      <c r="A8" s="124">
        <v>44316</v>
      </c>
      <c r="B8" s="7">
        <v>-400</v>
      </c>
      <c r="C8" s="7" t="s">
        <v>652</v>
      </c>
    </row>
    <row r="9" spans="1:5" ht="15.75" customHeight="1" x14ac:dyDescent="0.2"/>
    <row r="10" spans="1:5" ht="15.75" customHeight="1" x14ac:dyDescent="0.2">
      <c r="A10" s="124">
        <v>44230</v>
      </c>
      <c r="B10" s="7">
        <v>5000</v>
      </c>
      <c r="C10" s="7" t="s">
        <v>314</v>
      </c>
      <c r="D10" s="120" t="s">
        <v>653</v>
      </c>
    </row>
    <row r="11" spans="1:5" ht="15.75" customHeight="1" x14ac:dyDescent="0.2">
      <c r="A11" s="124">
        <v>44232</v>
      </c>
      <c r="B11" s="123">
        <v>50000</v>
      </c>
      <c r="C11" s="7" t="s">
        <v>343</v>
      </c>
      <c r="D11" s="120" t="s">
        <v>653</v>
      </c>
    </row>
    <row r="12" spans="1:5" ht="15.75" customHeight="1" x14ac:dyDescent="0.2">
      <c r="A12" s="124">
        <v>44235</v>
      </c>
      <c r="B12" s="7">
        <v>-35000</v>
      </c>
      <c r="C12" s="7" t="s">
        <v>344</v>
      </c>
      <c r="D12" s="120" t="s">
        <v>634</v>
      </c>
    </row>
    <row r="13" spans="1:5" ht="15.75" customHeight="1" x14ac:dyDescent="0.2">
      <c r="A13" s="124">
        <v>44236</v>
      </c>
      <c r="B13" s="7">
        <v>-23008</v>
      </c>
      <c r="C13" s="7" t="s">
        <v>345</v>
      </c>
      <c r="D13" s="120" t="s">
        <v>634</v>
      </c>
    </row>
    <row r="14" spans="1:5" ht="15.75" customHeight="1" x14ac:dyDescent="0.2">
      <c r="A14" s="124">
        <v>44236</v>
      </c>
      <c r="B14" s="7">
        <v>30000</v>
      </c>
      <c r="C14" s="7" t="s">
        <v>346</v>
      </c>
      <c r="D14" s="120" t="s">
        <v>654</v>
      </c>
    </row>
    <row r="15" spans="1:5" ht="15.75" customHeight="1" x14ac:dyDescent="0.2">
      <c r="A15" s="124">
        <v>44250</v>
      </c>
      <c r="B15" s="123">
        <v>30000</v>
      </c>
      <c r="C15" s="7" t="s">
        <v>354</v>
      </c>
      <c r="D15" s="120" t="s">
        <v>653</v>
      </c>
    </row>
    <row r="16" spans="1:5" ht="15.75" customHeight="1" x14ac:dyDescent="0.2">
      <c r="A16" s="124">
        <v>44250</v>
      </c>
      <c r="B16" s="123">
        <v>45000</v>
      </c>
      <c r="C16" s="7" t="s">
        <v>355</v>
      </c>
      <c r="D16" s="120" t="s">
        <v>653</v>
      </c>
    </row>
    <row r="17" spans="1:4" ht="15.75" customHeight="1" x14ac:dyDescent="0.2">
      <c r="A17" s="124">
        <v>44280</v>
      </c>
      <c r="B17" s="123">
        <v>15000</v>
      </c>
      <c r="C17" s="7" t="s">
        <v>368</v>
      </c>
      <c r="D17" s="7" t="s">
        <v>653</v>
      </c>
    </row>
    <row r="18" spans="1:4" ht="15.75" customHeight="1" x14ac:dyDescent="0.2"/>
    <row r="19" spans="1:4" ht="15.75" customHeight="1" x14ac:dyDescent="0.2"/>
    <row r="20" spans="1:4" ht="15.75" customHeight="1" x14ac:dyDescent="0.2"/>
    <row r="21" spans="1:4" ht="15.75" customHeight="1" x14ac:dyDescent="0.2"/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headerFooter>
    <oddFooter>&amp;C_x000D_&amp;1#&amp;"Arial"&amp;8&amp;K000000 Information Security Classification - INTERNAL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FD58"/>
  <sheetViews>
    <sheetView workbookViewId="0">
      <selection activeCell="E17" sqref="E13:E17"/>
    </sheetView>
  </sheetViews>
  <sheetFormatPr baseColWidth="10" defaultColWidth="8.7109375" defaultRowHeight="15" customHeight="1" x14ac:dyDescent="0.2"/>
  <cols>
    <col min="1" max="1" width="27.140625" customWidth="1"/>
    <col min="2" max="2" width="10.28515625" customWidth="1"/>
    <col min="3" max="3" width="11.7109375" customWidth="1"/>
    <col min="4" max="4" width="15.7109375" customWidth="1"/>
    <col min="5" max="5" width="18.7109375" customWidth="1"/>
    <col min="6" max="6" width="31" customWidth="1"/>
    <col min="7" max="7" width="8.7109375" customWidth="1"/>
    <col min="8" max="8" width="10.7109375" customWidth="1"/>
    <col min="9" max="12" width="8.7109375" customWidth="1"/>
    <col min="13" max="13" width="11.42578125" customWidth="1"/>
    <col min="14" max="15" width="8.7109375" customWidth="1"/>
    <col min="16" max="16" width="10.7109375" customWidth="1"/>
    <col min="17" max="17" width="17.140625" customWidth="1"/>
    <col min="18" max="18" width="8.7109375" customWidth="1"/>
  </cols>
  <sheetData>
    <row r="1" spans="1:16" ht="15.75" customHeight="1" x14ac:dyDescent="0.2"/>
    <row r="2" spans="1:16" ht="15.75" customHeight="1" x14ac:dyDescent="0.2">
      <c r="A2" s="9" t="s">
        <v>8</v>
      </c>
      <c r="B2" s="9">
        <f>600000*6</f>
        <v>3600000</v>
      </c>
      <c r="D2" s="9" t="s">
        <v>12</v>
      </c>
      <c r="E2" s="21">
        <f>B2-B3</f>
        <v>1342384</v>
      </c>
    </row>
    <row r="3" spans="1:16" ht="15.75" customHeight="1" x14ac:dyDescent="0.2">
      <c r="A3" s="9" t="s">
        <v>655</v>
      </c>
      <c r="B3" s="9">
        <v>2257616</v>
      </c>
      <c r="D3" s="9" t="s">
        <v>656</v>
      </c>
      <c r="E3" s="21">
        <f>B23+B24+160000 +100000+54000</f>
        <v>558904.54545454541</v>
      </c>
    </row>
    <row r="4" spans="1:16" ht="15.75" customHeight="1" x14ac:dyDescent="0.2">
      <c r="A4" s="9" t="s">
        <v>657</v>
      </c>
      <c r="B4" s="9">
        <f>23650+142712+45152+59668</f>
        <v>271182</v>
      </c>
      <c r="D4" s="19" t="s">
        <v>520</v>
      </c>
      <c r="E4" s="22">
        <f>E2-E3</f>
        <v>783479.45454545459</v>
      </c>
    </row>
    <row r="5" spans="1:16" ht="15.75" customHeight="1" x14ac:dyDescent="0.2"/>
    <row r="6" spans="1:16" ht="15.75" customHeight="1" x14ac:dyDescent="0.2">
      <c r="A6" s="9"/>
      <c r="B6" s="19" t="s">
        <v>0</v>
      </c>
      <c r="C6" s="19" t="s">
        <v>658</v>
      </c>
      <c r="D6" s="19" t="s">
        <v>659</v>
      </c>
      <c r="E6" s="19" t="s">
        <v>660</v>
      </c>
      <c r="F6" s="19" t="s">
        <v>661</v>
      </c>
      <c r="H6" s="126"/>
    </row>
    <row r="7" spans="1:16" ht="15.75" customHeight="1" x14ac:dyDescent="0.2">
      <c r="A7" s="9" t="s">
        <v>662</v>
      </c>
      <c r="B7" s="13">
        <f>1551720-(1551720/11)</f>
        <v>1410654.5454545454</v>
      </c>
      <c r="C7" s="9">
        <v>1315250</v>
      </c>
      <c r="D7" s="13">
        <f>B7-C7</f>
        <v>95404.545454545412</v>
      </c>
      <c r="E7" s="127">
        <f>D7-H9</f>
        <v>95404.545454545412</v>
      </c>
      <c r="F7" s="9"/>
      <c r="G7" s="4">
        <f>B7/11</f>
        <v>128241.32231404958</v>
      </c>
      <c r="I7" s="128"/>
    </row>
    <row r="8" spans="1:16" ht="15.75" customHeight="1" x14ac:dyDescent="0.2">
      <c r="A8" s="9" t="s">
        <v>663</v>
      </c>
      <c r="B8" s="13">
        <v>71724</v>
      </c>
      <c r="C8" s="9">
        <v>71724</v>
      </c>
      <c r="D8" s="9">
        <v>0</v>
      </c>
      <c r="E8" s="9">
        <v>0</v>
      </c>
      <c r="F8" s="9"/>
    </row>
    <row r="9" spans="1:16" ht="15.75" customHeight="1" x14ac:dyDescent="0.2">
      <c r="A9" s="9" t="s">
        <v>664</v>
      </c>
      <c r="B9" s="13">
        <f t="shared" ref="B9:C9" si="0">8600+860</f>
        <v>9460</v>
      </c>
      <c r="C9" s="9">
        <f t="shared" si="0"/>
        <v>9460</v>
      </c>
      <c r="D9" s="9">
        <v>0</v>
      </c>
      <c r="E9" s="9">
        <v>0</v>
      </c>
      <c r="F9" s="9"/>
      <c r="I9" s="128"/>
    </row>
    <row r="10" spans="1:16" ht="15.75" customHeight="1" x14ac:dyDescent="0.2">
      <c r="A10" s="9" t="s">
        <v>665</v>
      </c>
      <c r="B10" s="13">
        <f>316046+346934</f>
        <v>662980</v>
      </c>
      <c r="C10" s="9">
        <v>590000</v>
      </c>
      <c r="D10" s="13">
        <f t="shared" ref="D10:D11" si="1">B10-C10</f>
        <v>72980</v>
      </c>
      <c r="E10" s="9">
        <v>76000</v>
      </c>
      <c r="F10" s="9"/>
      <c r="G10" s="129"/>
    </row>
    <row r="11" spans="1:16" ht="15.75" customHeight="1" x14ac:dyDescent="0.2">
      <c r="A11" s="9" t="s">
        <v>666</v>
      </c>
      <c r="B11" s="13">
        <f>B4</f>
        <v>271182</v>
      </c>
      <c r="C11" s="13">
        <f>B11</f>
        <v>271182</v>
      </c>
      <c r="D11" s="13">
        <f t="shared" si="1"/>
        <v>0</v>
      </c>
      <c r="E11" s="9">
        <v>0</v>
      </c>
      <c r="F11" s="9"/>
    </row>
    <row r="12" spans="1:16" ht="15.75" customHeight="1" x14ac:dyDescent="0.2">
      <c r="A12" s="19" t="s">
        <v>0</v>
      </c>
      <c r="B12" s="130">
        <f t="shared" ref="B12:E12" si="2">SUM(B7:B11)</f>
        <v>2426000.5454545454</v>
      </c>
      <c r="C12" s="19">
        <f t="shared" si="2"/>
        <v>2257616</v>
      </c>
      <c r="D12" s="130">
        <f t="shared" si="2"/>
        <v>168384.54545454541</v>
      </c>
      <c r="E12" s="22">
        <f t="shared" si="2"/>
        <v>171404.54545454541</v>
      </c>
      <c r="F12" s="9"/>
    </row>
    <row r="13" spans="1:16" ht="15.75" customHeight="1" x14ac:dyDescent="0.2">
      <c r="A13" s="9" t="s">
        <v>667</v>
      </c>
      <c r="B13" s="9">
        <v>4000</v>
      </c>
      <c r="C13" s="9"/>
      <c r="D13" s="9"/>
      <c r="E13" s="9">
        <v>4000</v>
      </c>
      <c r="F13" s="9"/>
      <c r="M13" s="131"/>
      <c r="N13" s="131"/>
      <c r="O13" s="131"/>
      <c r="P13" s="131"/>
    </row>
    <row r="14" spans="1:16" ht="15.75" customHeight="1" x14ac:dyDescent="0.2">
      <c r="A14" s="9" t="s">
        <v>668</v>
      </c>
      <c r="B14" s="9">
        <v>13000</v>
      </c>
      <c r="C14" s="9"/>
      <c r="D14" s="9"/>
      <c r="E14" s="9">
        <v>13000</v>
      </c>
      <c r="F14" s="9"/>
      <c r="M14" s="131"/>
      <c r="N14" s="131"/>
      <c r="O14" s="131"/>
      <c r="P14" s="131"/>
    </row>
    <row r="15" spans="1:16" ht="15.75" customHeight="1" x14ac:dyDescent="0.2">
      <c r="A15" s="9" t="s">
        <v>669</v>
      </c>
      <c r="B15" s="9">
        <v>10000</v>
      </c>
      <c r="C15" s="9"/>
      <c r="D15" s="9"/>
      <c r="E15" s="9">
        <v>10000</v>
      </c>
      <c r="F15" s="9"/>
      <c r="M15" s="131"/>
      <c r="N15" s="131"/>
      <c r="O15" s="131"/>
      <c r="P15" s="131"/>
    </row>
    <row r="16" spans="1:16" ht="15.75" customHeight="1" x14ac:dyDescent="0.2">
      <c r="A16" s="9" t="s">
        <v>177</v>
      </c>
      <c r="B16" s="9">
        <v>7500</v>
      </c>
      <c r="C16" s="9"/>
      <c r="D16" s="9"/>
      <c r="E16" s="9">
        <v>7500</v>
      </c>
      <c r="F16" s="9"/>
      <c r="M16" s="131"/>
      <c r="N16" s="131"/>
      <c r="O16" s="131"/>
      <c r="P16" s="131"/>
    </row>
    <row r="17" spans="1:16 16384:16384" ht="15.75" customHeight="1" x14ac:dyDescent="0.2">
      <c r="A17" s="9" t="s">
        <v>536</v>
      </c>
      <c r="B17" s="9">
        <v>9000</v>
      </c>
      <c r="C17" s="9"/>
      <c r="D17" s="9"/>
      <c r="E17" s="9">
        <v>9000</v>
      </c>
      <c r="F17" s="9"/>
      <c r="M17" s="131"/>
      <c r="N17" s="131"/>
      <c r="O17" s="131"/>
      <c r="P17" s="131"/>
    </row>
    <row r="18" spans="1:16 16384:16384" ht="15.75" customHeight="1" x14ac:dyDescent="0.2">
      <c r="A18" s="19" t="s">
        <v>670</v>
      </c>
      <c r="B18" s="19"/>
      <c r="C18" s="9"/>
      <c r="D18" s="9"/>
      <c r="E18" s="22">
        <f>SUM(E12:E17)</f>
        <v>214904.54545454541</v>
      </c>
      <c r="F18" s="9"/>
      <c r="M18" s="131"/>
      <c r="N18" s="131"/>
      <c r="O18" s="131"/>
      <c r="P18" s="131"/>
      <c r="XFD18" s="131">
        <f>SUM(E18:XFC18)</f>
        <v>214904.54545454541</v>
      </c>
    </row>
    <row r="19" spans="1:16 16384:16384" ht="15.75" customHeight="1" x14ac:dyDescent="0.2">
      <c r="A19" s="19" t="s">
        <v>2</v>
      </c>
      <c r="B19" s="19"/>
      <c r="C19" s="9"/>
      <c r="D19" s="9"/>
      <c r="E19" s="9">
        <v>30000</v>
      </c>
      <c r="F19" s="9"/>
    </row>
    <row r="20" spans="1:16 16384:16384" ht="15.75" customHeight="1" x14ac:dyDescent="0.2">
      <c r="A20" s="19" t="s">
        <v>671</v>
      </c>
      <c r="B20" s="130">
        <f>SUM(B12:B19)</f>
        <v>2469500.5454545454</v>
      </c>
      <c r="C20" s="9"/>
      <c r="D20" s="9"/>
      <c r="E20" s="22">
        <f>SUM(E18:E19)</f>
        <v>244904.54545454541</v>
      </c>
      <c r="F20" s="9"/>
    </row>
    <row r="21" spans="1:16 16384:16384" ht="15.75" customHeight="1" x14ac:dyDescent="0.2"/>
    <row r="22" spans="1:16 16384:16384" ht="15.75" customHeight="1" x14ac:dyDescent="0.2">
      <c r="A22" s="9"/>
      <c r="B22" s="19" t="s">
        <v>0</v>
      </c>
      <c r="C22" s="19" t="s">
        <v>5</v>
      </c>
      <c r="D22" s="19" t="s">
        <v>672</v>
      </c>
    </row>
    <row r="23" spans="1:16 16384:16384" ht="15.75" customHeight="1" x14ac:dyDescent="0.2">
      <c r="A23" s="9" t="s">
        <v>39</v>
      </c>
      <c r="B23" s="21">
        <f>E20/2</f>
        <v>122452.27272727271</v>
      </c>
      <c r="C23" s="9">
        <f>4500+6250+5000+50000+75000</f>
        <v>140750</v>
      </c>
      <c r="D23" s="21">
        <f t="shared" ref="D23:D24" si="3">B23-C23</f>
        <v>-18297.727272727294</v>
      </c>
      <c r="F23" s="132" t="s">
        <v>673</v>
      </c>
    </row>
    <row r="24" spans="1:16 16384:16384" ht="15.75" customHeight="1" x14ac:dyDescent="0.2">
      <c r="A24" s="9" t="s">
        <v>19</v>
      </c>
      <c r="B24" s="21">
        <f>E20/2</f>
        <v>122452.27272727271</v>
      </c>
      <c r="C24" s="9">
        <f>4500+7000+6250+30000+34000+50000</f>
        <v>131750</v>
      </c>
      <c r="D24" s="21">
        <f t="shared" si="3"/>
        <v>-9297.7272727272939</v>
      </c>
      <c r="F24" s="132" t="s">
        <v>674</v>
      </c>
    </row>
    <row r="25" spans="1:16 16384:16384" ht="15.75" customHeight="1" x14ac:dyDescent="0.2"/>
    <row r="26" spans="1:16 16384:16384" ht="15.75" customHeight="1" x14ac:dyDescent="0.2">
      <c r="F26" s="7"/>
    </row>
    <row r="27" spans="1:16 16384:16384" ht="15.75" customHeight="1" x14ac:dyDescent="0.2">
      <c r="F27" s="7"/>
      <c r="K27" s="119"/>
    </row>
    <row r="28" spans="1:16 16384:16384" ht="15.75" customHeight="1" x14ac:dyDescent="0.2">
      <c r="K28" s="119"/>
    </row>
    <row r="29" spans="1:16 16384:16384" ht="15.75" customHeight="1" x14ac:dyDescent="0.2">
      <c r="K29" s="119"/>
    </row>
    <row r="30" spans="1:16 16384:16384" ht="15.75" customHeight="1" x14ac:dyDescent="0.2">
      <c r="K30" s="119"/>
    </row>
    <row r="31" spans="1:16 16384:16384" ht="15.75" customHeight="1" x14ac:dyDescent="0.2">
      <c r="K31" s="119"/>
    </row>
    <row r="32" spans="1:16 16384:16384" ht="15.75" customHeight="1" x14ac:dyDescent="0.2">
      <c r="K32" s="119"/>
    </row>
    <row r="33" spans="1:15" ht="15.75" customHeight="1" x14ac:dyDescent="0.2">
      <c r="K33" s="119"/>
    </row>
    <row r="34" spans="1:15" ht="15.75" customHeight="1" x14ac:dyDescent="0.2">
      <c r="K34" s="119"/>
    </row>
    <row r="35" spans="1:15" ht="15.75" customHeight="1" x14ac:dyDescent="0.2"/>
    <row r="36" spans="1:15" ht="15.75" customHeight="1" x14ac:dyDescent="0.2"/>
    <row r="37" spans="1:15" ht="15.75" customHeight="1" x14ac:dyDescent="0.2"/>
    <row r="38" spans="1:15" ht="15.75" customHeight="1" x14ac:dyDescent="0.2"/>
    <row r="39" spans="1:15" ht="15.75" customHeight="1" x14ac:dyDescent="0.2"/>
    <row r="40" spans="1:15" ht="15.75" customHeight="1" x14ac:dyDescent="0.2"/>
    <row r="41" spans="1:15" ht="15.75" customHeight="1" x14ac:dyDescent="0.2"/>
    <row r="42" spans="1:15" ht="15.75" customHeight="1" x14ac:dyDescent="0.2"/>
    <row r="43" spans="1:15" ht="15.75" customHeight="1" x14ac:dyDescent="0.2"/>
    <row r="44" spans="1:15" ht="15.75" customHeight="1" x14ac:dyDescent="0.2">
      <c r="B44" s="7" t="s">
        <v>655</v>
      </c>
      <c r="C44" s="7">
        <v>3000000</v>
      </c>
      <c r="D44" s="7"/>
    </row>
    <row r="45" spans="1:15" ht="15.75" customHeight="1" x14ac:dyDescent="0.2">
      <c r="B45" s="7" t="s">
        <v>675</v>
      </c>
      <c r="E45" s="7"/>
    </row>
    <row r="46" spans="1:15" ht="15.75" customHeight="1" x14ac:dyDescent="0.2">
      <c r="A46" s="7" t="s">
        <v>676</v>
      </c>
      <c r="B46" s="131">
        <f>(C44/2)</f>
        <v>1500000</v>
      </c>
      <c r="C46" s="131"/>
      <c r="D46" s="131"/>
      <c r="E46" s="131"/>
      <c r="O46" s="7" t="s">
        <v>56</v>
      </c>
    </row>
    <row r="47" spans="1:15" ht="15.75" customHeight="1" x14ac:dyDescent="0.2">
      <c r="A47" s="7" t="s">
        <v>677</v>
      </c>
      <c r="B47" s="131">
        <v>600000</v>
      </c>
      <c r="C47" s="131"/>
      <c r="D47" s="131"/>
      <c r="E47" s="131"/>
      <c r="O47" s="7"/>
    </row>
    <row r="48" spans="1:15" ht="15.75" customHeight="1" x14ac:dyDescent="0.2">
      <c r="A48" s="7" t="s">
        <v>678</v>
      </c>
      <c r="B48" s="131">
        <f>400000/11</f>
        <v>36363.63636363636</v>
      </c>
      <c r="C48" s="131"/>
      <c r="D48" s="131"/>
      <c r="E48" s="131"/>
    </row>
    <row r="49" spans="1:5" ht="15.75" customHeight="1" x14ac:dyDescent="0.2">
      <c r="A49" s="7" t="s">
        <v>679</v>
      </c>
      <c r="B49" s="131">
        <f>B47*0.02</f>
        <v>12000</v>
      </c>
      <c r="C49" s="131"/>
      <c r="D49" s="131"/>
      <c r="E49" s="131"/>
    </row>
    <row r="50" spans="1:5" ht="15.75" customHeight="1" x14ac:dyDescent="0.2">
      <c r="A50" s="7" t="s">
        <v>680</v>
      </c>
      <c r="B50" s="131">
        <f>B47-B48-B49</f>
        <v>551636.36363636365</v>
      </c>
      <c r="C50" s="131"/>
      <c r="D50" s="131"/>
      <c r="E50" s="131"/>
    </row>
    <row r="51" spans="1:5" ht="15.75" customHeight="1" x14ac:dyDescent="0.2">
      <c r="A51" s="7" t="s">
        <v>681</v>
      </c>
      <c r="B51" s="131">
        <f>B46-B50</f>
        <v>948363.63636363635</v>
      </c>
      <c r="C51" s="131"/>
      <c r="D51" s="131"/>
      <c r="E51" s="131"/>
    </row>
    <row r="52" spans="1:5" ht="15.75" customHeight="1" x14ac:dyDescent="0.2">
      <c r="A52" s="7" t="s">
        <v>682</v>
      </c>
      <c r="B52" s="131">
        <f>B51/2</f>
        <v>474181.81818181818</v>
      </c>
      <c r="C52" s="131"/>
      <c r="D52" s="131"/>
      <c r="E52" s="131"/>
    </row>
    <row r="53" spans="1:5" ht="15.75" customHeight="1" x14ac:dyDescent="0.2">
      <c r="B53" s="131"/>
      <c r="C53" s="131"/>
      <c r="D53" s="131"/>
      <c r="E53" s="131"/>
    </row>
    <row r="54" spans="1:5" ht="15.75" customHeight="1" x14ac:dyDescent="0.2">
      <c r="A54" s="7" t="s">
        <v>683</v>
      </c>
      <c r="B54" s="131">
        <v>1250000</v>
      </c>
      <c r="C54" s="131"/>
      <c r="D54" s="131"/>
      <c r="E54" s="131"/>
    </row>
    <row r="55" spans="1:5" ht="15.75" customHeight="1" x14ac:dyDescent="0.2">
      <c r="A55" s="7" t="s">
        <v>20</v>
      </c>
      <c r="B55" s="131">
        <f>B51</f>
        <v>948363.63636363635</v>
      </c>
      <c r="C55" s="131"/>
      <c r="D55" s="131"/>
      <c r="E55" s="131"/>
    </row>
    <row r="56" spans="1:5" ht="15" customHeight="1" x14ac:dyDescent="0.2">
      <c r="A56" s="4" t="s">
        <v>22</v>
      </c>
      <c r="B56" s="131">
        <f>B54-B55</f>
        <v>301636.36363636365</v>
      </c>
    </row>
    <row r="57" spans="1:5" ht="15" customHeight="1" x14ac:dyDescent="0.2">
      <c r="C57" s="1"/>
    </row>
    <row r="58" spans="1:5" ht="15" customHeight="1" x14ac:dyDescent="0.2">
      <c r="C58" s="23"/>
    </row>
  </sheetData>
  <pageMargins left="0.7" right="0.7" top="0.75" bottom="0.75" header="0" footer="0"/>
  <pageSetup paperSize="9" orientation="portrait"/>
  <headerFooter>
    <oddFooter>&amp;C_x000D_&amp;1#&amp;"Arial"&amp;8&amp;K000000 Information Security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 - Profitability</vt:lpstr>
      <vt:lpstr>Dash - Contribution</vt:lpstr>
      <vt:lpstr>Transaction All</vt:lpstr>
      <vt:lpstr>Transactions FY23</vt:lpstr>
      <vt:lpstr>Legal</vt:lpstr>
      <vt:lpstr>BAS - Claims</vt:lpstr>
      <vt:lpstr>BAS Other</vt:lpstr>
      <vt:lpstr>Feasibility</vt:lpstr>
      <vt:lpstr>iBhomes</vt:lpstr>
      <vt:lpstr>Clancy_Hillbrook</vt:lpstr>
      <vt:lpstr>Clancy New</vt:lpstr>
      <vt:lpstr>Trilogy</vt:lpstr>
      <vt:lpstr>Budget_Actuals </vt:lpstr>
      <vt:lpstr>Construction Payments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Lloyd Thomas</cp:lastModifiedBy>
  <dcterms:created xsi:type="dcterms:W3CDTF">2016-08-28T12:13:32Z</dcterms:created>
  <dcterms:modified xsi:type="dcterms:W3CDTF">2024-07-25T10:08:27Z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8c8fa2-0023-48e8-b4c7-86f2051149b4_Enabled">
    <vt:lpwstr>true</vt:lpwstr>
  </property>
  <property fmtid="{D5CDD505-2E9C-101B-9397-08002B2CF9AE}" pid="3" name="MSIP_Label_e58c8fa2-0023-48e8-b4c7-86f2051149b4_SetDate">
    <vt:lpwstr>2023-06-21T08:14:36Z</vt:lpwstr>
  </property>
  <property fmtid="{D5CDD505-2E9C-101B-9397-08002B2CF9AE}" pid="4" name="MSIP_Label_e58c8fa2-0023-48e8-b4c7-86f2051149b4_Method">
    <vt:lpwstr>Standard</vt:lpwstr>
  </property>
  <property fmtid="{D5CDD505-2E9C-101B-9397-08002B2CF9AE}" pid="5" name="MSIP_Label_e58c8fa2-0023-48e8-b4c7-86f2051149b4_Name">
    <vt:lpwstr>INTERNAL - Footer included</vt:lpwstr>
  </property>
  <property fmtid="{D5CDD505-2E9C-101B-9397-08002B2CF9AE}" pid="6" name="MSIP_Label_e58c8fa2-0023-48e8-b4c7-86f2051149b4_SiteId">
    <vt:lpwstr>7d847b00-9cb2-4e8b-9f14-fb58de4bcdde</vt:lpwstr>
  </property>
  <property fmtid="{D5CDD505-2E9C-101B-9397-08002B2CF9AE}" pid="7" name="MSIP_Label_e58c8fa2-0023-48e8-b4c7-86f2051149b4_ActionId">
    <vt:lpwstr>1aab2a1b-8816-484a-b579-42541c34829b</vt:lpwstr>
  </property>
  <property fmtid="{D5CDD505-2E9C-101B-9397-08002B2CF9AE}" pid="8" name="MSIP_Label_e58c8fa2-0023-48e8-b4c7-86f2051149b4_ContentBits">
    <vt:lpwstr>2</vt:lpwstr>
  </property>
</Properties>
</file>