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/Desktop/Taxes 2022/TPM/"/>
    </mc:Choice>
  </mc:AlternateContent>
  <xr:revisionPtr revIDLastSave="0" documentId="13_ncr:1_{18C66E38-0A28-F54A-A560-6FA35F8A3CB0}" xr6:coauthVersionLast="47" xr6:coauthVersionMax="47" xr10:uidLastSave="{00000000-0000-0000-0000-000000000000}"/>
  <bookViews>
    <workbookView xWindow="16360" yWindow="1900" windowWidth="27640" windowHeight="16940" xr2:uid="{1F243A1F-6A8B-EA48-83DA-2EFC531393CF}"/>
  </bookViews>
  <sheets>
    <sheet name="Summary" sheetId="1" r:id="rId1"/>
    <sheet name="BAS" sheetId="2" r:id="rId2"/>
  </sheets>
  <externalReferences>
    <externalReference r:id="rId3"/>
  </externalReferences>
  <definedNames>
    <definedName name="_xlnm._FilterDatabase" localSheetId="1" hidden="1">BAS!$A$1:$E$7</definedName>
  </definedNames>
  <calcPr calcId="191029"/>
  <pivotCaches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9" i="2" l="1"/>
  <c r="E98" i="2"/>
  <c r="E97" i="2"/>
  <c r="E95" i="2"/>
  <c r="E94" i="2"/>
  <c r="E91" i="2"/>
  <c r="D89" i="2"/>
  <c r="E88" i="2"/>
  <c r="E87" i="2"/>
  <c r="E86" i="2"/>
  <c r="E85" i="2"/>
  <c r="E84" i="2"/>
  <c r="D81" i="2"/>
  <c r="E80" i="2"/>
  <c r="E79" i="2"/>
  <c r="E78" i="2"/>
  <c r="E77" i="2"/>
  <c r="E76" i="2"/>
  <c r="E75" i="2"/>
  <c r="D72" i="2"/>
  <c r="E72" i="2" s="1"/>
  <c r="E71" i="2"/>
  <c r="E70" i="2"/>
  <c r="D68" i="2"/>
  <c r="E67" i="2"/>
  <c r="E66" i="2"/>
  <c r="D64" i="2"/>
  <c r="E63" i="2"/>
  <c r="E62" i="2"/>
  <c r="E60" i="2"/>
  <c r="E59" i="2"/>
  <c r="E58" i="2"/>
  <c r="E57" i="2"/>
  <c r="E56" i="2"/>
  <c r="E54" i="2"/>
  <c r="D54" i="2"/>
  <c r="E47" i="2"/>
  <c r="D47" i="2"/>
  <c r="E42" i="2"/>
  <c r="D40" i="2"/>
  <c r="E40" i="2" s="1"/>
  <c r="D39" i="2"/>
  <c r="E39" i="2" s="1"/>
  <c r="E38" i="2"/>
  <c r="E37" i="2"/>
  <c r="E35" i="2"/>
  <c r="E32" i="2"/>
  <c r="E31" i="2"/>
  <c r="E30" i="2"/>
  <c r="D29" i="2"/>
  <c r="D33" i="2" s="1"/>
  <c r="E27" i="2"/>
  <c r="D25" i="2"/>
  <c r="E24" i="2"/>
  <c r="E23" i="2"/>
  <c r="E22" i="2"/>
  <c r="D19" i="2"/>
  <c r="E18" i="2"/>
  <c r="E17" i="2"/>
  <c r="D15" i="2"/>
  <c r="E14" i="2"/>
  <c r="E13" i="2"/>
  <c r="D11" i="2"/>
  <c r="E10" i="2"/>
  <c r="E9" i="2"/>
  <c r="D7" i="2"/>
  <c r="E6" i="2"/>
  <c r="E5" i="2"/>
  <c r="E4" i="2"/>
  <c r="E3" i="2"/>
  <c r="E2" i="2"/>
  <c r="B27" i="1"/>
  <c r="B26" i="1"/>
  <c r="B22" i="1"/>
  <c r="B17" i="1"/>
  <c r="G7" i="1"/>
  <c r="G5" i="1"/>
  <c r="I3" i="1"/>
  <c r="I2" i="1"/>
  <c r="I7" i="1"/>
  <c r="I4" i="1"/>
  <c r="I5" i="1"/>
  <c r="D73" i="2" l="1"/>
  <c r="E73" i="2"/>
  <c r="B30" i="1"/>
  <c r="I6" i="1" s="1"/>
  <c r="E19" i="2"/>
  <c r="E15" i="2"/>
  <c r="E11" i="2"/>
  <c r="E89" i="2"/>
  <c r="E68" i="2"/>
  <c r="E64" i="2"/>
  <c r="E25" i="2"/>
  <c r="E81" i="2"/>
  <c r="E99" i="2"/>
  <c r="E7" i="2"/>
  <c r="E29" i="2"/>
  <c r="E33" i="2" s="1"/>
  <c r="I9" i="1"/>
  <c r="I10" i="1" s="1"/>
</calcChain>
</file>

<file path=xl/sharedStrings.xml><?xml version="1.0" encoding="utf-8"?>
<sst xmlns="http://schemas.openxmlformats.org/spreadsheetml/2006/main" count="235" uniqueCount="126">
  <si>
    <t>Aqusistion of 68</t>
  </si>
  <si>
    <t>Acquisition of 70</t>
  </si>
  <si>
    <t>2016-2021</t>
  </si>
  <si>
    <t>Settlement Prior to Construction</t>
  </si>
  <si>
    <t>Total Contribution</t>
  </si>
  <si>
    <t>Tyquin St - 68 Acquisition</t>
  </si>
  <si>
    <t>$</t>
  </si>
  <si>
    <t>Town Planning, Permits and Pre Build</t>
  </si>
  <si>
    <t>FY21/22</t>
  </si>
  <si>
    <t>Build Contact &amp; Variations</t>
  </si>
  <si>
    <t>Deposit</t>
  </si>
  <si>
    <t>Row Labels</t>
  </si>
  <si>
    <t>Sum of Amount</t>
  </si>
  <si>
    <t>Settlement</t>
  </si>
  <si>
    <t>Bank Fee</t>
  </si>
  <si>
    <t>Brokers Fees</t>
  </si>
  <si>
    <t>Expert Report - Darbecca</t>
  </si>
  <si>
    <t>Build Contract</t>
  </si>
  <si>
    <t>Total</t>
  </si>
  <si>
    <t>Credit</t>
  </si>
  <si>
    <t>Build - Services</t>
  </si>
  <si>
    <t>Exppert Report - Spot On</t>
  </si>
  <si>
    <t>Build Variation</t>
  </si>
  <si>
    <t>Electricity</t>
  </si>
  <si>
    <t>Building Permit</t>
  </si>
  <si>
    <t>Land Tax</t>
  </si>
  <si>
    <t>Build Variation - Direct</t>
  </si>
  <si>
    <t>Tyquin St - 70</t>
  </si>
  <si>
    <t>Fees</t>
  </si>
  <si>
    <t>Building Warrenty</t>
  </si>
  <si>
    <t>Legal</t>
  </si>
  <si>
    <t>Grand Total</t>
  </si>
  <si>
    <t>Gift</t>
  </si>
  <si>
    <t>Eval</t>
  </si>
  <si>
    <t>Mis</t>
  </si>
  <si>
    <t>GST payment</t>
  </si>
  <si>
    <t>Finance</t>
  </si>
  <si>
    <t>QS</t>
  </si>
  <si>
    <t>Initial Purchase</t>
  </si>
  <si>
    <t>Services</t>
  </si>
  <si>
    <t>Insurance-68</t>
  </si>
  <si>
    <t>Planning - Building Permit</t>
  </si>
  <si>
    <t>Temp Fencing</t>
  </si>
  <si>
    <t>Insurance-70</t>
  </si>
  <si>
    <t>Pre Build</t>
  </si>
  <si>
    <t>Utilities</t>
  </si>
  <si>
    <t>Settlement Construction</t>
  </si>
  <si>
    <t>Interest</t>
  </si>
  <si>
    <t>Project Management</t>
  </si>
  <si>
    <t>Video Survellience</t>
  </si>
  <si>
    <t>Land Settlement + Stamps + Legals</t>
  </si>
  <si>
    <t>Interest-68</t>
  </si>
  <si>
    <t xml:space="preserve">Subdivision </t>
  </si>
  <si>
    <t>Building Deposit</t>
  </si>
  <si>
    <t>Interest-70</t>
  </si>
  <si>
    <t>Town Planning - Permits</t>
  </si>
  <si>
    <t>GST</t>
  </si>
  <si>
    <t>VCAT</t>
  </si>
  <si>
    <t>Build</t>
  </si>
  <si>
    <t>Maintenance-68</t>
  </si>
  <si>
    <t>Maintenance-70</t>
  </si>
  <si>
    <t>Property Management</t>
  </si>
  <si>
    <t>Rates-68</t>
  </si>
  <si>
    <t>Rates-70</t>
  </si>
  <si>
    <t>Reno</t>
  </si>
  <si>
    <t>Rent-68</t>
  </si>
  <si>
    <t>Rent-70</t>
  </si>
  <si>
    <t>Water-68</t>
  </si>
  <si>
    <t xml:space="preserve"> </t>
  </si>
  <si>
    <t>Water-70</t>
  </si>
  <si>
    <t>2016-2021 (During the Hold Phase)</t>
  </si>
  <si>
    <t xml:space="preserve">Per Investor </t>
  </si>
  <si>
    <t>Date</t>
  </si>
  <si>
    <t>Deciption</t>
  </si>
  <si>
    <t>Amount</t>
  </si>
  <si>
    <t>BAS Oct- Dec 2020</t>
  </si>
  <si>
    <t>Broker Fees - Holdern Capital</t>
  </si>
  <si>
    <t>Evalutaion - Charter Chek</t>
  </si>
  <si>
    <t>Triliogy - Deposit</t>
  </si>
  <si>
    <t>Evalutation - Charter Chek</t>
  </si>
  <si>
    <t>Architectect - Amend Drawings</t>
  </si>
  <si>
    <t>BAS Jan 2021</t>
  </si>
  <si>
    <t>BAS Feb</t>
  </si>
  <si>
    <t>Deposit 1</t>
  </si>
  <si>
    <t>Deposit 2</t>
  </si>
  <si>
    <t>BAS Mar</t>
  </si>
  <si>
    <t>Builder Payment (other contract 50K)</t>
  </si>
  <si>
    <t>Variation</t>
  </si>
  <si>
    <t>BAS Apr</t>
  </si>
  <si>
    <t>QS Report</t>
  </si>
  <si>
    <t>Builder Payment - Base 1</t>
  </si>
  <si>
    <t>Builder Payment - Slab 1</t>
  </si>
  <si>
    <t>BAS May</t>
  </si>
  <si>
    <t>BAS Jun</t>
  </si>
  <si>
    <t>Builder Payment - Frame 1</t>
  </si>
  <si>
    <t>Variation 1</t>
  </si>
  <si>
    <t>Plumbining Application</t>
  </si>
  <si>
    <t xml:space="preserve">Electricity </t>
  </si>
  <si>
    <t>BAS Aug</t>
  </si>
  <si>
    <t>Legals - Twenty20 Legal</t>
  </si>
  <si>
    <t>Builder Payment - Frame 2</t>
  </si>
  <si>
    <t>BAS Sept</t>
  </si>
  <si>
    <t>BAS Oct</t>
  </si>
  <si>
    <t>Water</t>
  </si>
  <si>
    <t>BAS Nov</t>
  </si>
  <si>
    <t>BAS Dec</t>
  </si>
  <si>
    <t>Car GST</t>
  </si>
  <si>
    <t>BAS Jan</t>
  </si>
  <si>
    <t>Legals</t>
  </si>
  <si>
    <t>Legals - Council</t>
  </si>
  <si>
    <t>Builder Payment - Frame 3</t>
  </si>
  <si>
    <t>Darbecca Inspection Report</t>
  </si>
  <si>
    <t>Drabecca</t>
  </si>
  <si>
    <t>Builder Payment - Lockup1</t>
  </si>
  <si>
    <t>Barrister</t>
  </si>
  <si>
    <t>iDetect</t>
  </si>
  <si>
    <t>Fencing - CC</t>
  </si>
  <si>
    <t>iDEtect</t>
  </si>
  <si>
    <t>idetect</t>
  </si>
  <si>
    <t>Expert Report - Spot On</t>
  </si>
  <si>
    <t>Locks</t>
  </si>
  <si>
    <t xml:space="preserve">Clem Hire - Fencing </t>
  </si>
  <si>
    <t>Spont on Consulting - Expert Report</t>
  </si>
  <si>
    <t>Clem Hire - Fencing</t>
  </si>
  <si>
    <t>BAS July</t>
  </si>
  <si>
    <t>BAS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</si>
</sst>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0" fontId="5" fillId="3" borderId="4" xfId="0" applyFont="1" applyFill="1" applyBorder="1"/>
    <xf numFmtId="0" fontId="5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5" fillId="5" borderId="5" xfId="0" applyFont="1" applyFill="1" applyBorder="1"/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4" fillId="0" borderId="1" xfId="0" applyFont="1" applyBorder="1"/>
    <xf numFmtId="0" fontId="0" fillId="0" borderId="1" xfId="0" applyBorder="1"/>
    <xf numFmtId="164" fontId="4" fillId="0" borderId="0" xfId="0" applyNumberFormat="1" applyFont="1"/>
    <xf numFmtId="0" fontId="0" fillId="0" borderId="0" xfId="0" pivotButton="1"/>
    <xf numFmtId="0" fontId="1" fillId="0" borderId="0" xfId="0" applyFont="1"/>
    <xf numFmtId="4" fontId="6" fillId="0" borderId="0" xfId="0" applyNumberFormat="1" applyFont="1"/>
    <xf numFmtId="0" fontId="7" fillId="6" borderId="6" xfId="0" applyFont="1" applyFill="1" applyBorder="1"/>
    <xf numFmtId="0" fontId="2" fillId="6" borderId="6" xfId="0" applyFont="1" applyFill="1" applyBorder="1"/>
    <xf numFmtId="0" fontId="8" fillId="6" borderId="6" xfId="0" applyFont="1" applyFill="1" applyBorder="1"/>
    <xf numFmtId="4" fontId="8" fillId="6" borderId="6" xfId="0" applyNumberFormat="1" applyFont="1" applyFill="1" applyBorder="1"/>
    <xf numFmtId="17" fontId="6" fillId="0" borderId="6" xfId="0" applyNumberFormat="1" applyFont="1" applyBorder="1"/>
    <xf numFmtId="14" fontId="1" fillId="0" borderId="6" xfId="0" applyNumberFormat="1" applyFont="1" applyBorder="1"/>
    <xf numFmtId="0" fontId="6" fillId="0" borderId="6" xfId="0" applyFont="1" applyBorder="1"/>
    <xf numFmtId="4" fontId="6" fillId="0" borderId="6" xfId="0" applyNumberFormat="1" applyFont="1" applyBorder="1"/>
    <xf numFmtId="0" fontId="9" fillId="0" borderId="6" xfId="0" applyFont="1" applyBorder="1"/>
    <xf numFmtId="0" fontId="1" fillId="0" borderId="6" xfId="0" applyFont="1" applyBorder="1"/>
    <xf numFmtId="4" fontId="9" fillId="0" borderId="6" xfId="0" applyNumberFormat="1" applyFont="1" applyBorder="1"/>
    <xf numFmtId="164" fontId="6" fillId="0" borderId="6" xfId="0" applyNumberFormat="1" applyFont="1" applyBorder="1"/>
    <xf numFmtId="164" fontId="9" fillId="0" borderId="6" xfId="0" applyNumberFormat="1" applyFont="1" applyBorder="1"/>
    <xf numFmtId="0" fontId="1" fillId="0" borderId="7" xfId="0" applyFont="1" applyBorder="1"/>
    <xf numFmtId="4" fontId="9" fillId="0" borderId="7" xfId="0" applyNumberFormat="1" applyFont="1" applyBorder="1"/>
    <xf numFmtId="0" fontId="1" fillId="0" borderId="1" xfId="0" applyFont="1" applyBorder="1"/>
    <xf numFmtId="4" fontId="6" fillId="0" borderId="1" xfId="0" applyNumberFormat="1" applyFont="1" applyBorder="1"/>
    <xf numFmtId="0" fontId="6" fillId="0" borderId="1" xfId="0" applyFont="1" applyBorder="1"/>
    <xf numFmtId="14" fontId="1" fillId="0" borderId="1" xfId="0" applyNumberFormat="1" applyFont="1" applyBorder="1"/>
    <xf numFmtId="14" fontId="3" fillId="0" borderId="1" xfId="0" applyNumberFormat="1" applyFont="1" applyBorder="1"/>
    <xf numFmtId="4" fontId="9" fillId="0" borderId="1" xfId="0" applyNumberFormat="1" applyFont="1" applyBorder="1"/>
    <xf numFmtId="14" fontId="1" fillId="7" borderId="1" xfId="0" applyNumberFormat="1" applyFont="1" applyFill="1" applyBorder="1"/>
    <xf numFmtId="4" fontId="6" fillId="7" borderId="1" xfId="0" applyNumberFormat="1" applyFont="1" applyFill="1" applyBorder="1"/>
    <xf numFmtId="14" fontId="10" fillId="0" borderId="0" xfId="0" applyNumberFormat="1" applyFont="1"/>
    <xf numFmtId="0" fontId="11" fillId="0" borderId="6" xfId="0" applyFont="1" applyBorder="1"/>
    <xf numFmtId="0" fontId="11" fillId="0" borderId="0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17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GoogleDrive/My%20Drive/@Thomas%20Property%20Development/@Tyquin%20St%20-%20Project/Tyquin%20St%20Project%20-%20Actu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Bank Statement"/>
      <sheetName val="Sheet1"/>
      <sheetName val="Banks Statement FY21_22"/>
      <sheetName val="Budget_Actuals "/>
      <sheetName val="Feasibility"/>
      <sheetName val="BAS"/>
      <sheetName val="Sheet4"/>
      <sheetName val="Building Contract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F4">
            <v>11591.9</v>
          </cell>
        </row>
        <row r="5">
          <cell r="G5">
            <v>1159.0899999999999</v>
          </cell>
        </row>
        <row r="8">
          <cell r="F8">
            <v>52734.55</v>
          </cell>
        </row>
        <row r="9">
          <cell r="G9">
            <v>5273.45</v>
          </cell>
        </row>
      </sheetData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GoogleDrive/My%20Drive/@Thomas%20Property%20Development/@Tyquin%20St%20-%20Project/Tyquin%20St%20Project%20-%20Actual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GoogleDrive/My%20Drive/@Thomas%20Property%20Development/@Tyquin%20St%20-%20Project/Tyquin%20St%20Project%20-%20Actual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44.567549884261" createdVersion="8" refreshedVersion="8" minRefreshableVersion="3" recordCount="784" xr:uid="{3C4B6CA8-2538-A440-9B1A-13DD8DA60C5B}">
  <cacheSource type="worksheet">
    <worksheetSource ref="A1:D785" sheet="Bank Statement" r:id="rId2"/>
  </cacheSource>
  <cacheFields count="6">
    <cacheField name="Date" numFmtId="0">
      <sharedItems containsSemiMixedTypes="0" containsNonDate="0" containsDate="1" containsString="0" minDate="2016-05-23T00:00:00" maxDate="2021-06-29T00:00:00" count="561">
        <d v="2016-05-23T00:00:00"/>
        <d v="2016-05-25T00:00:00"/>
        <d v="2016-05-27T00:00:00"/>
        <d v="2016-06-02T00:00:00"/>
        <d v="2016-06-03T00:00:00"/>
        <d v="2016-06-07T00:00:00"/>
        <d v="2016-06-09T00:00:00"/>
        <d v="2016-06-12T00:00:00"/>
        <d v="2016-06-16T00:00:00"/>
        <d v="2016-06-21T00:00:00"/>
        <d v="2016-06-27T00:00:00"/>
        <d v="2016-06-29T00:00:00"/>
        <d v="2016-06-30T00:00:00"/>
        <d v="2016-07-04T00:00:00"/>
        <d v="2016-07-08T00:00:00"/>
        <d v="2016-07-15T00:00:00"/>
        <d v="2016-07-18T00:00:00"/>
        <d v="2016-07-21T00:00:00"/>
        <d v="2016-07-26T00:00:00"/>
        <d v="2016-07-27T00:00:00"/>
        <d v="2016-07-28T00:00:00"/>
        <d v="2016-08-01T00:00:00"/>
        <d v="2016-08-02T00:00:00"/>
        <d v="2016-08-04T00:00:00"/>
        <d v="2016-08-06T00:00:00"/>
        <d v="2016-08-08T00:00:00"/>
        <d v="2016-08-13T00:00:00"/>
        <d v="2016-08-16T00:00:00"/>
        <d v="2016-08-22T00:00:00"/>
        <d v="2016-08-23T00:00:00"/>
        <d v="2016-08-26T00:00:00"/>
        <d v="2016-08-29T00:00:00"/>
        <d v="2016-08-30T00:00:00"/>
        <d v="2016-08-31T00:00:00"/>
        <d v="2016-09-01T00:00:00"/>
        <d v="2016-09-03T00:00:00"/>
        <d v="2016-09-11T00:00:00"/>
        <d v="2016-09-15T00:00:00"/>
        <d v="2016-09-16T00:00:00"/>
        <d v="2016-09-21T00:00:00"/>
        <d v="2016-09-27T00:00:00"/>
        <d v="2016-09-28T00:00:00"/>
        <d v="2016-09-29T00:00:00"/>
        <d v="2016-09-30T00:00:00"/>
        <d v="2016-10-03T00:00:00"/>
        <d v="2016-10-09T00:00:00"/>
        <d v="2016-10-17T00:00:00"/>
        <d v="2016-10-24T00:00:00"/>
        <d v="2016-10-27T00:00:00"/>
        <d v="2016-10-28T00:00:00"/>
        <d v="2016-10-31T00:00:00"/>
        <d v="2016-11-01T00:00:00"/>
        <d v="2016-11-07T00:00:00"/>
        <d v="2016-11-15T00:00:00"/>
        <d v="2016-11-16T00:00:00"/>
        <d v="2016-11-17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5T00:00:00"/>
        <d v="2016-12-13T00:00:00"/>
        <d v="2016-12-15T00:00:00"/>
        <d v="2016-12-16T00:00:00"/>
        <d v="2016-12-19T00:00:00"/>
        <d v="2016-12-23T00:00:00"/>
        <d v="2016-12-28T00:00:00"/>
        <d v="2016-12-30T00:00:00"/>
        <d v="2017-01-03T00:00:00"/>
        <d v="2017-01-09T00:00:00"/>
        <d v="2017-01-13T00:00:00"/>
        <d v="2017-01-14T00:00:00"/>
        <d v="2017-01-15T00:00:00"/>
        <d v="2017-01-16T00:00:00"/>
        <d v="2017-01-17T00:00:00"/>
        <d v="2017-01-23T00:00:00"/>
        <d v="2017-01-27T00:00:00"/>
        <d v="2017-01-30T00:00:00"/>
        <d v="2017-01-31T00:00:00"/>
        <d v="2017-02-02T00:00:00"/>
        <d v="2017-02-13T00:00:00"/>
        <d v="2017-02-15T00:00:00"/>
        <d v="2017-02-16T00:00:00"/>
        <d v="2017-02-22T00:00:00"/>
        <d v="2017-02-27T00:00:00"/>
        <d v="2017-02-28T00:00:00"/>
        <d v="2017-03-01T00:00:00"/>
        <d v="2017-03-13T00:00:00"/>
        <d v="2017-03-15T00:00:00"/>
        <d v="2017-03-16T00:00:00"/>
        <d v="2017-03-21T00:00:00"/>
        <d v="2017-03-27T00:00:00"/>
        <d v="2017-03-28T00:00:00"/>
        <d v="2017-03-30T00:00:00"/>
        <d v="2017-04-08T00:00:00"/>
        <d v="2017-04-13T00:00:00"/>
        <d v="2017-04-18T00:00:00"/>
        <d v="2017-04-19T00:00:00"/>
        <d v="2017-04-20T00:00:00"/>
        <d v="2017-04-23T00:00:00"/>
        <d v="2017-04-24T00:00:00"/>
        <d v="2017-04-27T00:00:00"/>
        <d v="2017-04-28T00:00:00"/>
        <d v="2017-05-02T00:00:00"/>
        <d v="2017-05-09T00:00:00"/>
        <d v="2017-05-13T00:00:00"/>
        <d v="2017-05-15T00:00:00"/>
        <d v="2017-05-16T00:00:00"/>
        <d v="2017-05-18T00:00:00"/>
        <d v="2017-05-22T00:00:00"/>
        <d v="2017-05-26T00:00:00"/>
        <d v="2017-05-28T00:00:00"/>
        <d v="2017-05-29T00:00:00"/>
        <d v="2017-05-30T00:00:00"/>
        <d v="2017-05-31T00:00:00"/>
        <d v="2017-06-03T00:00:00"/>
        <d v="2017-06-13T00:00:00"/>
        <d v="2017-06-15T00:00:00"/>
        <d v="2017-06-16T00:00:00"/>
        <d v="2017-06-21T00:00:00"/>
        <d v="2017-06-23T00:00:00"/>
        <d v="2017-06-27T00:00:00"/>
        <d v="2017-06-28T00:00:00"/>
        <d v="2017-06-30T00:00:00"/>
        <d v="2017-07-05T00:00:00"/>
        <d v="2017-07-13T00:00:00"/>
        <d v="2017-07-17T00:00:00"/>
        <d v="2017-07-19T00:00:00"/>
        <d v="2017-07-20T00:00:00"/>
        <d v="2017-07-21T00:00:00"/>
        <d v="2017-07-24T00:00:00"/>
        <d v="2017-07-27T00:00:00"/>
        <d v="2017-07-28T00:00:00"/>
        <d v="2017-08-01T00:00:00"/>
        <d v="2017-08-04T00:00:00"/>
        <d v="2017-08-09T00:00:00"/>
        <d v="2017-08-11T00:00:00"/>
        <d v="2017-08-13T00:00:00"/>
        <d v="2017-08-15T00:00:00"/>
        <d v="2017-08-16T00:00:00"/>
        <d v="2017-08-20T00:00:00"/>
        <d v="2017-08-22T00:00:00"/>
        <d v="2017-08-25T00:00:00"/>
        <d v="2017-08-28T00:00:00"/>
        <d v="2017-08-29T00:00:00"/>
        <d v="2017-08-30T00:00:00"/>
        <d v="2017-09-03T00:00:00"/>
        <d v="2017-09-11T00:00:00"/>
        <d v="2017-09-12T00:00:00"/>
        <d v="2017-09-13T00:00:00"/>
        <d v="2017-09-15T00:00:00"/>
        <d v="2017-09-18T00:00:00"/>
        <d v="2017-09-20T00:00:00"/>
        <d v="2017-09-22T00:00:00"/>
        <d v="2017-09-27T00:00:00"/>
        <d v="2017-09-28T00:00:00"/>
        <d v="2017-09-29T00:00:00"/>
        <d v="2017-09-30T00:00:00"/>
        <d v="2017-10-02T00:00:00"/>
        <d v="2017-10-03T00:00:00"/>
        <d v="2017-10-13T00:00:00"/>
        <d v="2017-10-16T00:00:00"/>
        <d v="2017-10-17T00:00:00"/>
        <d v="2017-10-18T00:00:00"/>
        <d v="2017-10-20T00:00:00"/>
        <d v="2017-10-23T00:00:00"/>
        <d v="2017-10-27T00:00:00"/>
        <d v="2017-10-30T00:00:00"/>
        <d v="2017-10-31T00:00:00"/>
        <d v="2017-11-13T00:00:00"/>
        <d v="2017-11-15T00:00:00"/>
        <d v="2017-11-16T00:00:00"/>
        <d v="2017-11-20T00:00:00"/>
        <d v="2017-11-21T00:00:00"/>
        <d v="2017-11-22T00:00:00"/>
        <d v="2017-11-27T00:00:00"/>
        <d v="2017-11-28T00:00:00"/>
        <d v="2017-11-30T00:00:00"/>
        <d v="2017-12-05T00:00:00"/>
        <d v="2017-12-13T00:00:00"/>
        <d v="2017-12-15T00:00:00"/>
        <d v="2017-12-18T00:00:00"/>
        <d v="2017-12-19T00:00:00"/>
        <d v="2017-12-20T00:00:00"/>
        <d v="2017-12-21T00:00:00"/>
        <d v="2017-12-27T00:00:00"/>
        <d v="2017-12-28T00:00:00"/>
        <d v="2017-12-29T00:00:00"/>
        <d v="2018-01-02T00:00:00"/>
        <d v="2018-01-11T00:00:00"/>
        <d v="2018-01-13T00:00:00"/>
        <d v="2018-01-14T00:00:00"/>
        <d v="2018-01-15T00:00:00"/>
        <d v="2018-01-16T00:00:00"/>
        <d v="2018-01-20T00:00:00"/>
        <d v="2018-01-21T00:00:00"/>
        <d v="2018-01-23T00:00:00"/>
        <d v="2018-01-25T00:00:00"/>
        <d v="2018-01-29T00:00:00"/>
        <d v="2018-01-30T00:00:00"/>
        <d v="2018-01-31T00:00:00"/>
        <d v="2018-02-13T00:00:00"/>
        <d v="2018-02-15T00:00:00"/>
        <d v="2018-02-16T00:00:00"/>
        <d v="2018-02-20T00:00:00"/>
        <d v="2018-02-21T00:00:00"/>
        <d v="2018-02-27T00:00:00"/>
        <d v="2018-02-28T00:00:00"/>
        <d v="2018-03-01T00:00:00"/>
        <d v="2018-03-05T00:00:00"/>
        <d v="2018-03-13T00:00:00"/>
        <d v="2018-03-15T00:00:00"/>
        <d v="2018-03-16T00:00:00"/>
        <d v="2018-03-20T00:00:00"/>
        <d v="2018-03-22T00:00:00"/>
        <d v="2018-03-27T00:00:00"/>
        <d v="2018-03-28T00:00:00"/>
        <d v="2018-04-01T00:00:00"/>
        <d v="2018-04-03T00:00:00"/>
        <d v="2018-04-10T00:00:00"/>
        <d v="2018-04-13T00:00:00"/>
        <d v="2018-04-16T00:00:00"/>
        <d v="2018-04-17T00:00:00"/>
        <d v="2018-04-20T00:00:00"/>
        <d v="2018-04-22T00:00:00"/>
        <d v="2018-04-27T00:00:00"/>
        <d v="2018-04-30T00:00:00"/>
        <d v="2018-05-01T00:00:00"/>
        <d v="2018-05-03T00:00:00"/>
        <d v="2018-05-06T00:00:00"/>
        <d v="2018-05-13T00:00:00"/>
        <d v="2018-05-15T00:00:00"/>
        <d v="2018-05-16T00:00:00"/>
        <d v="2018-05-20T00:00:00"/>
        <d v="2018-05-21T00:00:00"/>
        <d v="2018-05-24T00:00:00"/>
        <d v="2018-05-25T00:00:00"/>
        <d v="2018-05-28T00:00:00"/>
        <d v="2018-05-30T00:00:00"/>
        <d v="2018-06-06T00:00:00"/>
        <d v="2018-06-12T00:00:00"/>
        <d v="2018-06-13T00:00:00"/>
        <d v="2018-06-15T00:00:00"/>
        <d v="2018-06-18T00:00:00"/>
        <d v="2018-06-20T00:00:00"/>
        <d v="2018-06-27T00:00:00"/>
        <d v="2018-06-28T00:00:00"/>
        <d v="2018-07-02T00:00:00"/>
        <d v="2018-07-13T00:00:00"/>
        <d v="2018-07-16T00:00:00"/>
        <d v="2018-07-17T00:00:00"/>
        <d v="2018-07-20T00:00:00"/>
        <d v="2018-07-22T00:00:00"/>
        <d v="2018-07-27T00:00:00"/>
        <d v="2018-07-30T00:00:00"/>
        <d v="2018-07-31T00:00:00"/>
        <d v="2018-08-13T00:00:00"/>
        <d v="2018-08-15T00:00:00"/>
        <d v="2018-08-16T00:00:00"/>
        <d v="2018-08-20T00:00:00"/>
        <d v="2018-08-21T00:00:00"/>
        <d v="2018-08-27T00:00:00"/>
        <d v="2018-08-28T00:00:00"/>
        <d v="2018-08-30T00:00:00"/>
        <d v="2018-09-11T00:00:00"/>
        <d v="2018-09-13T00:00:00"/>
        <d v="2018-09-17T00:00:00"/>
        <d v="2018-09-20T00:00:00"/>
        <d v="2018-09-22T00:00:00"/>
        <d v="2018-09-27T00:00:00"/>
        <d v="2018-09-28T00:00:00"/>
        <d v="2018-09-30T00:00:00"/>
        <d v="2018-10-02T00:00:00"/>
        <d v="2018-10-13T00:00:00"/>
        <d v="2018-10-16T00:00:00"/>
        <d v="2018-10-17T00:00:00"/>
        <d v="2018-10-20T00:00:00"/>
        <d v="2018-10-22T00:00:00"/>
        <d v="2018-10-23T00:00:00"/>
        <d v="2018-10-26T00:00:00"/>
        <d v="2018-10-29T00:00:00"/>
        <d v="2018-10-30T00:00:00"/>
        <d v="2018-11-06T00:00:00"/>
        <d v="2018-11-07T00:00:00"/>
        <d v="2018-11-08T00:00:00"/>
        <d v="2018-11-13T00:00:00"/>
        <d v="2018-11-15T00:00:00"/>
        <d v="2018-11-16T00:00:00"/>
        <d v="2018-11-20T00:00:00"/>
        <d v="2018-11-22T00:00:00"/>
        <d v="2018-11-27T00:00:00"/>
        <d v="2018-11-28T00:00:00"/>
        <d v="2018-11-30T00:00:00"/>
        <d v="2018-12-01T00:00:00"/>
        <d v="2018-12-03T00:00:00"/>
        <d v="2018-12-04T00:00:00"/>
        <d v="2018-12-13T00:00:00"/>
        <d v="2018-12-17T00:00:00"/>
        <d v="2018-12-20T00:00:00"/>
        <d v="2018-12-21T00:00:00"/>
        <d v="2018-12-25T00:00:00"/>
        <d v="2018-12-27T00:00:00"/>
        <d v="2018-12-28T00:00:00"/>
        <d v="2019-01-02T00:00:00"/>
        <d v="2019-01-13T00:00:00"/>
        <d v="2019-01-15T00:00:00"/>
        <d v="2019-01-16T00:00:00"/>
        <d v="2019-01-20T00:00:00"/>
        <d v="2019-01-21T00:00:00"/>
        <d v="2019-01-23T00:00:00"/>
        <d v="2019-01-25T00:00:00"/>
        <d v="2019-01-27T00:00:00"/>
        <d v="2019-01-29T00:00:00"/>
        <d v="2019-01-30T00:00:00"/>
        <d v="2019-01-31T00:00:00"/>
        <d v="2019-02-01T00:00:00"/>
        <d v="2019-02-13T00:00:00"/>
        <d v="2019-02-14T00:00:00"/>
        <d v="2019-02-15T00:00:00"/>
        <d v="2019-02-18T00:00:00"/>
        <d v="2019-02-20T00:00:00"/>
        <d v="2019-02-21T00:00:00"/>
        <d v="2019-02-25T00:00:00"/>
        <d v="2019-02-27T00:00:00"/>
        <d v="2019-02-28T00:00:00"/>
        <d v="2019-03-01T00:00:00"/>
        <d v="2019-03-05T00:00:00"/>
        <d v="2019-03-13T00:00:00"/>
        <d v="2019-03-14T00:00:00"/>
        <d v="2019-03-15T00:00:00"/>
        <d v="2019-03-18T00:00:00"/>
        <d v="2019-03-20T00:00:00"/>
        <d v="2019-03-22T00:00:00"/>
        <d v="2019-03-26T00:00:00"/>
        <d v="2019-03-27T00:00:00"/>
        <d v="2019-03-28T00:00:00"/>
        <d v="2019-04-01T00:00:00"/>
        <d v="2019-04-03T00:00:00"/>
        <d v="2019-04-05T00:00:00"/>
        <d v="2019-04-08T00:00:00"/>
        <d v="2019-04-09T00:00:00"/>
        <d v="2019-04-10T00:00:00"/>
        <d v="2019-04-13T00:00:00"/>
        <d v="2019-04-14T00:00:00"/>
        <d v="2019-04-16T00:00:00"/>
        <d v="2019-04-17T00:00:00"/>
        <d v="2019-04-20T00:00:00"/>
        <d v="2019-04-23T00:00:00"/>
        <d v="2019-04-26T00:00:00"/>
        <d v="2019-04-29T00:00:00"/>
        <d v="2019-04-30T00:00:00"/>
        <d v="2019-05-01T00:00:00"/>
        <d v="2019-05-02T00:00:00"/>
        <d v="2019-05-06T00:00:00"/>
        <d v="2019-05-07T00:00:00"/>
        <d v="2019-05-08T00:00:00"/>
        <d v="2019-05-13T00:00:00"/>
        <d v="2019-05-15T00:00:00"/>
        <d v="2019-05-16T00:00:00"/>
        <d v="2019-05-20T00:00:00"/>
        <d v="2019-05-21T00:00:00"/>
        <d v="2019-05-26T00:00:00"/>
        <d v="2019-05-27T00:00:00"/>
        <d v="2019-05-28T00:00:00"/>
        <d v="2019-05-30T00:00:00"/>
        <d v="2019-05-31T00:00:00"/>
        <d v="2019-06-03T00:00:00"/>
        <d v="2019-06-04T00:00:00"/>
        <d v="2019-06-05T00:00:00"/>
        <d v="2019-06-13T00:00:00"/>
        <d v="2019-06-15T00:00:00"/>
        <d v="2019-06-17T00:00:00"/>
        <d v="2019-06-20T00:00:00"/>
        <d v="2019-06-21T00:00:00"/>
        <d v="2019-06-23T00:00:00"/>
        <d v="2019-06-24T00:00:00"/>
        <d v="2019-06-27T00:00:00"/>
        <d v="2019-06-28T00:00:00"/>
        <d v="2019-06-30T00:00:00"/>
        <d v="2019-07-01T00:00:00"/>
        <d v="2019-07-02T00:00:00"/>
        <d v="2019-07-11T00:00:00"/>
        <d v="2019-07-13T00:00:00"/>
        <d v="2019-07-15T00:00:00"/>
        <d v="2019-07-16T00:00:00"/>
        <d v="2019-07-17T00:00:00"/>
        <d v="2019-07-18T00:00:00"/>
        <d v="2019-07-20T00:00:00"/>
        <d v="2019-07-23T00:00:00"/>
        <d v="2019-07-26T00:00:00"/>
        <d v="2019-07-29T00:00:00"/>
        <d v="2019-07-30T00:00:00"/>
        <d v="2019-07-31T00:00:00"/>
        <d v="2019-08-05T00:00:00"/>
        <d v="2019-08-06T00:00:00"/>
        <d v="2019-08-08T00:00:00"/>
        <d v="2019-08-15T00:00:00"/>
        <d v="2019-08-16T00:00:00"/>
        <d v="2019-08-17T00:00:00"/>
        <d v="2019-08-18T00:00:00"/>
        <d v="2019-08-20T00:00:00"/>
        <d v="2019-08-21T00:00:00"/>
        <d v="2019-08-27T00:00:00"/>
        <d v="2019-08-28T00:00:00"/>
        <d v="2019-08-29T00:00:00"/>
        <d v="2019-08-30T00:00:00"/>
        <d v="2019-09-12T00:00:00"/>
        <d v="2019-09-13T00:00:00"/>
        <d v="2019-09-16T00:00:00"/>
        <d v="2019-09-17T00:00:00"/>
        <d v="2019-09-23T00:00:00"/>
        <d v="2019-09-24T00:00:00"/>
        <d v="2019-09-26T00:00:00"/>
        <d v="2019-09-30T00:00:00"/>
        <d v="2019-10-01T00:00:00"/>
        <d v="2019-10-02T00:00:00"/>
        <d v="2019-10-05T00:00:00"/>
        <d v="2019-10-07T00:00:00"/>
        <d v="2019-10-08T00:00:00"/>
        <d v="2019-10-11T00:00:00"/>
        <d v="2019-10-13T00:00:00"/>
        <d v="2019-10-15T00:00:00"/>
        <d v="2019-10-16T00:00:00"/>
        <d v="2019-10-20T00:00:00"/>
        <d v="2019-10-21T00:00:00"/>
        <d v="2019-10-25T00:00:00"/>
        <d v="2019-10-26T00:00:00"/>
        <d v="2019-10-27T00:00:00"/>
        <d v="2019-10-28T00:00:00"/>
        <d v="2019-10-29T00:00:00"/>
        <d v="2019-10-30T00:00:00"/>
        <d v="2019-11-02T00:00:00"/>
        <d v="2019-11-03T00:00:00"/>
        <d v="2019-11-13T00:00:00"/>
        <d v="2019-11-15T00:00:00"/>
        <d v="2019-11-16T00:00:00"/>
        <d v="2019-11-18T00:00:00"/>
        <d v="2019-11-21T00:00:00"/>
        <d v="2019-11-22T00:00:00"/>
        <d v="2019-11-25T00:00:00"/>
        <d v="2019-11-27T00:00:00"/>
        <d v="2019-11-28T00:00:00"/>
        <d v="2019-12-01T00:00:00"/>
        <d v="2019-12-02T00:00:00"/>
        <d v="2019-12-03T00:00:00"/>
        <d v="2019-12-04T00:00:00"/>
        <d v="2019-12-05T00:00:00"/>
        <d v="2019-12-11T00:00:00"/>
        <d v="2019-12-15T00:00:00"/>
        <d v="2019-12-16T00:00:00"/>
        <d v="2019-12-17T00:00:00"/>
        <d v="2019-12-18T00:00:00"/>
        <d v="2019-12-20T00:00:00"/>
        <d v="2019-12-27T00:00:00"/>
        <d v="2019-12-30T00:00:00"/>
        <d v="2019-12-31T00:00:00"/>
        <d v="2020-01-13T00:00:00"/>
        <d v="2020-01-15T00:00:00"/>
        <d v="2020-01-16T00:00:00"/>
        <d v="2020-01-20T00:00:00"/>
        <d v="2020-01-21T00:00:00"/>
        <d v="2020-01-23T00:00:00"/>
        <d v="2020-01-24T00:00:00"/>
        <d v="2020-01-28T00:00:00"/>
        <d v="2020-01-30T00:00:00"/>
        <d v="2020-02-07T00:00:00"/>
        <d v="2020-02-08T00:00:00"/>
        <d v="2020-02-09T00:00:00"/>
        <d v="2020-02-11T00:00:00"/>
        <d v="2020-02-17T00:00:00"/>
        <d v="2020-02-20T00:00:00"/>
        <d v="2020-02-24T00:00:00"/>
        <d v="2020-02-25T00:00:00"/>
        <d v="2020-02-27T00:00:00"/>
        <d v="2020-02-28T00:00:00"/>
        <d v="2020-03-03T00:00:00"/>
        <d v="2020-03-04T00:00:00"/>
        <d v="2020-03-11T00:00:00"/>
        <d v="2020-03-15T00:00:00"/>
        <d v="2020-03-16T00:00:00"/>
        <d v="2020-03-17T00:00:00"/>
        <d v="2020-03-26T00:00:00"/>
        <d v="2020-04-02T00:00:00"/>
        <d v="2020-04-06T00:00:00"/>
        <d v="2020-04-21T00:00:00"/>
        <d v="2020-04-28T00:00:00"/>
        <d v="2020-05-15T00:00:00"/>
        <d v="2020-05-22T00:00:00"/>
        <d v="2020-05-26T00:00:00"/>
        <d v="2020-05-27T00:00:00"/>
        <d v="2020-06-22T00:00:00"/>
        <d v="2020-06-25T00:00:00"/>
        <d v="2020-06-29T00:00:00"/>
        <d v="2020-07-02T00:00:00"/>
        <d v="2020-07-08T00:00:00"/>
        <d v="2020-07-21T00:00:00"/>
        <d v="2020-07-27T00:00:00"/>
        <d v="2020-08-21T00:00:00"/>
        <d v="2020-08-25T00:00:00"/>
        <d v="2020-08-27T00:00:00"/>
        <d v="2020-09-10T00:00:00"/>
        <d v="2020-09-11T00:00:00"/>
        <d v="2020-09-14T00:00:00"/>
        <d v="2020-09-21T00:00:00"/>
        <d v="2020-09-25T00:00:00"/>
        <d v="2020-09-30T00:00:00"/>
        <d v="2020-10-05T00:00:00"/>
        <d v="2020-10-12T00:00:00"/>
        <d v="2020-10-13T00:00:00"/>
        <d v="2020-10-21T00:00:00"/>
        <d v="2020-10-26T00:00:00"/>
        <d v="2020-10-27T00:00:00"/>
        <d v="2020-10-28T00:00:00"/>
        <d v="2020-11-11T00:00:00"/>
        <d v="2020-11-13T00:00:00"/>
        <d v="2020-11-19T00:00:00"/>
        <d v="2020-11-23T00:00:00"/>
        <d v="2020-11-24T00:00:00"/>
        <d v="2020-12-04T00:00:00"/>
        <d v="2020-12-07T00:00:00"/>
        <d v="2020-12-09T00:00:00"/>
        <d v="2020-12-14T00:00:00"/>
        <d v="2020-12-15T00:00:00"/>
        <d v="2020-12-18T00:00:00"/>
        <d v="2020-12-21T00:00:00"/>
        <d v="2020-12-23T00:00:00"/>
        <d v="2020-12-24T00:00:00"/>
        <d v="2020-12-31T00:00:00"/>
        <d v="2021-01-06T00:00:00"/>
        <d v="2021-01-07T00:00:00"/>
        <d v="2021-01-13T00:00:00"/>
        <d v="2021-01-21T00:00:00"/>
        <d v="2021-01-27T00:00:00"/>
        <d v="2021-01-28T00:00:00"/>
        <d v="2021-01-29T00:00:00"/>
        <d v="2021-02-11T00:00:00"/>
        <d v="2021-02-15T00:00:00"/>
        <d v="2021-02-22T00:00:00"/>
        <d v="2021-02-25T00:00:00"/>
        <d v="2021-03-01T00:00:00"/>
        <d v="2021-03-02T00:00:00"/>
        <d v="2021-03-03T00:00:00"/>
        <d v="2021-03-10T00:00:00"/>
        <d v="2021-03-15T00:00:00"/>
        <d v="2021-03-22T00:00:00"/>
        <d v="2021-04-13T00:00:00"/>
        <d v="2021-04-21T00:00:00"/>
        <d v="2021-04-26T00:00:00"/>
        <d v="2021-05-20T00:00:00"/>
        <d v="2021-05-21T00:00:00"/>
        <d v="2021-05-24T00:00:00"/>
        <d v="2021-05-25T00:00:00"/>
        <d v="2021-05-31T00:00:00"/>
        <d v="2021-06-01T00:00:00"/>
        <d v="2021-06-14T00:00:00"/>
        <d v="2021-06-21T00:00:00"/>
        <d v="2021-06-22T00:00:00"/>
        <d v="2021-06-28T00:00:00"/>
      </sharedItems>
      <fieldGroup par="5" base="0">
        <rangePr groupBy="months" startDate="2016-05-23T00:00:00" endDate="2021-06-29T00:00:00"/>
        <groupItems count="14">
          <s v="&lt;23/5/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6/21"/>
        </groupItems>
      </fieldGroup>
    </cacheField>
    <cacheField name="Amount" numFmtId="0">
      <sharedItems containsSemiMixedTypes="0" containsString="0" containsNumber="1" minValue="-28000" maxValue="15000"/>
    </cacheField>
    <cacheField name="Description" numFmtId="0">
      <sharedItems/>
    </cacheField>
    <cacheField name="Category " numFmtId="0">
      <sharedItems count="46">
        <s v="Rent-68"/>
        <s v="Deposit - Lloyd"/>
        <s v="Deposit - Andrew"/>
        <s v="Interest-68"/>
        <s v="Settlement"/>
        <s v="Rates-68"/>
        <s v="Initial Purchase"/>
        <s v="Town Planning - Permits"/>
        <s v="Gift"/>
        <s v="Insurance-68"/>
        <s v="Insurance-70"/>
        <s v="Interest-70"/>
        <s v="Water-68"/>
        <s v="Credit"/>
        <s v="Reno"/>
        <s v="Electricity"/>
        <s v="Bank Fee"/>
        <s v="Rent-70"/>
        <s v="Maintenance-70"/>
        <s v="Property Management"/>
        <s v="Maintenance-68"/>
        <s v="VCAT"/>
        <s v="Rates-70"/>
        <s v="Water-70"/>
        <s v="Planning - Building Permit"/>
        <s v="Project Management"/>
        <s v="Legal"/>
        <s v="Subdivision "/>
        <s v="Building Permit"/>
        <s v="Eval"/>
        <s v="Land Tax"/>
        <s v="Pre Build"/>
        <s v="Build - IBhomes Deposit"/>
        <s v="Fees"/>
        <s v="Brokers Fees"/>
        <s v="Finance"/>
        <s v="GST payment"/>
        <s v="Interest"/>
        <s v="Building Warrenty"/>
        <s v="Build - Services"/>
        <s v="Build - Demolition" u="1"/>
        <s v="Build" u="1"/>
        <s v="Buiding Permit" u="1"/>
        <s v="Build - Fencing" u="1"/>
        <s v="Legals" u="1"/>
        <s v="Build - Build Permit" u="1"/>
      </sharedItems>
    </cacheField>
    <cacheField name="Quarters" numFmtId="0" databaseField="0">
      <fieldGroup base="0">
        <rangePr groupBy="quarters" startDate="2016-05-23T00:00:00" endDate="2021-06-29T00:00:00"/>
        <groupItems count="6">
          <s v="&lt;23/5/16"/>
          <s v="Qtr1"/>
          <s v="Qtr2"/>
          <s v="Qtr3"/>
          <s v="Qtr4"/>
          <s v="&gt;29/6/21"/>
        </groupItems>
      </fieldGroup>
    </cacheField>
    <cacheField name="Years" numFmtId="0" databaseField="0">
      <fieldGroup base="0">
        <rangePr groupBy="years" startDate="2016-05-23T00:00:00" endDate="2021-06-29T00:00:00"/>
        <groupItems count="8">
          <s v="&lt;23/5/16"/>
          <s v="2016"/>
          <s v="2017"/>
          <s v="2018"/>
          <s v="2019"/>
          <s v="2020"/>
          <s v="2021"/>
          <s v="&gt;29/6/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45.456640625001" createdVersion="8" refreshedVersion="8" minRefreshableVersion="3" recordCount="59" xr:uid="{4545965A-1AC2-124E-8EDF-2EAB4C379469}">
  <cacheSource type="worksheet">
    <worksheetSource ref="A1:E60" sheet="Banks Statement FY21_22" r:id="rId2"/>
  </cacheSource>
  <cacheFields count="7">
    <cacheField name="Date" numFmtId="14">
      <sharedItems containsSemiMixedTypes="0" containsNonDate="0" containsDate="1" containsString="0" minDate="2020-10-28T00:00:00" maxDate="2022-07-01T00:00:00" count="44">
        <d v="2020-10-28T00:00:00"/>
        <d v="2020-11-19T00:00:00"/>
        <d v="2020-11-24T00:00:00"/>
        <d v="2020-12-15T00:00:00"/>
        <d v="2020-12-18T00:00:00"/>
        <d v="2021-02-09T00:00:00"/>
        <d v="2021-03-24T00:00:00"/>
        <d v="2021-02-24T00:00:00"/>
        <d v="2021-03-12T00:00:00"/>
        <d v="2021-04-07T00:00:00"/>
        <d v="2021-04-13T00:00:00"/>
        <d v="2021-04-27T00:00:00"/>
        <d v="2021-05-05T00:00:00"/>
        <d v="2021-06-21T00:00:00"/>
        <d v="2021-06-28T00:00:00"/>
        <d v="2021-07-05T00:00:00"/>
        <d v="2021-08-30T00:00:00"/>
        <d v="2021-08-31T00:00:00"/>
        <d v="2021-09-06T00:00:00"/>
        <d v="2021-10-20T00:00:00"/>
        <d v="2021-12-13T00:00:00"/>
        <d v="2022-01-10T00:00:00"/>
        <d v="2022-01-13T00:00:00"/>
        <d v="2022-01-17T00:00:00"/>
        <d v="2022-01-21T00:00:00"/>
        <d v="2022-01-29T00:00:00"/>
        <d v="2022-01-31T00:00:00"/>
        <d v="2022-02-11T00:00:00"/>
        <d v="2022-02-10T00:00:00"/>
        <d v="2022-03-09T00:00:00"/>
        <d v="2022-03-17T00:00:00"/>
        <d v="2022-04-12T00:00:00"/>
        <d v="2022-04-20T00:00:00"/>
        <d v="2022-04-21T00:00:00"/>
        <d v="2022-04-27T00:00:00"/>
        <d v="2022-05-04T00:00:00"/>
        <d v="2022-05-06T00:00:00"/>
        <d v="2022-05-27T00:00:00"/>
        <d v="2022-06-06T00:00:00"/>
        <d v="2022-06-15T00:00:00"/>
        <d v="2022-06-21T00:00:00"/>
        <d v="2022-06-24T00:00:00"/>
        <d v="2022-06-28T00:00:00"/>
        <d v="2022-06-30T00:00:00"/>
      </sharedItems>
      <fieldGroup par="6" base="0">
        <rangePr groupBy="months" startDate="2020-10-28T00:00:00" endDate="2022-07-01T00:00:00"/>
        <groupItems count="14">
          <s v="&lt;28/10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7/22"/>
        </groupItems>
      </fieldGroup>
    </cacheField>
    <cacheField name="Deciption" numFmtId="0">
      <sharedItems/>
    </cacheField>
    <cacheField name="Category" numFmtId="0">
      <sharedItems count="18">
        <s v="Broker"/>
        <s v="Eval"/>
        <s v="Architecture"/>
        <s v="Build Contract"/>
        <s v="Build Variation - Direct"/>
        <s v="QS"/>
        <s v="Build Variation"/>
        <s v="Services"/>
        <s v="Utilities"/>
        <s v="Legal"/>
        <s v="Land Tax"/>
        <s v="Expert Report - Darbecca"/>
        <s v="Video Survellience"/>
        <s v="Temp Fencing"/>
        <s v="Exppert Report - Spot On"/>
        <s v="Mis"/>
        <s v="Build Contract - 50K" u="1"/>
        <s v="Warrenty" u="1"/>
      </sharedItems>
    </cacheField>
    <cacheField name="Amount" numFmtId="0">
      <sharedItems containsSemiMixedTypes="0" containsString="0" containsNumber="1" minValue="23.73" maxValue="100418.62"/>
    </cacheField>
    <cacheField name="GST" numFmtId="4">
      <sharedItems containsSemiMixedTypes="0" containsString="0" containsNumber="1" minValue="0" maxValue="9128.9654545454541"/>
    </cacheField>
    <cacheField name="Quarters" numFmtId="0" databaseField="0">
      <fieldGroup base="0">
        <rangePr groupBy="quarters" startDate="2020-10-28T00:00:00" endDate="2022-07-01T00:00:00"/>
        <groupItems count="6">
          <s v="&lt;28/10/20"/>
          <s v="Qtr1"/>
          <s v="Qtr2"/>
          <s v="Qtr3"/>
          <s v="Qtr4"/>
          <s v="&gt;1/7/22"/>
        </groupItems>
      </fieldGroup>
    </cacheField>
    <cacheField name="Years" numFmtId="0" databaseField="0">
      <fieldGroup base="0">
        <rangePr groupBy="years" startDate="2020-10-28T00:00:00" endDate="2022-07-01T00:00:00"/>
        <groupItems count="5">
          <s v="&lt;28/10/20"/>
          <s v="2020"/>
          <s v="2021"/>
          <s v="2022"/>
          <s v="&gt;1/7/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4">
  <r>
    <x v="0"/>
    <n v="1150.07"/>
    <s v="Direct Credit 302416 Barlow McEwan Tr RENT PAYMNT THOM"/>
    <x v="0"/>
  </r>
  <r>
    <x v="0"/>
    <n v="250"/>
    <s v="Transfer from xx4836 CommBank app Tyquin St"/>
    <x v="1"/>
  </r>
  <r>
    <x v="1"/>
    <n v="250"/>
    <s v="Direct Credit 421520 ANDREW MANOKARAN Mano"/>
    <x v="2"/>
  </r>
  <r>
    <x v="2"/>
    <n v="-501.27"/>
    <s v="Direct Debit 012179 Advantedge PTVL ADV"/>
    <x v="3"/>
  </r>
  <r>
    <x v="2"/>
    <n v="-931.14"/>
    <s v="Direct Debit 012179 Advantedge PTVL ADV"/>
    <x v="3"/>
  </r>
  <r>
    <x v="3"/>
    <n v="5000"/>
    <s v="Direct Credit 421520 ANDREW MANOKARAN Andrew"/>
    <x v="4"/>
  </r>
  <r>
    <x v="4"/>
    <n v="5000"/>
    <s v="Direct Credit 421520 ANDREW MANOKARAN Andrew Tyquin"/>
    <x v="4"/>
  </r>
  <r>
    <x v="4"/>
    <n v="10000"/>
    <s v="Direct Credit 421520 LLOYD THOMAS"/>
    <x v="4"/>
  </r>
  <r>
    <x v="5"/>
    <n v="1500"/>
    <s v="Direct Credit 421520 ANDREW MANOKARAN Andrew Tyquin"/>
    <x v="2"/>
  </r>
  <r>
    <x v="5"/>
    <n v="1500"/>
    <s v="Transfer from xx4836 CommBank app Tyquin settlement"/>
    <x v="1"/>
  </r>
  <r>
    <x v="6"/>
    <n v="-279"/>
    <s v="HOBSONS BAY COUNCIL  NetBank BPAY 39032 59020006808 "/>
    <x v="5"/>
  </r>
  <r>
    <x v="7"/>
    <n v="-500"/>
    <s v="Transfer to xx4836 NetBank 68 Initial Deposit"/>
    <x v="6"/>
  </r>
  <r>
    <x v="7"/>
    <n v="-550"/>
    <s v="Transfer to xx4836 NetBank 68 Feasibility Rep"/>
    <x v="7"/>
  </r>
  <r>
    <x v="8"/>
    <n v="400"/>
    <s v="Direct Credit 421520 ANDREW MANOKARAN Mano"/>
    <x v="2"/>
  </r>
  <r>
    <x v="9"/>
    <n v="1139.07"/>
    <s v="Direct Credit 302416 Barlow McEwan Tr RENT PAYMNT THOM"/>
    <x v="0"/>
  </r>
  <r>
    <x v="10"/>
    <n v="-518.23"/>
    <s v="Direct Debit 012179 Advantedge PTVL ADV"/>
    <x v="3"/>
  </r>
  <r>
    <x v="10"/>
    <n v="-502.69"/>
    <s v="Direct Debit 012179 Advantedge PTVL ADV"/>
    <x v="3"/>
  </r>
  <r>
    <x v="11"/>
    <n v="400"/>
    <s v="Transfer from xx4836 NetBank tyquin st LT"/>
    <x v="1"/>
  </r>
  <r>
    <x v="12"/>
    <n v="-1210"/>
    <s v="Transfer to other Bank NetBank 68 70 Tyquin St"/>
    <x v="7"/>
  </r>
  <r>
    <x v="13"/>
    <n v="600"/>
    <s v="Direct Credit 421520 ANDREW MANOKARAN Andrew Architect"/>
    <x v="2"/>
  </r>
  <r>
    <x v="14"/>
    <n v="-70"/>
    <s v="Transfer to xx1274 NetBank Jo Flowers Champag"/>
    <x v="8"/>
  </r>
  <r>
    <x v="14"/>
    <n v="600"/>
    <s v="Transfer from xx8740 NetBank TyquinArchitectFes"/>
    <x v="1"/>
  </r>
  <r>
    <x v="15"/>
    <n v="-62.79"/>
    <s v="Direct Debit 452599 AAMI PI HPL071936456"/>
    <x v="9"/>
  </r>
  <r>
    <x v="16"/>
    <n v="400"/>
    <s v="Direct Credit 421520 ANDREW MANOKARAN Mano"/>
    <x v="2"/>
  </r>
  <r>
    <x v="17"/>
    <n v="1150.07"/>
    <s v="Direct Credit 302416 Barlow McEwan Tr RENT PAYMNT THOM"/>
    <x v="0"/>
  </r>
  <r>
    <x v="18"/>
    <n v="2500"/>
    <s v="Direct Credit 421520 ANDREW MANOKARAN Andrew 70tyquin"/>
    <x v="2"/>
  </r>
  <r>
    <x v="19"/>
    <n v="-486.49"/>
    <s v="Direct Debit 012179 Advantedge PTVL ADV"/>
    <x v="3"/>
  </r>
  <r>
    <x v="19"/>
    <n v="-473.09"/>
    <s v="Direct Debit 012179 Advantedge PTVL ADV"/>
    <x v="3"/>
  </r>
  <r>
    <x v="20"/>
    <n v="-28000"/>
    <s v="Transfer to other Bank NetBank Settlement"/>
    <x v="4"/>
  </r>
  <r>
    <x v="20"/>
    <n v="2500"/>
    <s v="Transfer from xx8740 CommBank app Settlement"/>
    <x v="1"/>
  </r>
  <r>
    <x v="21"/>
    <n v="-64.69"/>
    <s v="Direct Debit 452599 AAMI PI HPL077169729"/>
    <x v="10"/>
  </r>
  <r>
    <x v="22"/>
    <n v="-601"/>
    <s v="Transfer to other Bank NetBank deposit interest"/>
    <x v="11"/>
  </r>
  <r>
    <x v="22"/>
    <n v="21"/>
    <s v="Transfer from xx4836 NetBank Top Up"/>
    <x v="1"/>
  </r>
  <r>
    <x v="22"/>
    <n v="400"/>
    <s v="Transfer from xx4836 NetBank Tyquin St Project"/>
    <x v="1"/>
  </r>
  <r>
    <x v="23"/>
    <n v="2500"/>
    <s v="Direct Credit 421520 ANDREW MANOKARAN Andrew 70 Tyquin"/>
    <x v="2"/>
  </r>
  <r>
    <x v="24"/>
    <n v="-216.58"/>
    <s v="CITY WEST WATER      NetBank BPAY 8789 121739220138"/>
    <x v="12"/>
  </r>
  <r>
    <x v="24"/>
    <n v="-2255"/>
    <s v="Transfer to other Bank NetBank Tyquin St Lloyd"/>
    <x v="7"/>
  </r>
  <r>
    <x v="24"/>
    <n v="2500"/>
    <s v="Transfer from xx4836 NetBank 70 Tyquin Reno"/>
    <x v="1"/>
  </r>
  <r>
    <x v="25"/>
    <n v="82"/>
    <s v="Direct Credit 106600 LLOYD THOMAS Left over from Set"/>
    <x v="13"/>
  </r>
  <r>
    <x v="26"/>
    <n v="-2000"/>
    <s v="Transfer to CBA A/c NetBank TyquinRenoPayment1"/>
    <x v="14"/>
  </r>
  <r>
    <x v="27"/>
    <n v="400"/>
    <s v="Direct Credit 421520 ANDREW MANOKARAN Mano"/>
    <x v="2"/>
  </r>
  <r>
    <x v="27"/>
    <n v="-62.79"/>
    <s v="Direct Debit 452599 AAMI PI HPL071936456"/>
    <x v="9"/>
  </r>
  <r>
    <x v="28"/>
    <n v="1400"/>
    <s v="Direct Credit 421520 ANDREW MANOKARAN"/>
    <x v="2"/>
  </r>
  <r>
    <x v="28"/>
    <n v="1150.07"/>
    <s v="Direct Credit 302416 Barlow McEwan Tr RENT PAYMNT THOM"/>
    <x v="0"/>
  </r>
  <r>
    <x v="29"/>
    <n v="1500"/>
    <s v="Transfer from xx8740 NetBank renovationpayment2"/>
    <x v="1"/>
  </r>
  <r>
    <x v="30"/>
    <n v="-488.72"/>
    <s v="Direct Debit 012179 Advantedge PTVL ADV"/>
    <x v="3"/>
  </r>
  <r>
    <x v="30"/>
    <n v="-502.56"/>
    <s v="Direct Debit 012179 Advantedge PTVL ADV"/>
    <x v="3"/>
  </r>
  <r>
    <x v="31"/>
    <n v="-1109.27"/>
    <s v="Direct Debit 000439 BANK-M S311052458400"/>
    <x v="11"/>
  </r>
  <r>
    <x v="31"/>
    <n v="-1560"/>
    <s v="Transfer to other Bank NetBank MPL3461 planlevy"/>
    <x v="7"/>
  </r>
  <r>
    <x v="32"/>
    <n v="-64.69"/>
    <s v="Direct Debit 452599 AAMI PI HPL077169729"/>
    <x v="10"/>
  </r>
  <r>
    <x v="33"/>
    <n v="9000"/>
    <s v="Direct Credit 421520 ANDREW MANOKARAN Andrew"/>
    <x v="2"/>
  </r>
  <r>
    <x v="33"/>
    <n v="-2000"/>
    <s v="Transfer to CBA A/c CommBank app Tyquinrenopay2"/>
    <x v="14"/>
  </r>
  <r>
    <x v="33"/>
    <n v="400"/>
    <s v="Transfer from xx4836 CommBank app TyquinMontlyPay"/>
    <x v="1"/>
  </r>
  <r>
    <x v="33"/>
    <n v="1500"/>
    <s v="Transfer from xx4836 CommBank app Tyquinrenopay3LT"/>
    <x v="1"/>
  </r>
  <r>
    <x v="33"/>
    <n v="7500"/>
    <s v="Transfer from xx4836 CommBank app TyquinplanpermitLT"/>
    <x v="1"/>
  </r>
  <r>
    <x v="34"/>
    <n v="-843"/>
    <s v="Transfer to other Bank CommBank app deposit loan pay"/>
    <x v="11"/>
  </r>
  <r>
    <x v="35"/>
    <n v="-15453"/>
    <s v="Transfer to other Bank NetBank TyquinStProject LT"/>
    <x v="7"/>
  </r>
  <r>
    <x v="36"/>
    <n v="-1500"/>
    <s v="Transfer to CBA A/c NetBank Tyquin Reno3"/>
    <x v="14"/>
  </r>
  <r>
    <x v="36"/>
    <n v="500"/>
    <s v="Transfer from xx4836 NetBank TyquinPermit"/>
    <x v="1"/>
  </r>
  <r>
    <x v="37"/>
    <n v="-62.79"/>
    <s v="Direct Debit 452599 AAMI PI HPL071936456"/>
    <x v="9"/>
  </r>
  <r>
    <x v="38"/>
    <n v="400"/>
    <s v="Direct Credit 421520 ANDREW MANOKARAN Mano"/>
    <x v="2"/>
  </r>
  <r>
    <x v="39"/>
    <n v="1169.9100000000001"/>
    <s v="Direct Credit 302416 Barlow McEwan Tr RENT PAYMNT THOM"/>
    <x v="0"/>
  </r>
  <r>
    <x v="40"/>
    <n v="500"/>
    <s v="Transfer from xx8740 CommBank app Laptop"/>
    <x v="2"/>
  </r>
  <r>
    <x v="40"/>
    <n v="-483.9"/>
    <s v="Direct Debit 012179 Advantedge PTVL ADV"/>
    <x v="3"/>
  </r>
  <r>
    <x v="40"/>
    <n v="-497.61"/>
    <s v="Direct Debit 012179 Advantedge PTVL ADV"/>
    <x v="3"/>
  </r>
  <r>
    <x v="41"/>
    <n v="-1145.9100000000001"/>
    <s v="Direct Debit 000439 BANK-M S311052458400"/>
    <x v="11"/>
  </r>
  <r>
    <x v="42"/>
    <n v="400"/>
    <s v="Direct Credit 421520 ANDREW MANOKARAN Tyquin Street"/>
    <x v="2"/>
  </r>
  <r>
    <x v="43"/>
    <n v="-64.69"/>
    <s v="Direct Debit 452599 AAMI PI HPL077169729"/>
    <x v="10"/>
  </r>
  <r>
    <x v="43"/>
    <n v="-56.93"/>
    <s v="Transfer to CBA A/c NetBank Electricity Bill"/>
    <x v="15"/>
  </r>
  <r>
    <x v="44"/>
    <n v="-275"/>
    <s v="HOBSONS BAY COUNCIL  NetBank BPAY 39032 59020006808"/>
    <x v="5"/>
  </r>
  <r>
    <x v="45"/>
    <n v="400"/>
    <s v="Transfer from xx4836 NetBank SeptPayment"/>
    <x v="1"/>
  </r>
  <r>
    <x v="46"/>
    <n v="400"/>
    <s v="Direct Credit 421520 ANDREW MANOKARAN Mano"/>
    <x v="2"/>
  </r>
  <r>
    <x v="46"/>
    <n v="-62.79"/>
    <s v="Direct Debit 452599 AAMI PI HPL071936456"/>
    <x v="9"/>
  </r>
  <r>
    <x v="46"/>
    <n v="-810"/>
    <s v="Transfer to xx4836 NetBank personalloanpaymen"/>
    <x v="11"/>
  </r>
  <r>
    <x v="46"/>
    <n v="400"/>
    <s v="Transfer from xx4836 NetBank Payment Extra"/>
    <x v="1"/>
  </r>
  <r>
    <x v="47"/>
    <n v="1169.9100000000001"/>
    <s v="Direct Credit 302416 Barlow McEwan Tr RENT PAYMNT THOM"/>
    <x v="0"/>
  </r>
  <r>
    <x v="48"/>
    <n v="-475.01"/>
    <s v="Direct Debit 012179 Advantedge PTVL ADV"/>
    <x v="3"/>
  </r>
  <r>
    <x v="48"/>
    <n v="-461.93"/>
    <s v="Direct Debit 012179 Advantedge PTVL ADV"/>
    <x v="3"/>
  </r>
  <r>
    <x v="49"/>
    <n v="-1109.27"/>
    <s v="Direct Debit 000439 BANK-M S311052458400"/>
    <x v="11"/>
  </r>
  <r>
    <x v="50"/>
    <n v="-1110"/>
    <s v="Transfer to other Bank NetBank loanrepaymentLT"/>
    <x v="11"/>
  </r>
  <r>
    <x v="50"/>
    <n v="-5"/>
    <s v="Unpaid Payment Fee Value Date: 28/10/2016"/>
    <x v="16"/>
  </r>
  <r>
    <x v="50"/>
    <n v="1109.27"/>
    <s v="Return 28/10/16 Direct Debit 000439 BANK-M S311052458400 Value Date: 28/10/2016"/>
    <x v="11"/>
  </r>
  <r>
    <x v="50"/>
    <n v="400"/>
    <s v="Transfer from xx4836 NetBank Month Payment LT"/>
    <x v="1"/>
  </r>
  <r>
    <x v="51"/>
    <n v="-64.69"/>
    <s v="Direct Debit 452599 AAMI PI HPL077169729"/>
    <x v="10"/>
  </r>
  <r>
    <x v="52"/>
    <n v="400"/>
    <s v="Direct Credit 421520 ANDREW MANOKARAN"/>
    <x v="2"/>
  </r>
  <r>
    <x v="53"/>
    <n v="-62.79"/>
    <s v="Direct Debit 452599 AAMI PI HPL071936456"/>
    <x v="9"/>
  </r>
  <r>
    <x v="54"/>
    <n v="400"/>
    <s v="Direct Credit 421520 ANDREW MANOKARAN Mano"/>
    <x v="2"/>
  </r>
  <r>
    <x v="54"/>
    <n v="340"/>
    <s v="Direct Credit 421520 ANDREW MANOKARAN Advertising"/>
    <x v="2"/>
  </r>
  <r>
    <x v="55"/>
    <n v="-678"/>
    <s v="Transfer to other Bank NetBank advertising"/>
    <x v="7"/>
  </r>
  <r>
    <x v="55"/>
    <n v="500"/>
    <s v="Transfer from xx4836 NetBank First Rent"/>
    <x v="17"/>
  </r>
  <r>
    <x v="56"/>
    <n v="1169.9100000000001"/>
    <s v="Direct Credit 302416 Barlow McEwan Tr RENT PAYMNT THOM"/>
    <x v="0"/>
  </r>
  <r>
    <x v="57"/>
    <n v="500"/>
    <s v="Transfer from xx4836 NetBank personalpackback"/>
    <x v="11"/>
  </r>
  <r>
    <x v="57"/>
    <n v="-500"/>
    <s v="Transfer to xx4836 NetBank personal loan"/>
    <x v="11"/>
  </r>
  <r>
    <x v="57"/>
    <n v="340"/>
    <s v="Transfer from xx4836 NetBank advertising"/>
    <x v="1"/>
  </r>
  <r>
    <x v="57"/>
    <n v="400"/>
    <s v="Transfer from xx4836 NetBank TyquinStProjectLT"/>
    <x v="1"/>
  </r>
  <r>
    <x v="58"/>
    <n v="-477.21"/>
    <s v="Direct Debit 012179 Advantedge PTVL ADV"/>
    <x v="3"/>
  </r>
  <r>
    <x v="58"/>
    <n v="-490.73"/>
    <s v="Direct Debit 012179 Advantedge PTVL ADV"/>
    <x v="3"/>
  </r>
  <r>
    <x v="59"/>
    <n v="-1145.94"/>
    <s v="Direct Debit 000439 BANK-M S311052458400"/>
    <x v="11"/>
  </r>
  <r>
    <x v="60"/>
    <n v="-500"/>
    <s v="Transfer to xx4836 NetBank personal loan"/>
    <x v="11"/>
  </r>
  <r>
    <x v="61"/>
    <n v="-64.69"/>
    <s v="Direct Debit 452599 AAMI PI HPL077169729"/>
    <x v="10"/>
  </r>
  <r>
    <x v="61"/>
    <n v="500"/>
    <s v="Transfer from xx4836 NetBank extraLTratesdoors"/>
    <x v="1"/>
  </r>
  <r>
    <x v="62"/>
    <n v="1369"/>
    <s v="Transfer from GURPINDER KAUR CommBank app rent70 Tyquin"/>
    <x v="17"/>
  </r>
  <r>
    <x v="62"/>
    <n v="-261.85000000000002"/>
    <s v="HOBSONS BAY COUNCIL  NetBank BPAY 39032 59020006808"/>
    <x v="5"/>
  </r>
  <r>
    <x v="63"/>
    <n v="-300"/>
    <s v="Transfer to CBA A/c NetBank 70TyquinDoors"/>
    <x v="18"/>
  </r>
  <r>
    <x v="63"/>
    <n v="-500"/>
    <s v="Transfer to CBA A/c NetBank 70Tyquin St Reno"/>
    <x v="14"/>
  </r>
  <r>
    <x v="64"/>
    <n v="-50"/>
    <s v="Transfer to CBA A/c NetBank 70TyquinPropertMgt"/>
    <x v="19"/>
  </r>
  <r>
    <x v="65"/>
    <n v="-62.79"/>
    <s v="Direct Debit 452599 AAMI PI HPL071936456"/>
    <x v="9"/>
  </r>
  <r>
    <x v="66"/>
    <n v="400"/>
    <s v="Direct Credit 421520 ANDREW MANOKARAN Mano"/>
    <x v="2"/>
  </r>
  <r>
    <x v="67"/>
    <n v="400"/>
    <s v="Transfer from xx4836 NetBank TyquinStProjectLT"/>
    <x v="1"/>
  </r>
  <r>
    <x v="68"/>
    <n v="-474.88"/>
    <s v="Direct Debit 012179 Advantedge PTVL ADV"/>
    <x v="3"/>
  </r>
  <r>
    <x v="68"/>
    <n v="-461.8"/>
    <s v="Direct Debit 012179 Advantedge PTVL ADV"/>
    <x v="3"/>
  </r>
  <r>
    <x v="68"/>
    <n v="1169.9100000000001"/>
    <s v="Direct Credit 302416 Barlow McEwan Tr RENT PAYMNT THOM"/>
    <x v="0"/>
  </r>
  <r>
    <x v="69"/>
    <n v="-1109.3"/>
    <s v="Direct Debit 000439 BANK-M S311052458400"/>
    <x v="11"/>
  </r>
  <r>
    <x v="70"/>
    <n v="-64.69"/>
    <s v="Direct Debit 452599 AAMI PI HPL077169729"/>
    <x v="10"/>
  </r>
  <r>
    <x v="71"/>
    <n v="1369"/>
    <s v="Transfer from GURPINDER KAUR CommBank app rent70 Tyquin"/>
    <x v="17"/>
  </r>
  <r>
    <x v="72"/>
    <n v="-397"/>
    <s v="Transfer to CBA A/c NetBank maintenance68and70"/>
    <x v="20"/>
  </r>
  <r>
    <x v="72"/>
    <n v="-1000"/>
    <s v="Transfer to CBA A/c NetBank reno payment"/>
    <x v="14"/>
  </r>
  <r>
    <x v="73"/>
    <n v="-50"/>
    <s v="Transfer to CBA A/c NetBank 70TyquinPropertMgt"/>
    <x v="19"/>
  </r>
  <r>
    <x v="74"/>
    <n v="-550"/>
    <s v="Transfer to CBA A/c NetBank reno final"/>
    <x v="14"/>
  </r>
  <r>
    <x v="75"/>
    <n v="400"/>
    <s v="Transfer from xx4836 NetBank TyquinStProjectLT"/>
    <x v="1"/>
  </r>
  <r>
    <x v="76"/>
    <n v="400"/>
    <s v="Direct Credit 421520 ANDREW MANOKARAN Mano"/>
    <x v="2"/>
  </r>
  <r>
    <x v="77"/>
    <n v="700"/>
    <s v="Transfer from xx1274 NetBank andrew money"/>
    <x v="2"/>
  </r>
  <r>
    <x v="77"/>
    <n v="-73.260000000000005"/>
    <s v="Direct Debit 452599 AAMI PI HPL071936456"/>
    <x v="9"/>
  </r>
  <r>
    <x v="78"/>
    <n v="1169.9100000000001"/>
    <s v="Direct Credit 302416 Barlow McEwan Tr RENT PAYMNT THOM"/>
    <x v="0"/>
  </r>
  <r>
    <x v="79"/>
    <n v="-477"/>
    <s v="Direct Debit 012179 Advantedge PTVL ADV"/>
    <x v="3"/>
  </r>
  <r>
    <x v="80"/>
    <n v="-1145.94"/>
    <s v="Direct Debit 000439 BANK-M S311052458400"/>
    <x v="11"/>
  </r>
  <r>
    <x v="81"/>
    <n v="-64.69"/>
    <s v="Direct Debit 452599 AAMI PI HPL077169729"/>
    <x v="10"/>
  </r>
  <r>
    <x v="82"/>
    <n v="1369"/>
    <s v="Transfer from GURPINDER KAUR CommBank app Rent 70 Tyquin st"/>
    <x v="17"/>
  </r>
  <r>
    <x v="82"/>
    <n v="-144.44999999999999"/>
    <s v="CITY WEST WATER      NetBank BPAY 8789 121739220138"/>
    <x v="12"/>
  </r>
  <r>
    <x v="83"/>
    <n v="-50"/>
    <s v="Transfer to CBA A/c NetBank 70TyquinPropertMgt"/>
    <x v="19"/>
  </r>
  <r>
    <x v="84"/>
    <n v="-73.260000000000005"/>
    <s v="Direct Debit 452599 AAMI PI HPL071936456"/>
    <x v="9"/>
  </r>
  <r>
    <x v="84"/>
    <n v="400"/>
    <s v="Transfer from xx4836 NetBank TyquinStProjectLT"/>
    <x v="1"/>
  </r>
  <r>
    <x v="85"/>
    <n v="400"/>
    <s v="Direct Credit 421520 ANDREW MANOKARAN Mano"/>
    <x v="2"/>
  </r>
  <r>
    <x v="86"/>
    <n v="1169.9100000000001"/>
    <s v="Direct Credit 302416 Barlow McEwan Tr RENT PAYMNT THOM"/>
    <x v="0"/>
  </r>
  <r>
    <x v="87"/>
    <n v="-758.86"/>
    <s v="Direct Debit 012179 Advantedge PTVL ADV"/>
    <x v="3"/>
  </r>
  <r>
    <x v="88"/>
    <n v="-1145.94"/>
    <s v="Direct Debit 000439 BANK-M S311052458400"/>
    <x v="11"/>
  </r>
  <r>
    <x v="88"/>
    <n v="1369"/>
    <s v="Transfer from GURPINDER KAUR NetBank Rent 70 Tyquin st"/>
    <x v="17"/>
  </r>
  <r>
    <x v="88"/>
    <n v="-262"/>
    <s v="HOBSONS BAY COUNCIL  NetBank BPAY 39032 59020006808"/>
    <x v="5"/>
  </r>
  <r>
    <x v="89"/>
    <n v="-64.69"/>
    <s v="Direct Debit 452599 AAMI PI HPL077169729"/>
    <x v="10"/>
  </r>
  <r>
    <x v="90"/>
    <n v="-50"/>
    <s v="Transfer to CBA A/c NetBank 70TyquinPropertMgt"/>
    <x v="19"/>
  </r>
  <r>
    <x v="91"/>
    <n v="-73.260000000000005"/>
    <s v="Direct Debit 452599 AAMI PI HPL071936456"/>
    <x v="9"/>
  </r>
  <r>
    <x v="92"/>
    <n v="200"/>
    <s v="Direct Credit 421520 ANDREW MANOKARAN Mano"/>
    <x v="2"/>
  </r>
  <r>
    <x v="93"/>
    <n v="1169.9100000000001"/>
    <s v="Direct Credit 302416 Barlow McEwan Tr RENT PAYMNT THOM"/>
    <x v="0"/>
  </r>
  <r>
    <x v="94"/>
    <n v="-999.05"/>
    <s v="Direct Debit 012179 Advantedge PTVL ADV"/>
    <x v="3"/>
  </r>
  <r>
    <x v="95"/>
    <n v="-1036.01"/>
    <s v="Direct Debit 000439 BANK-M S311052458400"/>
    <x v="11"/>
  </r>
  <r>
    <x v="96"/>
    <n v="-64.69"/>
    <s v="Direct Debit 452599 AAMI PI HPL077169729"/>
    <x v="10"/>
  </r>
  <r>
    <x v="97"/>
    <n v="1369"/>
    <s v="Transfer from GURPINDER KAUR NetBank Rent 70 Tyquin st"/>
    <x v="17"/>
  </r>
  <r>
    <x v="98"/>
    <n v="-50"/>
    <s v="Transfer to CBA A/c NetBank 70TyquinPropertMgt"/>
    <x v="19"/>
  </r>
  <r>
    <x v="99"/>
    <n v="200"/>
    <s v="Direct Credit 421520 ANDREW MANOKARAN Mano"/>
    <x v="2"/>
  </r>
  <r>
    <x v="100"/>
    <n v="-73.260000000000005"/>
    <s v="Direct Debit 452599 AAMI PI HPL071936456"/>
    <x v="9"/>
  </r>
  <r>
    <x v="101"/>
    <n v="200"/>
    <s v="Transfer from xx4836 CommBank app Monthly payment"/>
    <x v="1"/>
  </r>
  <r>
    <x v="102"/>
    <n v="-770"/>
    <s v="Transfer to other Bank NetBank tyquin st Lloyd"/>
    <x v="21"/>
  </r>
  <r>
    <x v="102"/>
    <n v="770"/>
    <s v="Transfer from xx4836 CommBank app Pre heading tyquin"/>
    <x v="1"/>
  </r>
  <r>
    <x v="103"/>
    <n v="1169.9100000000001"/>
    <s v="Direct Credit 302416 Barlow McEwan Tr RENT PAYMNT THOM"/>
    <x v="0"/>
  </r>
  <r>
    <x v="104"/>
    <n v="-1167.5999999999999"/>
    <s v="Direct Debit 012179 Advantedge PTVL ADV"/>
    <x v="3"/>
  </r>
  <r>
    <x v="105"/>
    <n v="-1145.94"/>
    <s v="Direct Debit 000439 BANK-M S311052458400"/>
    <x v="11"/>
  </r>
  <r>
    <x v="106"/>
    <n v="-64.69"/>
    <s v="Direct Debit 452599 AAMI PI HPL077169729"/>
    <x v="10"/>
  </r>
  <r>
    <x v="107"/>
    <n v="1369"/>
    <s v="Transfer from GURPINDER KAUR NetBank Rent 70 Tyquin st"/>
    <x v="17"/>
  </r>
  <r>
    <x v="108"/>
    <n v="-50"/>
    <s v="Transfer to CBA A/c NetBank 70TyquinPropertMgt"/>
    <x v="19"/>
  </r>
  <r>
    <x v="109"/>
    <n v="-144.44999999999999"/>
    <s v="CITY WEST WATER      NetBank BPAY 8789 121739220138"/>
    <x v="12"/>
  </r>
  <r>
    <x v="110"/>
    <n v="200"/>
    <s v="Direct Credit 421520 ANDREW MANOKARAN Mano"/>
    <x v="2"/>
  </r>
  <r>
    <x v="110"/>
    <n v="-73.260000000000005"/>
    <s v="Direct Debit 452599 AAMI PI HPL071936456"/>
    <x v="9"/>
  </r>
  <r>
    <x v="111"/>
    <n v="-253"/>
    <s v="Transfer to CBA A/c NetBank 70 Tyquin"/>
    <x v="18"/>
  </r>
  <r>
    <x v="111"/>
    <n v="-2200"/>
    <s v="Transfer to other Bank NetBank Tyquin St Lloyd"/>
    <x v="21"/>
  </r>
  <r>
    <x v="112"/>
    <n v="1169.9100000000001"/>
    <s v="Direct Credit 302416 Barlow McEwan Tr RENT PAYMNT THOM"/>
    <x v="0"/>
  </r>
  <r>
    <x v="113"/>
    <n v="-1149.27"/>
    <s v="Direct Debit 012179 Advantedge PTVL ADV"/>
    <x v="3"/>
  </r>
  <r>
    <x v="113"/>
    <n v="1100"/>
    <s v="Transfer from xx4836 CommBank app Lloyd townplanner"/>
    <x v="1"/>
  </r>
  <r>
    <x v="113"/>
    <n v="1100"/>
    <s v="Transfer from xx4836 CommBank app Andrew townplanner"/>
    <x v="2"/>
  </r>
  <r>
    <x v="114"/>
    <n v="200"/>
    <s v="Transfer from xx4836 NetBank monthly payment"/>
    <x v="1"/>
  </r>
  <r>
    <x v="115"/>
    <n v="-1109.3"/>
    <s v="Direct Debit 000439 BANK-M S311052458400"/>
    <x v="11"/>
  </r>
  <r>
    <x v="116"/>
    <n v="-64.69"/>
    <s v="Direct Debit 452599 AAMI PI HPL077169729"/>
    <x v="10"/>
  </r>
  <r>
    <x v="117"/>
    <n v="-262"/>
    <s v="HOBSONS BAY COUNCIL  NetBank BPAY 39032 59020006808"/>
    <x v="5"/>
  </r>
  <r>
    <x v="118"/>
    <n v="1369"/>
    <s v="Transfer from GURPINDER KAUR NetBank Rent 70 Tyquin st"/>
    <x v="17"/>
  </r>
  <r>
    <x v="119"/>
    <n v="-50"/>
    <s v="Transfer to CBA A/c NetBank 70TyquinPropertMgt"/>
    <x v="19"/>
  </r>
  <r>
    <x v="120"/>
    <n v="-73.260000000000005"/>
    <s v="Direct Debit 452599 AAMI PI HPL071936456"/>
    <x v="9"/>
  </r>
  <r>
    <x v="121"/>
    <n v="200"/>
    <s v="Direct Credit 421520 ANDREW MANOKARAN Mano"/>
    <x v="2"/>
  </r>
  <r>
    <x v="122"/>
    <n v="1169.9100000000001"/>
    <s v="Direct Credit 302416 Barlow McEwan Tr RENT PAYMNT THOM"/>
    <x v="0"/>
  </r>
  <r>
    <x v="123"/>
    <n v="200"/>
    <s v="Transfer from xx4836 NetBank monthly payment"/>
    <x v="1"/>
  </r>
  <r>
    <x v="124"/>
    <n v="-1225.94"/>
    <s v="Direct Debit 012179 Advantedge PTVL ADV"/>
    <x v="3"/>
  </r>
  <r>
    <x v="125"/>
    <n v="-1145.94"/>
    <s v="Direct Debit 000439 BANK-M S311052458400"/>
    <x v="11"/>
  </r>
  <r>
    <x v="126"/>
    <n v="-64.69"/>
    <s v="Direct Debit 452599 AAMI PI HPL077169729"/>
    <x v="10"/>
  </r>
  <r>
    <x v="126"/>
    <n v="-10"/>
    <s v="HOBSONS BAY COUNCIL  NetBank BPAY 39032 59020007004"/>
    <x v="22"/>
  </r>
  <r>
    <x v="127"/>
    <n v="1369"/>
    <s v="Transfer from GURPINDER KAUR CB TabletApp rent 70 tyquin"/>
    <x v="17"/>
  </r>
  <r>
    <x v="128"/>
    <n v="-50"/>
    <s v="Transfer to CBA A/c NetBank 70TyquinPropertMgt"/>
    <x v="19"/>
  </r>
  <r>
    <x v="129"/>
    <n v="200"/>
    <s v="Direct Credit 421520 ANDREW MANOKARAN Mano"/>
    <x v="2"/>
  </r>
  <r>
    <x v="129"/>
    <n v="-73.260000000000005"/>
    <s v="Direct Debit 452599 AAMI PI HPL071936456"/>
    <x v="9"/>
  </r>
  <r>
    <x v="130"/>
    <n v="1000"/>
    <s v="Direct Credit 421520 ANDREW MANOKARAN Andrew Mano VCAT"/>
    <x v="2"/>
  </r>
  <r>
    <x v="131"/>
    <n v="200"/>
    <s v="Transfer from xx4836 NetBank monthly payment LT"/>
    <x v="1"/>
  </r>
  <r>
    <x v="132"/>
    <n v="1000"/>
    <s v="Transfer from xx4836 NetBank traffic engineer"/>
    <x v="1"/>
  </r>
  <r>
    <x v="133"/>
    <n v="1169.9100000000001"/>
    <s v="Direct Credit 302416 Barlow McEwan Tr RENT PAYMNT THOM"/>
    <x v="0"/>
  </r>
  <r>
    <x v="134"/>
    <n v="-1186.9100000000001"/>
    <s v="Direct Debit 012179 Advantedge PTVL ADV"/>
    <x v="3"/>
  </r>
  <r>
    <x v="135"/>
    <n v="-1109.3"/>
    <s v="Direct Debit 000439 BANK-M S311052458400"/>
    <x v="11"/>
  </r>
  <r>
    <x v="136"/>
    <n v="-71.47"/>
    <s v="Direct Debit 452599 AAMI PI HPL077169729"/>
    <x v="10"/>
  </r>
  <r>
    <x v="137"/>
    <n v="-222.51"/>
    <s v="CITY WEST WATER      NetBank BPAY 8789 121739220138"/>
    <x v="12"/>
  </r>
  <r>
    <x v="138"/>
    <n v="1369"/>
    <s v="Transfer from GURPINDER KAUR NetBank rent 70 tyquin"/>
    <x v="17"/>
  </r>
  <r>
    <x v="139"/>
    <n v="-239.08"/>
    <s v="CITY WEST WATER      NetBank BPAY 8789 121739219120"/>
    <x v="23"/>
  </r>
  <r>
    <x v="140"/>
    <n v="-50"/>
    <s v="Transfer to CBA A/c NetBank 70TyquinPropertMgt"/>
    <x v="19"/>
  </r>
  <r>
    <x v="141"/>
    <n v="-73.260000000000005"/>
    <s v="Direct Debit 452599 AAMI PI HPL071936456"/>
    <x v="9"/>
  </r>
  <r>
    <x v="142"/>
    <n v="200"/>
    <s v="Direct Credit 421520 ANDREW MANOKARAN Mano"/>
    <x v="2"/>
  </r>
  <r>
    <x v="143"/>
    <n v="200"/>
    <s v="Transfer from xx4836 NetBank monthly payment LT"/>
    <x v="1"/>
  </r>
  <r>
    <x v="144"/>
    <n v="1169.9100000000001"/>
    <s v="Direct Credit 302416 Barlow McEwan Tr RENT PAYMNT THOM"/>
    <x v="0"/>
  </r>
  <r>
    <x v="145"/>
    <n v="-1226.21"/>
    <s v="Direct Debit 012179 Advantedge PTVL ADV"/>
    <x v="3"/>
  </r>
  <r>
    <x v="146"/>
    <n v="-1145.94"/>
    <s v="Direct Debit 000439 BANK-M S311052458400"/>
    <x v="11"/>
  </r>
  <r>
    <x v="147"/>
    <n v="-1211"/>
    <s v="Transfer to other Bank NetBank tyquin st project"/>
    <x v="7"/>
  </r>
  <r>
    <x v="148"/>
    <n v="-71.47"/>
    <s v="Direct Debit 452599 AAMI PI HPL077169729"/>
    <x v="10"/>
  </r>
  <r>
    <x v="149"/>
    <n v="-2200"/>
    <s v="Transfer to other Bank NetBank Townplanning VCAT"/>
    <x v="21"/>
  </r>
  <r>
    <x v="150"/>
    <n v="1100"/>
    <s v="Transfer from xx4836 NetBank andrew traffic eng"/>
    <x v="2"/>
  </r>
  <r>
    <x v="150"/>
    <n v="1100"/>
    <s v="Transfer from xx4836 NetBank lloyd traffic eng"/>
    <x v="1"/>
  </r>
  <r>
    <x v="151"/>
    <n v="1369"/>
    <s v="Transfer from GURPINDER KAUR NetBank rent 70 tyquin"/>
    <x v="17"/>
  </r>
  <r>
    <x v="152"/>
    <n v="-50"/>
    <s v="Transfer to CBA A/c NetBank 70TyquinPropertMgt"/>
    <x v="19"/>
  </r>
  <r>
    <x v="153"/>
    <n v="-73.260000000000005"/>
    <s v="Direct Debit 452599 AAMI PI HPL071936456"/>
    <x v="9"/>
  </r>
  <r>
    <x v="154"/>
    <n v="200"/>
    <s v="Direct Credit 421520 ANDREW MANOKARAN Mano"/>
    <x v="2"/>
  </r>
  <r>
    <x v="155"/>
    <n v="200"/>
    <s v="Transfer from xx4836 NetBank monthly payment LT"/>
    <x v="1"/>
  </r>
  <r>
    <x v="156"/>
    <n v="1169.9100000000001"/>
    <s v="Direct Credit 302416 Barlow McEwan Tr RENT PAYMNT THOM"/>
    <x v="0"/>
  </r>
  <r>
    <x v="157"/>
    <n v="-1297.45"/>
    <s v="Direct Debit 012179 Advantedge PTVL ADV"/>
    <x v="3"/>
  </r>
  <r>
    <x v="158"/>
    <n v="-1145.94"/>
    <s v="Direct Debit 000439 BANK-M S311052458400"/>
    <x v="11"/>
  </r>
  <r>
    <x v="159"/>
    <n v="-4169"/>
    <s v="Transfer to other Bank NetBank Traffic Engineer"/>
    <x v="7"/>
  </r>
  <r>
    <x v="160"/>
    <n v="-268.60000000000002"/>
    <s v="HOBSONS BAY COUNCIL  NetBank BPAY 39032 59020006808"/>
    <x v="5"/>
  </r>
  <r>
    <x v="161"/>
    <n v="-71.47"/>
    <s v="Direct Debit 452599 AAMI PI HPL077169729"/>
    <x v="10"/>
  </r>
  <r>
    <x v="162"/>
    <n v="1369"/>
    <s v="Transfer from GURPINDER KAUR NetBank rent 70 tyquin"/>
    <x v="17"/>
  </r>
  <r>
    <x v="163"/>
    <n v="1100"/>
    <s v="Direct Credit 421520 ANDREW MANOKARAN Andrew Manokaran"/>
    <x v="2"/>
  </r>
  <r>
    <x v="163"/>
    <n v="-50"/>
    <s v="Transfer to CBA A/c NetBank 70TyquinPropertMgt"/>
    <x v="19"/>
  </r>
  <r>
    <x v="164"/>
    <n v="200"/>
    <s v="Direct Credit 421520 ANDREW MANOKARAN Mano"/>
    <x v="2"/>
  </r>
  <r>
    <x v="165"/>
    <n v="-73.260000000000005"/>
    <s v="Direct Debit 452599 AAMI PI HPL071936456"/>
    <x v="9"/>
  </r>
  <r>
    <x v="166"/>
    <n v="-258.60000000000002"/>
    <s v="HOBSONS BAY COUNCIL  NetBank BPAY 39032 59020007004"/>
    <x v="22"/>
  </r>
  <r>
    <x v="167"/>
    <n v="200"/>
    <s v="Transfer from xx4836 NetBank monthly payment LT"/>
    <x v="1"/>
  </r>
  <r>
    <x v="168"/>
    <n v="1169.9100000000001"/>
    <s v="Direct Credit 302416 Barlow McEwan Tr RENT PAYMNT THOM"/>
    <x v="0"/>
  </r>
  <r>
    <x v="169"/>
    <n v="-1276.5"/>
    <s v="Direct Debit 012179 Advantedge PTVL ADV"/>
    <x v="3"/>
  </r>
  <r>
    <x v="170"/>
    <n v="-1109.3"/>
    <s v="Direct Debit 000439 BANK-M S311052458400"/>
    <x v="11"/>
  </r>
  <r>
    <x v="170"/>
    <n v="-146.66"/>
    <s v="CITY WEST WATER      NetBank BPAY 8789 121739220138"/>
    <x v="12"/>
  </r>
  <r>
    <x v="170"/>
    <n v="-146.66"/>
    <s v="CITY WEST WATER      NetBank BPAY 8789 121739219120"/>
    <x v="23"/>
  </r>
  <r>
    <x v="171"/>
    <n v="-71.47"/>
    <s v="Direct Debit 452599 AAMI PI HPL077169729"/>
    <x v="10"/>
  </r>
  <r>
    <x v="172"/>
    <n v="-50"/>
    <s v="Transfer to CBA A/c NetBank 70TyquinPropertMgt"/>
    <x v="19"/>
  </r>
  <r>
    <x v="173"/>
    <n v="-73.260000000000005"/>
    <s v="Direct Debit 452599 AAMI PI HPL071936456"/>
    <x v="9"/>
  </r>
  <r>
    <x v="174"/>
    <n v="200"/>
    <s v="Direct Credit 421520 ANDREW MANOKARAN Mano"/>
    <x v="2"/>
  </r>
  <r>
    <x v="175"/>
    <n v="200"/>
    <s v="Transfer from xx4836 NetBank monthly payment LT"/>
    <x v="1"/>
  </r>
  <r>
    <x v="176"/>
    <n v="1369"/>
    <s v="Transfer from GURPINDER KAUR NetBank rent 70 tyquin"/>
    <x v="17"/>
  </r>
  <r>
    <x v="177"/>
    <n v="1169.9100000000001"/>
    <s v="Direct Credit 302416 Barlow McEwan Tr RENT PAYMNT THOM"/>
    <x v="0"/>
  </r>
  <r>
    <x v="178"/>
    <n v="-1318.82"/>
    <s v="Direct Debit 012179 Advantedge PTVL ADV"/>
    <x v="3"/>
  </r>
  <r>
    <x v="179"/>
    <n v="-1145.94"/>
    <s v="Direct Debit 000439 BANK-M S311052458400"/>
    <x v="11"/>
  </r>
  <r>
    <x v="180"/>
    <n v="-71.47"/>
    <s v="Direct Debit 452599 AAMI PI HPL077169729"/>
    <x v="10"/>
  </r>
  <r>
    <x v="180"/>
    <n v="-267"/>
    <s v="HOBSONS BAY COUNCIL  NetBank BPAY 39032 59020007004"/>
    <x v="22"/>
  </r>
  <r>
    <x v="180"/>
    <n v="-267"/>
    <s v="HOBSONS BAY COUNCIL  NetBank BPAY 39032 59020006808"/>
    <x v="5"/>
  </r>
  <r>
    <x v="181"/>
    <n v="-1320"/>
    <s v="Transfer to other Bank NetBank Lloyd"/>
    <x v="7"/>
  </r>
  <r>
    <x v="181"/>
    <n v="1100"/>
    <s v="Transfer from xx4836 NetBank TyquinBuildPer LT"/>
    <x v="1"/>
  </r>
  <r>
    <x v="182"/>
    <n v="-50"/>
    <s v="Transfer to CBA A/c NetBank 70TyquinPropertMgt"/>
    <x v="19"/>
  </r>
  <r>
    <x v="183"/>
    <n v="-73.260000000000005"/>
    <s v="Direct Debit 452599 AAMI PI HPL071936456"/>
    <x v="9"/>
  </r>
  <r>
    <x v="184"/>
    <n v="200"/>
    <s v="Direct Credit 421520 ANDREW MANOKARAN Mano"/>
    <x v="2"/>
  </r>
  <r>
    <x v="185"/>
    <n v="1369"/>
    <s v="Transfer from GURPINDER KAUR NetBank Rent 70 Tyquin st"/>
    <x v="17"/>
  </r>
  <r>
    <x v="186"/>
    <n v="200"/>
    <s v="Transfer from xx4836 NetBank monthly payment LT"/>
    <x v="1"/>
  </r>
  <r>
    <x v="187"/>
    <n v="-1320"/>
    <s v="Transfer to other Bank NetBank Endorsed Drawings"/>
    <x v="7"/>
  </r>
  <r>
    <x v="187"/>
    <n v="1238"/>
    <s v="Transfer from UTTAMJEET SINGH NetBank RENT 68 T LAVERTON"/>
    <x v="0"/>
  </r>
  <r>
    <x v="188"/>
    <n v="-1276.58"/>
    <s v="Direct Debit 012179 Advantedge PTVL ADV"/>
    <x v="3"/>
  </r>
  <r>
    <x v="189"/>
    <n v="-1109.3"/>
    <s v="Direct Debit 000439 BANK-M S311052458400"/>
    <x v="11"/>
  </r>
  <r>
    <x v="190"/>
    <n v="-5"/>
    <s v="Unpaid Payment Fee Value Date: 28/12/2017"/>
    <x v="16"/>
  </r>
  <r>
    <x v="190"/>
    <n v="1109.3"/>
    <s v="Return 28/12/17 Direct Debit 000439 BANK-M S311052458400 Value Date: 28/12/2017"/>
    <x v="11"/>
  </r>
  <r>
    <x v="191"/>
    <n v="-71.47"/>
    <s v="Direct Debit 452599 AAMI PI HPL077169729"/>
    <x v="10"/>
  </r>
  <r>
    <x v="192"/>
    <n v="250"/>
    <s v="Direct Credit 421520 ANDREW MANOKARAN"/>
    <x v="2"/>
  </r>
  <r>
    <x v="193"/>
    <n v="-55"/>
    <s v="Transfer to CBA A/c NetBank 68 Tyquin St TPM"/>
    <x v="19"/>
  </r>
  <r>
    <x v="193"/>
    <n v="-55"/>
    <s v="Transfer to CBA A/c NetBank 70TyquinPropertMgt"/>
    <x v="19"/>
  </r>
  <r>
    <x v="194"/>
    <n v="250"/>
    <s v="Transfer from xx4836 NetBank extra payment"/>
    <x v="1"/>
  </r>
  <r>
    <x v="195"/>
    <n v="-1109"/>
    <s v="BOM Loans            NetBank BPAY 22871 193911052458400"/>
    <x v="11"/>
  </r>
  <r>
    <x v="195"/>
    <n v="100"/>
    <s v="Transfer from xx4836 NetBank extra payment"/>
    <x v="1"/>
  </r>
  <r>
    <x v="196"/>
    <n v="200"/>
    <s v="Direct Credit 421520 ANDREW MANOKARAN Mano"/>
    <x v="2"/>
  </r>
  <r>
    <x v="196"/>
    <n v="-87.97"/>
    <s v="Direct Debit 452599 AAMI PI HPL071936456"/>
    <x v="9"/>
  </r>
  <r>
    <x v="197"/>
    <n v="200"/>
    <s v="Transfer from xx4836 NetBank monthly payment LT"/>
    <x v="1"/>
  </r>
  <r>
    <x v="198"/>
    <n v="1238"/>
    <s v="Transfer from UTTAMJEET SINGH NetBank RENT 68 T LAVERTON"/>
    <x v="0"/>
  </r>
  <r>
    <x v="199"/>
    <n v="1369"/>
    <s v="Transfer from GURPINDER KAUR NetBank rent 70 tyquin Value Date: 24/01/2018"/>
    <x v="17"/>
  </r>
  <r>
    <x v="200"/>
    <n v="-1318.82"/>
    <s v="Direct Debit 012179 Advantedge PTVL ADV"/>
    <x v="3"/>
  </r>
  <r>
    <x v="201"/>
    <n v="-1148.03"/>
    <s v="Direct Debit 000439 BANK-M S311052458400"/>
    <x v="11"/>
  </r>
  <r>
    <x v="202"/>
    <n v="-71.47"/>
    <s v="Direct Debit 452599 AAMI PI HPL077169729"/>
    <x v="10"/>
  </r>
  <r>
    <x v="203"/>
    <n v="-146.66"/>
    <s v="CITY WEST WATER      NetBank BPAY 8789 121739219120"/>
    <x v="23"/>
  </r>
  <r>
    <x v="203"/>
    <n v="-146.66"/>
    <s v="CITY WEST WATER      NetBank BPAY 8789 121739220138"/>
    <x v="12"/>
  </r>
  <r>
    <x v="204"/>
    <n v="-55"/>
    <s v="Transfer to CBA A/c NetBank 68 Tyquin St TPM"/>
    <x v="19"/>
  </r>
  <r>
    <x v="204"/>
    <n v="-55"/>
    <s v="Transfer to CBA A/c NetBank 70TyquinPropertMgt"/>
    <x v="19"/>
  </r>
  <r>
    <x v="205"/>
    <n v="-87.97"/>
    <s v="Direct Debit 452599 AAMI PI HPL071936456"/>
    <x v="9"/>
  </r>
  <r>
    <x v="206"/>
    <n v="200"/>
    <s v="Direct Credit 421520 ANDREW MANOKARAN Mano"/>
    <x v="2"/>
  </r>
  <r>
    <x v="206"/>
    <n v="-10"/>
    <s v="Overdrawing Approval Fee For overdrawing that occurred 15/02/18"/>
    <x v="16"/>
  </r>
  <r>
    <x v="207"/>
    <n v="200"/>
    <s v="Transfer from xx4836 NetBank monthly payment LT"/>
    <x v="1"/>
  </r>
  <r>
    <x v="208"/>
    <n v="1238"/>
    <s v="Transfer from UTTAMJEET SINGH CommBank app rent 68 tyquin st"/>
    <x v="0"/>
  </r>
  <r>
    <x v="209"/>
    <n v="-1318.87"/>
    <s v="Direct Debit 012179 Advantedge PTVL ADV"/>
    <x v="3"/>
  </r>
  <r>
    <x v="210"/>
    <n v="-1145.97"/>
    <s v="Direct Debit 000439 BANK-M S311052458400"/>
    <x v="11"/>
  </r>
  <r>
    <x v="211"/>
    <n v="-71.47"/>
    <s v="Direct Debit 452599 AAMI PI HPL077169729"/>
    <x v="10"/>
  </r>
  <r>
    <x v="211"/>
    <n v="1369"/>
    <s v="Transfer from GURPINDER KAUR NetBank Rent 70 Tyquin st"/>
    <x v="17"/>
  </r>
  <r>
    <x v="211"/>
    <n v="-5"/>
    <s v="Unpaid Payment Fee Value Date: 28/02/2018"/>
    <x v="16"/>
  </r>
  <r>
    <x v="211"/>
    <n v="1145.97"/>
    <s v="Return 28/02/18 Direct Debit 000439 BANK-M S311052458400 Value Date: 28/02/2018"/>
    <x v="11"/>
  </r>
  <r>
    <x v="211"/>
    <n v="-0.48"/>
    <s v="Debit Excess Interest"/>
    <x v="16"/>
  </r>
  <r>
    <x v="212"/>
    <n v="-1145.97"/>
    <s v="BOM Loans            NetBank BPAY 22871 193911052458400"/>
    <x v="11"/>
  </r>
  <r>
    <x v="213"/>
    <n v="1369"/>
    <s v="Transfer from GURPINDER KAUR NetBank Rent 70 Tyquin st"/>
    <x v="17"/>
  </r>
  <r>
    <x v="213"/>
    <n v="-55"/>
    <s v="Transfer to CBA A/c NetBank 68 Tyquin St TPM"/>
    <x v="19"/>
  </r>
  <r>
    <x v="213"/>
    <n v="-55"/>
    <s v="Transfer to CBA A/c NetBank 70TyquinPropertMgt"/>
    <x v="19"/>
  </r>
  <r>
    <x v="214"/>
    <n v="-87.97"/>
    <s v="Direct Debit 452599 AAMI PI HPL071936456"/>
    <x v="9"/>
  </r>
  <r>
    <x v="215"/>
    <n v="200"/>
    <s v="Direct Credit 421520 ANDREW MANOKARAN Mano"/>
    <x v="2"/>
  </r>
  <r>
    <x v="216"/>
    <n v="200"/>
    <s v="Transfer from xx4836 NetBank monthly payment LT"/>
    <x v="1"/>
  </r>
  <r>
    <x v="217"/>
    <n v="1238"/>
    <s v="Transfer from UTTAMJEET SINGH CommBank app rent 68 tyquin st"/>
    <x v="0"/>
  </r>
  <r>
    <x v="218"/>
    <n v="-1192.24"/>
    <s v="Direct Debit 012179 Advantedge PTVL ADV"/>
    <x v="3"/>
  </r>
  <r>
    <x v="219"/>
    <n v="-1036.57"/>
    <s v="Direct Debit 000439 BANK-M S311052458400"/>
    <x v="11"/>
  </r>
  <r>
    <x v="220"/>
    <n v="0.45"/>
    <s v="Debit Excess Int Adjusted Value Date: 01/03/2018"/>
    <x v="16"/>
  </r>
  <r>
    <x v="221"/>
    <n v="-71.47"/>
    <s v="Direct Debit 452599 AAMI PI HPL077169729"/>
    <x v="10"/>
  </r>
  <r>
    <x v="222"/>
    <n v="1369"/>
    <s v="Transfer from GURPINDER KAUR NetBank Rent 70 Tyquin st"/>
    <x v="17"/>
  </r>
  <r>
    <x v="222"/>
    <n v="-167.92"/>
    <s v="Transfer to other Bank NetBank upwork"/>
    <x v="7"/>
  </r>
  <r>
    <x v="222"/>
    <n v="-168.5"/>
    <s v="Transfer to other Bank NetBank upwork"/>
    <x v="7"/>
  </r>
  <r>
    <x v="223"/>
    <n v="-55"/>
    <s v="Transfer to CBA A/c NetBank 68 Tyquin St TPM"/>
    <x v="19"/>
  </r>
  <r>
    <x v="223"/>
    <n v="-55"/>
    <s v="Transfer to CBA A/c NetBank 70TyquinPropertMgt"/>
    <x v="19"/>
  </r>
  <r>
    <x v="224"/>
    <n v="200"/>
    <s v="Direct Credit 421520 ANDREW MANOKARAN Mano"/>
    <x v="2"/>
  </r>
  <r>
    <x v="225"/>
    <n v="-87.97"/>
    <s v="Direct Debit 452599 AAMI PI HPL071936456"/>
    <x v="9"/>
  </r>
  <r>
    <x v="226"/>
    <n v="200"/>
    <s v="Transfer from xx4836 NetBank monthly payment LT"/>
    <x v="1"/>
  </r>
  <r>
    <x v="227"/>
    <n v="1238"/>
    <s v="Transfer from UTTAMJEET SINGH CommBank app rent 68 tyquin st"/>
    <x v="0"/>
  </r>
  <r>
    <x v="228"/>
    <n v="-1319.03"/>
    <s v="Direct Debit 012179 Advantedge PTVL ADV"/>
    <x v="3"/>
  </r>
  <r>
    <x v="229"/>
    <n v="-1146"/>
    <s v="Direct Debit 000439 BANK-M S311052458400"/>
    <x v="11"/>
  </r>
  <r>
    <x v="230"/>
    <n v="-71.47"/>
    <s v="Direct Debit 452599 AAMI PI HPL077169729"/>
    <x v="10"/>
  </r>
  <r>
    <x v="231"/>
    <n v="1473"/>
    <s v="Transfer from GURPINDER KAUR NetBank Rent 70 Tyquin st"/>
    <x v="17"/>
  </r>
  <r>
    <x v="232"/>
    <n v="-170"/>
    <s v="Transfer to other Bank NetBank renders upwork"/>
    <x v="7"/>
  </r>
  <r>
    <x v="232"/>
    <n v="-146.66"/>
    <s v="CITY WEST WATER      NetBank BPAY 8789 121739219120"/>
    <x v="23"/>
  </r>
  <r>
    <x v="232"/>
    <n v="-146.66"/>
    <s v="CITY WEST WATER      NetBank BPAY 8789 121739220138"/>
    <x v="12"/>
  </r>
  <r>
    <x v="232"/>
    <n v="-267"/>
    <s v="HOBSONS BAY COUNCIL  NetBank BPAY 39032 59020007004"/>
    <x v="22"/>
  </r>
  <r>
    <x v="232"/>
    <n v="-267"/>
    <s v="HOBSONS BAY COUNCIL  NetBank BPAY 39032 59020006808"/>
    <x v="5"/>
  </r>
  <r>
    <x v="233"/>
    <n v="-55"/>
    <s v="Transfer to CBA A/c NetBank 68 Tyquin St TPM"/>
    <x v="19"/>
  </r>
  <r>
    <x v="233"/>
    <n v="-55"/>
    <s v="Transfer to CBA A/c NetBank 70TyquinPropertMgt"/>
    <x v="19"/>
  </r>
  <r>
    <x v="234"/>
    <n v="-87.97"/>
    <s v="Direct Debit 452599 AAMI PI HPL071936456"/>
    <x v="9"/>
  </r>
  <r>
    <x v="235"/>
    <n v="200"/>
    <s v="Direct Credit 421520 ANDREW MANOKARAN Mano"/>
    <x v="2"/>
  </r>
  <r>
    <x v="236"/>
    <n v="200"/>
    <s v="Transfer from xx4836 NetBank monthly payment LT"/>
    <x v="1"/>
  </r>
  <r>
    <x v="237"/>
    <n v="1290"/>
    <s v="Transfer from UTTAMJEET SINGH CommBank app rent 68 tyquin st"/>
    <x v="0"/>
  </r>
  <r>
    <x v="238"/>
    <n v="1700"/>
    <s v="Direct Credit 106600 ANDREW MANOKARAN Tyquin Street"/>
    <x v="2"/>
  </r>
  <r>
    <x v="239"/>
    <n v="-1277.07"/>
    <s v="Direct Debit 012179 Advantedge PTVL ADV"/>
    <x v="3"/>
  </r>
  <r>
    <x v="240"/>
    <n v="-1109.3599999999999"/>
    <s v="Direct Debit 000439 BANK-M S311052458400"/>
    <x v="11"/>
  </r>
  <r>
    <x v="241"/>
    <n v="-71.47"/>
    <s v="Direct Debit 452599 AAMI PI HPL077169729"/>
    <x v="10"/>
  </r>
  <r>
    <x v="242"/>
    <n v="1474"/>
    <s v="Transfer from GURPINDER KAUR CB TabletApp 70 tyquin st"/>
    <x v="17"/>
  </r>
  <r>
    <x v="243"/>
    <n v="-538.4"/>
    <s v="HOBSONS BAY COUNCIL  NetBank BPAY 39032 59020006808"/>
    <x v="5"/>
  </r>
  <r>
    <x v="243"/>
    <n v="-538.4"/>
    <s v="HOBSONS BAY COUNCIL  NetBank BPAY 39032 59020007004"/>
    <x v="22"/>
  </r>
  <r>
    <x v="244"/>
    <n v="-55"/>
    <s v="Transfer to CBA A/c NetBank 68 Tyquin St TPM"/>
    <x v="19"/>
  </r>
  <r>
    <x v="244"/>
    <n v="-55"/>
    <s v="Transfer to CBA A/c NetBank 70TyquinPropertMgt"/>
    <x v="19"/>
  </r>
  <r>
    <x v="245"/>
    <n v="-87.97"/>
    <s v="Direct Debit 452599 AAMI PI HPL071936456"/>
    <x v="9"/>
  </r>
  <r>
    <x v="246"/>
    <n v="200"/>
    <s v="Direct Credit 421520 ANDREW MANOKARAN Mano"/>
    <x v="2"/>
  </r>
  <r>
    <x v="247"/>
    <n v="1290"/>
    <s v="Transfer from UTTAMJEET SINGH CommBank app rent 68 tyquin st"/>
    <x v="0"/>
  </r>
  <r>
    <x v="247"/>
    <n v="200"/>
    <s v="Transfer from xx4836 NetBank monthly payment LT"/>
    <x v="1"/>
  </r>
  <r>
    <x v="248"/>
    <n v="-1318.98"/>
    <s v="Direct Debit 012179 Advantedge PTVL ADV"/>
    <x v="3"/>
  </r>
  <r>
    <x v="249"/>
    <n v="-1146"/>
    <s v="Direct Debit 000439 BANK-M S311052458400"/>
    <x v="11"/>
  </r>
  <r>
    <x v="250"/>
    <n v="-71.47"/>
    <s v="Direct Debit 452599 AAMI PI HPL077169729"/>
    <x v="10"/>
  </r>
  <r>
    <x v="251"/>
    <n v="-55"/>
    <s v="Transfer to CBA A/c NetBank 68 Tyquin St TPM"/>
    <x v="19"/>
  </r>
  <r>
    <x v="251"/>
    <n v="-55"/>
    <s v="Transfer to CBA A/c NetBank 70TyquinPropertMgt"/>
    <x v="19"/>
  </r>
  <r>
    <x v="252"/>
    <n v="200"/>
    <s v="Direct Credit 421520 ANDREW MANOKARAN Mano"/>
    <x v="2"/>
  </r>
  <r>
    <x v="253"/>
    <n v="-87.97"/>
    <s v="Direct Debit 452599 AAMI PI HPL071936456"/>
    <x v="9"/>
  </r>
  <r>
    <x v="253"/>
    <n v="1473"/>
    <s v="Transfer from GURPINDER KAUR NetBank 70 tyquin st"/>
    <x v="17"/>
  </r>
  <r>
    <x v="254"/>
    <n v="200"/>
    <s v="Transfer from xx4836 NetBank monthly payment LT"/>
    <x v="1"/>
  </r>
  <r>
    <x v="255"/>
    <n v="1290"/>
    <s v="Transfer from UTTAMJEET SINGH NetBank rent 68 tyquin st"/>
    <x v="0"/>
  </r>
  <r>
    <x v="256"/>
    <n v="-1277.07"/>
    <s v="Direct Debit 012179 Advantedge PTVL ADV"/>
    <x v="3"/>
  </r>
  <r>
    <x v="257"/>
    <n v="-1109.3599999999999"/>
    <s v="Direct Debit 000439 BANK-M S311052458400"/>
    <x v="11"/>
  </r>
  <r>
    <x v="258"/>
    <n v="-85.7"/>
    <s v="Direct Debit 452599 AAMI PI HPL077169729"/>
    <x v="10"/>
  </r>
  <r>
    <x v="258"/>
    <n v="-224.2"/>
    <s v="CITY WEST WATER      NetBank BPAY 8789 121739220138"/>
    <x v="12"/>
  </r>
  <r>
    <x v="258"/>
    <n v="-224.2"/>
    <s v="CITY WEST WATER      NetBank BPAY 8789 121739219120"/>
    <x v="23"/>
  </r>
  <r>
    <x v="259"/>
    <n v="-55"/>
    <s v="Transfer to CBA A/c NetBank 68 Tyquin St TPM"/>
    <x v="19"/>
  </r>
  <r>
    <x v="259"/>
    <n v="-55"/>
    <s v="Transfer to CBA A/c NetBank 70TyquinPropertMgt"/>
    <x v="19"/>
  </r>
  <r>
    <x v="260"/>
    <n v="-87.97"/>
    <s v="Direct Debit 452599 AAMI PI HPL071936456"/>
    <x v="9"/>
  </r>
  <r>
    <x v="261"/>
    <n v="1469"/>
    <s v="Transfer from GURPINDER KAUR NetBank 70 tyquin st"/>
    <x v="17"/>
  </r>
  <r>
    <x v="261"/>
    <n v="200"/>
    <s v="Direct Credit 421520 ANDREW MANOKARAN Mano"/>
    <x v="2"/>
  </r>
  <r>
    <x v="262"/>
    <n v="200"/>
    <s v="Transfer from xx4836 NetBank monthly payment LT"/>
    <x v="1"/>
  </r>
  <r>
    <x v="263"/>
    <n v="1290"/>
    <s v="Transfer from UTTAMJEET SINGH CommBank app rent 68 tyquin st"/>
    <x v="0"/>
  </r>
  <r>
    <x v="264"/>
    <n v="-1319.33"/>
    <s v="Direct Debit 012179 Advantedge PTVL ADV"/>
    <x v="3"/>
  </r>
  <r>
    <x v="265"/>
    <n v="-1580.15"/>
    <s v="Direct Debit 000439 BANK-M S311052458400"/>
    <x v="11"/>
  </r>
  <r>
    <x v="265"/>
    <n v="-198"/>
    <s v="Transfer to CBA A/c NetBank WindowShutterRepai"/>
    <x v="20"/>
  </r>
  <r>
    <x v="266"/>
    <n v="-85.7"/>
    <s v="Direct Debit 452599 AAMI PI HPL077169729"/>
    <x v="10"/>
  </r>
  <r>
    <x v="267"/>
    <n v="1473"/>
    <s v="Transfer from GURPINDER KAUR NetBank 70 tyquin st"/>
    <x v="17"/>
  </r>
  <r>
    <x v="268"/>
    <n v="-55"/>
    <s v="Transfer to CBA A/c NetBank 68 Tyquin St TPM"/>
    <x v="19"/>
  </r>
  <r>
    <x v="268"/>
    <n v="-55"/>
    <s v="Transfer to CBA A/c NetBank 70TyquinPropertMgt"/>
    <x v="19"/>
  </r>
  <r>
    <x v="269"/>
    <n v="-87.97"/>
    <s v="Direct Debit 452599 AAMI PI HPL071936456"/>
    <x v="9"/>
  </r>
  <r>
    <x v="269"/>
    <n v="200"/>
    <s v="Direct Credit 421520 ANDREW MANOKARAN Mano"/>
    <x v="2"/>
  </r>
  <r>
    <x v="270"/>
    <n v="200"/>
    <s v="Transfer from xx4836 NetBank monthly payment LT"/>
    <x v="1"/>
  </r>
  <r>
    <x v="271"/>
    <n v="1290"/>
    <s v="Transfer from UTTAMJEET SINGH CommBank app rent 68 tyquin st"/>
    <x v="0"/>
  </r>
  <r>
    <x v="272"/>
    <n v="-1319.48"/>
    <s v="Direct Debit 012179 Advantedge PTVL ADV"/>
    <x v="3"/>
  </r>
  <r>
    <x v="273"/>
    <n v="-1621.66"/>
    <s v="Direct Debit 000439 BANK-M S311052458400"/>
    <x v="11"/>
  </r>
  <r>
    <x v="273"/>
    <n v="1000"/>
    <s v="Transfer from xx4836 NetBank payback"/>
    <x v="1"/>
  </r>
  <r>
    <x v="273"/>
    <n v="-1000"/>
    <s v="Transfer to CBA A/c CommBank app"/>
    <x v="1"/>
  </r>
  <r>
    <x v="274"/>
    <n v="-54.5"/>
    <s v="HOBSONS BAY COUNCIL  NetBank BPAY 39032 59020006808"/>
    <x v="5"/>
  </r>
  <r>
    <x v="274"/>
    <n v="-67.849999999999994"/>
    <s v="HOBSONS BAY COUNCIL  NetBank BPAY 39032 59020007004"/>
    <x v="22"/>
  </r>
  <r>
    <x v="275"/>
    <n v="-85.7"/>
    <s v="Direct Debit 452599 AAMI PI HPL077169729"/>
    <x v="10"/>
  </r>
  <r>
    <x v="276"/>
    <n v="-55"/>
    <s v="Transfer to CBA A/c NetBank 68 Tyquin St TPM"/>
    <x v="19"/>
  </r>
  <r>
    <x v="276"/>
    <n v="-55"/>
    <s v="Transfer to CBA A/c NetBank 70TyquinPropertMgt"/>
    <x v="19"/>
  </r>
  <r>
    <x v="277"/>
    <n v="-87.97"/>
    <s v="Direct Debit 452599 AAMI PI HPL071936456"/>
    <x v="9"/>
  </r>
  <r>
    <x v="277"/>
    <n v="200"/>
    <s v="Direct Credit 421520 ANDREW MANOKARAN Mano"/>
    <x v="2"/>
  </r>
  <r>
    <x v="278"/>
    <n v="1473"/>
    <s v="Transfer from GURPINDER KAUR NetBank 70 tyquin st"/>
    <x v="17"/>
  </r>
  <r>
    <x v="279"/>
    <n v="200"/>
    <s v="Transfer from xx4836 NetBank monthly payment LT"/>
    <x v="1"/>
  </r>
  <r>
    <x v="280"/>
    <n v="1290"/>
    <s v="Transfer from UTTAMJEET SINGH CommBank app rent 68 tyquin st"/>
    <x v="0"/>
  </r>
  <r>
    <x v="281"/>
    <n v="-253"/>
    <s v="Transfer to CBA A/c NetBank TyquinStBrokenPipe"/>
    <x v="20"/>
  </r>
  <r>
    <x v="282"/>
    <n v="-1277.07"/>
    <s v="Direct Debit 012179 Advantedge PTVL ADV"/>
    <x v="3"/>
  </r>
  <r>
    <x v="283"/>
    <n v="-1597.05"/>
    <s v="Direct Debit 000439 BANK-M S311052458400"/>
    <x v="11"/>
  </r>
  <r>
    <x v="284"/>
    <n v="-85.7"/>
    <s v="Direct Debit 452599 AAMI PI HPL077169729"/>
    <x v="10"/>
  </r>
  <r>
    <x v="285"/>
    <n v="-700"/>
    <s v="Transfer to xx1274 CommBank app"/>
    <x v="1"/>
  </r>
  <r>
    <x v="286"/>
    <n v="-147.1"/>
    <s v="CITY WEST WATER      NetBank BPAY 8789 121739219120"/>
    <x v="23"/>
  </r>
  <r>
    <x v="286"/>
    <n v="-147.1"/>
    <s v="CITY WEST WATER      NetBank BPAY 8789 121739220138"/>
    <x v="12"/>
  </r>
  <r>
    <x v="286"/>
    <n v="700"/>
    <s v="Transfer from xx4836 NetBank payback"/>
    <x v="1"/>
  </r>
  <r>
    <x v="287"/>
    <n v="1473"/>
    <s v="Transfer from GURPINDER KAUR NetBank 70 tyquin st"/>
    <x v="17"/>
  </r>
  <r>
    <x v="288"/>
    <n v="-55"/>
    <s v="Transfer to CBA A/c NetBank 68 Tyquin St TPM"/>
    <x v="19"/>
  </r>
  <r>
    <x v="288"/>
    <n v="-55"/>
    <s v="Transfer to CBA A/c NetBank 70TyquinPropertMgt"/>
    <x v="19"/>
  </r>
  <r>
    <x v="289"/>
    <n v="-87.97"/>
    <s v="Direct Debit 452599 AAMI PI HPL071936456"/>
    <x v="9"/>
  </r>
  <r>
    <x v="290"/>
    <n v="200"/>
    <s v="Direct Credit 421520 ANDREW MANOKARAN Mano"/>
    <x v="2"/>
  </r>
  <r>
    <x v="291"/>
    <n v="200"/>
    <s v="Transfer from xx4836 NetBank monthly payment LT"/>
    <x v="1"/>
  </r>
  <r>
    <x v="292"/>
    <n v="1290"/>
    <s v="Transfer from UTTAMJEET SINGH CommBank app rent 68 tyquin st"/>
    <x v="0"/>
  </r>
  <r>
    <x v="293"/>
    <n v="-1319.16"/>
    <s v="Direct Debit 012179 Advantedge PTVL ADV"/>
    <x v="3"/>
  </r>
  <r>
    <x v="294"/>
    <n v="-1649.95"/>
    <s v="Direct Debit 000439 BANK-M S311052458400"/>
    <x v="11"/>
  </r>
  <r>
    <x v="295"/>
    <n v="-85.7"/>
    <s v="Direct Debit 452599 AAMI PI HPL077169729"/>
    <x v="10"/>
  </r>
  <r>
    <x v="296"/>
    <n v="-331"/>
    <s v="HOBSONS BAY COUNCIL  NetBank BPAY 39032 59020007004"/>
    <x v="22"/>
  </r>
  <r>
    <x v="297"/>
    <n v="1700"/>
    <s v="Transfer from xx4836 NetBank building permit"/>
    <x v="1"/>
  </r>
  <r>
    <x v="298"/>
    <n v="-2420"/>
    <s v="Transfer to other Bank NetBank Lloyd Tyquin St"/>
    <x v="24"/>
  </r>
  <r>
    <x v="298"/>
    <n v="1000"/>
    <s v="Transfer from xx4836 CommBank app Lloyd payment"/>
    <x v="1"/>
  </r>
  <r>
    <x v="298"/>
    <n v="1000"/>
    <s v="Transfer from xx4836 CommBank app Andrew payment"/>
    <x v="2"/>
  </r>
  <r>
    <x v="299"/>
    <n v="-55"/>
    <s v="Transfer to CBA A/c NetBank 68 Tyquin St TPM"/>
    <x v="19"/>
  </r>
  <r>
    <x v="299"/>
    <n v="-55"/>
    <s v="Transfer to CBA A/c NetBank 70TyquinPropertMgt"/>
    <x v="19"/>
  </r>
  <r>
    <x v="300"/>
    <n v="-87.97"/>
    <s v="Direct Debit 452599 AAMI PI HPL071936456"/>
    <x v="9"/>
  </r>
  <r>
    <x v="300"/>
    <n v="200"/>
    <s v="Direct Credit 421520 ANDREW MANOKARAN Mano"/>
    <x v="2"/>
  </r>
  <r>
    <x v="301"/>
    <n v="200"/>
    <s v="Transfer from xx4836 NetBank monthly payment LT"/>
    <x v="1"/>
  </r>
  <r>
    <x v="302"/>
    <n v="1290"/>
    <s v="Transfer from UTTAMJEET SINGH CommBank app rent 68 tyquin st"/>
    <x v="0"/>
  </r>
  <r>
    <x v="303"/>
    <n v="1473"/>
    <s v="Transfer from GURPINDER KAUR NetBank 70 tyquin st"/>
    <x v="17"/>
  </r>
  <r>
    <x v="304"/>
    <n v="-1277.07"/>
    <s v="Direct Debit 012179 Advantedge PTVL ADV"/>
    <x v="3"/>
  </r>
  <r>
    <x v="305"/>
    <n v="-1574.19"/>
    <s v="Direct Debit 000439 BANK-M S311052458400"/>
    <x v="11"/>
  </r>
  <r>
    <x v="306"/>
    <n v="-85.7"/>
    <s v="Direct Debit 452599 AAMI PI HPL077169729"/>
    <x v="10"/>
  </r>
  <r>
    <x v="306"/>
    <n v="-320"/>
    <s v="HOBSONS BAY COUNCIL  NetBank BPAY 39032 59020006808"/>
    <x v="5"/>
  </r>
  <r>
    <x v="307"/>
    <n v="-55"/>
    <s v="Transfer to CBA A/c NetBank 68 Tyquin St TPM"/>
    <x v="19"/>
  </r>
  <r>
    <x v="307"/>
    <n v="-55"/>
    <s v="Transfer to CBA A/c NetBank 70TyquinPropertMgt"/>
    <x v="19"/>
  </r>
  <r>
    <x v="308"/>
    <n v="-102.71"/>
    <s v="Direct Debit 452599 AAMI PI HPL071936456"/>
    <x v="9"/>
  </r>
  <r>
    <x v="309"/>
    <n v="200"/>
    <s v="Direct Credit 421520 ANDREW MANOKARAN Mano"/>
    <x v="2"/>
  </r>
  <r>
    <x v="310"/>
    <n v="200"/>
    <s v="Transfer from xx4836 NetBank monthly payment LT"/>
    <x v="1"/>
  </r>
  <r>
    <x v="311"/>
    <n v="1290"/>
    <s v="Transfer from UTTAMJEET SINGH CommBank app rent 68 tyquin st"/>
    <x v="0"/>
  </r>
  <r>
    <x v="311"/>
    <n v="5000"/>
    <s v="Direct Credit 106600 ANDREW MANOKARAN Tyquin Project"/>
    <x v="2"/>
  </r>
  <r>
    <x v="312"/>
    <n v="1473"/>
    <s v="Transfer from GURPINDER KAUR NetBank 70 tyquin st"/>
    <x v="17"/>
  </r>
  <r>
    <x v="313"/>
    <n v="-1319.33"/>
    <s v="Direct Debit 012179 Advantedge PTVL ADV"/>
    <x v="3"/>
  </r>
  <r>
    <x v="313"/>
    <n v="5000"/>
    <s v="Direct Credit 106600 ANDREW MANOKARAN Tyquin Street Proj"/>
    <x v="2"/>
  </r>
  <r>
    <x v="314"/>
    <n v="-2000"/>
    <s v="Transfer to CBA A/c NetBank Deposit Tyquin St"/>
    <x v="24"/>
  </r>
  <r>
    <x v="315"/>
    <n v="-1396.75"/>
    <s v="Direct Debit 000439 BANK-M S311052458400"/>
    <x v="11"/>
  </r>
  <r>
    <x v="316"/>
    <n v="-85.7"/>
    <s v="Direct Debit 452599 AAMI PI HPL077169729"/>
    <x v="10"/>
  </r>
  <r>
    <x v="317"/>
    <n v="5000"/>
    <s v="Transfer from xx4836 CommBank app BuildPermitLT"/>
    <x v="1"/>
  </r>
  <r>
    <x v="318"/>
    <n v="-225"/>
    <s v="Transfer to other Bank NetBank 68Tyq GlassReplace"/>
    <x v="20"/>
  </r>
  <r>
    <x v="318"/>
    <n v="-147.1"/>
    <s v="CITY WEST WATER      NetBank BPAY 8789 121739219120"/>
    <x v="23"/>
  </r>
  <r>
    <x v="318"/>
    <n v="-147.1"/>
    <s v="CITY WEST WATER      NetBank BPAY 8789 121739220138"/>
    <x v="12"/>
  </r>
  <r>
    <x v="319"/>
    <n v="-55"/>
    <s v="Transfer to CBA A/c NetBank 68 Tyquin St TPM"/>
    <x v="19"/>
  </r>
  <r>
    <x v="319"/>
    <n v="-55"/>
    <s v="Transfer to CBA A/c NetBank 70TyquinPropertMgt"/>
    <x v="19"/>
  </r>
  <r>
    <x v="320"/>
    <n v="5000"/>
    <s v="Transfer from xx4836 NetBank BuildPermitLT"/>
    <x v="1"/>
  </r>
  <r>
    <x v="321"/>
    <n v="-102.71"/>
    <s v="Direct Debit 452599 AAMI PI HPL071936456"/>
    <x v="9"/>
  </r>
  <r>
    <x v="322"/>
    <n v="200"/>
    <s v="Direct Credit 421520 ANDREW MANOKARAN Mano"/>
    <x v="2"/>
  </r>
  <r>
    <x v="323"/>
    <n v="200"/>
    <s v="Transfer from xx4836 NetBank monthly payment LT"/>
    <x v="1"/>
  </r>
  <r>
    <x v="324"/>
    <n v="-440"/>
    <s v="Transfer to other Bank NetBank Q003027 Accounting Advise BCG"/>
    <x v="24"/>
  </r>
  <r>
    <x v="324"/>
    <n v="1290"/>
    <s v="Transfer from UTTAMJEET SINGH CommBank app rent 68 tyquin st"/>
    <x v="0"/>
  </r>
  <r>
    <x v="325"/>
    <n v="-1000"/>
    <s v="Transfer to xx4836 NetBank"/>
    <x v="1"/>
  </r>
  <r>
    <x v="325"/>
    <n v="-1295"/>
    <s v="Transfer to CBA A/c NetBank Energy Report"/>
    <x v="24"/>
  </r>
  <r>
    <x v="326"/>
    <n v="-1319.38"/>
    <s v="Direct Debit 012179 Advantedge PTVL ADV"/>
    <x v="11"/>
  </r>
  <r>
    <x v="326"/>
    <n v="1473"/>
    <s v="Transfer from GURPINDER KAUR NetBank 70 tyquin st"/>
    <x v="17"/>
  </r>
  <r>
    <x v="327"/>
    <n v="-1360.93"/>
    <s v="Direct Debit 000439 BANK-M S311052458400"/>
    <x v="11"/>
  </r>
  <r>
    <x v="327"/>
    <n v="-9955"/>
    <s v="Transfer to other Bank NetBank DSP Arch Build Per"/>
    <x v="24"/>
  </r>
  <r>
    <x v="328"/>
    <n v="-85.7"/>
    <s v="Direct Debit 452599 AAMI PI HPL077169729"/>
    <x v="10"/>
  </r>
  <r>
    <x v="329"/>
    <n v="-331"/>
    <s v="HOBSONS BAY COUNCIL  NetBank BPAY 39032 59020007004"/>
    <x v="22"/>
  </r>
  <r>
    <x v="329"/>
    <n v="-322.7"/>
    <s v="HOBSONS BAY COUNCIL  NetBank BPAY 39032 59020006808"/>
    <x v="5"/>
  </r>
  <r>
    <x v="330"/>
    <n v="-4897"/>
    <s v="Transfer to CBA A/c NetBank Eng Drawings"/>
    <x v="24"/>
  </r>
  <r>
    <x v="330"/>
    <n v="-55"/>
    <s v="Transfer to CBA A/c NetBank 68 Tyquin St TPM"/>
    <x v="19"/>
  </r>
  <r>
    <x v="330"/>
    <n v="-55"/>
    <s v="Transfer to CBA A/c NetBank 70TyquinPropertMgt"/>
    <x v="19"/>
  </r>
  <r>
    <x v="331"/>
    <n v="1000"/>
    <s v="Transfer from xx8759 CommBank app Payback"/>
    <x v="1"/>
  </r>
  <r>
    <x v="332"/>
    <n v="-102.71"/>
    <s v="Direct Debit 452599 AAMI PI HPL071936456"/>
    <x v="9"/>
  </r>
  <r>
    <x v="333"/>
    <n v="200"/>
    <s v="Direct Credit 421520 ANDREW MANOKARAN Mano"/>
    <x v="2"/>
  </r>
  <r>
    <x v="334"/>
    <n v="-500"/>
    <s v="Transfer to xx8759 NetBank Payment LT"/>
    <x v="1"/>
  </r>
  <r>
    <x v="334"/>
    <n v="1473"/>
    <s v="Transfer From MANJIT SINGH CREDIT TO ACCOUNT"/>
    <x v="17"/>
  </r>
  <r>
    <x v="334"/>
    <n v="200"/>
    <s v="Transfer from xx4836 NetBank monthly payment LT"/>
    <x v="1"/>
  </r>
  <r>
    <x v="335"/>
    <n v="1290"/>
    <s v="Transfer from UTTAMJEET SINGH CommBank app rent 68 tyquin st"/>
    <x v="0"/>
  </r>
  <r>
    <x v="336"/>
    <n v="-250"/>
    <s v="Transfer to xx1274 NetBank"/>
    <x v="1"/>
  </r>
  <r>
    <x v="337"/>
    <n v="-250"/>
    <s v="Transfer to xx1274 NetBank"/>
    <x v="1"/>
  </r>
  <r>
    <x v="337"/>
    <n v="-1192.71"/>
    <s v="Direct Debit 012179 Advantedge PTVL ADV"/>
    <x v="3"/>
  </r>
  <r>
    <x v="338"/>
    <n v="-1229.23"/>
    <s v="Direct Debit 000439 BANK-M S311052458400"/>
    <x v="11"/>
  </r>
  <r>
    <x v="339"/>
    <n v="-85.7"/>
    <s v="Direct Debit 452599 AAMI PI HPL077169729"/>
    <x v="10"/>
  </r>
  <r>
    <x v="340"/>
    <n v="500"/>
    <s v="Transfer from xx1274 NetBank Payback"/>
    <x v="1"/>
  </r>
  <r>
    <x v="341"/>
    <n v="5000"/>
    <s v="Direct Credit 106600 ANDREW MANOKARAN Lloyd Thomas CBA"/>
    <x v="2"/>
  </r>
  <r>
    <x v="342"/>
    <n v="-4000"/>
    <s v="Transfer to CBA A/c NetBank Thomic"/>
    <x v="25"/>
  </r>
  <r>
    <x v="343"/>
    <n v="-2000"/>
    <s v="Transfer to other Bank NetBank Payback LT"/>
    <x v="1"/>
  </r>
  <r>
    <x v="343"/>
    <n v="10000"/>
    <s v="Transfer from xx4836 NetBank Payment LT"/>
    <x v="1"/>
  </r>
  <r>
    <x v="344"/>
    <n v="5000"/>
    <s v="Direct Credit 106600 ANDREW MANOKARAN Lloyd Thomas CBA"/>
    <x v="2"/>
  </r>
  <r>
    <x v="345"/>
    <n v="-55"/>
    <s v="Transfer to CBA A/c NetBank 68 Tyquin St TPM"/>
    <x v="19"/>
  </r>
  <r>
    <x v="345"/>
    <n v="-55"/>
    <s v="Transfer to CBA A/c NetBank 70TyquinPropertMgt"/>
    <x v="19"/>
  </r>
  <r>
    <x v="346"/>
    <n v="-3107.5"/>
    <s v="Transfer to other Bank NetBank Legal Advise"/>
    <x v="26"/>
  </r>
  <r>
    <x v="347"/>
    <n v="-102.71"/>
    <s v="Direct Debit 452599 AAMI PI HPL071936456"/>
    <x v="9"/>
  </r>
  <r>
    <x v="347"/>
    <n v="200"/>
    <s v="Direct Credit 421520 ANDREW MANOKARAN Mano"/>
    <x v="2"/>
  </r>
  <r>
    <x v="348"/>
    <n v="1473"/>
    <s v="Transfer from GURPINDER KAUR NetBank 70 tyquin st"/>
    <x v="17"/>
  </r>
  <r>
    <x v="349"/>
    <n v="250"/>
    <s v="Transfer from xx4836 NetBank Lloyd"/>
    <x v="1"/>
  </r>
  <r>
    <x v="349"/>
    <n v="200"/>
    <s v="Transfer from xx4836 NetBank monthly payment LT"/>
    <x v="1"/>
  </r>
  <r>
    <x v="350"/>
    <n v="1290"/>
    <s v="Transfer from UTTAMJEET SINGH CommBank app rent 68 tyquin st"/>
    <x v="0"/>
  </r>
  <r>
    <x v="351"/>
    <n v="-1319.54"/>
    <s v="Direct Debit 012179 Advantedge PTVL ADV"/>
    <x v="3"/>
  </r>
  <r>
    <x v="352"/>
    <n v="-1360.93"/>
    <s v="Direct Debit 000439 BANK-M S311052458400"/>
    <x v="11"/>
  </r>
  <r>
    <x v="353"/>
    <n v="-85.7"/>
    <s v="Direct Debit 452599 AAMI PI HPL077169729"/>
    <x v="10"/>
  </r>
  <r>
    <x v="354"/>
    <n v="-147.1"/>
    <s v="CITY WEST WATER      NetBank BPAY 8789 121739220138"/>
    <x v="12"/>
  </r>
  <r>
    <x v="354"/>
    <n v="-147.1"/>
    <s v="CITY WEST WATER      NetBank BPAY 8789 121739219120"/>
    <x v="23"/>
  </r>
  <r>
    <x v="354"/>
    <n v="500"/>
    <s v="Transfer from xx1274 NetBank Lloyd Payment"/>
    <x v="1"/>
  </r>
  <r>
    <x v="355"/>
    <n v="-1500"/>
    <s v="Transfer to xx4353 CommBank app"/>
    <x v="1"/>
  </r>
  <r>
    <x v="356"/>
    <n v="-2032"/>
    <s v="Transfer to other Bank NetBank subdivision"/>
    <x v="27"/>
  </r>
  <r>
    <x v="357"/>
    <n v="2032"/>
    <s v="Direct Credit 068523 TRANS RECALLED subdivision"/>
    <x v="1"/>
  </r>
  <r>
    <x v="358"/>
    <n v="-2032"/>
    <s v="Transfer to other Bank NetBank subdivision"/>
    <x v="1"/>
  </r>
  <r>
    <x v="359"/>
    <n v="-1600"/>
    <s v="Transfer to other Bank NetBank Project Management"/>
    <x v="25"/>
  </r>
  <r>
    <x v="359"/>
    <n v="-55"/>
    <s v="Transfer to CBA A/c NetBank 68 Tyquin St TPM"/>
    <x v="19"/>
  </r>
  <r>
    <x v="359"/>
    <n v="-55"/>
    <s v="Transfer to CBA A/c NetBank 70TyquinPropertMgt"/>
    <x v="19"/>
  </r>
  <r>
    <x v="360"/>
    <n v="-102.71"/>
    <s v="Direct Debit 452599 AAMI PI HPL071936456"/>
    <x v="9"/>
  </r>
  <r>
    <x v="360"/>
    <n v="2000"/>
    <s v="Transfer from xx1274 NetBank Lloyd"/>
    <x v="1"/>
  </r>
  <r>
    <x v="361"/>
    <n v="-3740"/>
    <s v="Transfer to CBA A/c NetBank 6981Depo"/>
    <x v="28"/>
  </r>
  <r>
    <x v="361"/>
    <n v="200"/>
    <s v="Direct Credit 421520 ANDREW MANOKARAN Mano"/>
    <x v="2"/>
  </r>
  <r>
    <x v="362"/>
    <n v="200"/>
    <s v="Transfer from xx1274 NetBank monthly payment LT"/>
    <x v="1"/>
  </r>
  <r>
    <x v="363"/>
    <n v="-108.4"/>
    <s v="Transfer to xx1274 CommBank app Council ammendment"/>
    <x v="27"/>
  </r>
  <r>
    <x v="363"/>
    <n v="1473"/>
    <s v="Transfer from GURPINDER KAUR NetBank 70 tyquin st"/>
    <x v="17"/>
  </r>
  <r>
    <x v="363"/>
    <n v="1290"/>
    <s v="Transfer from UTTAMJEET SINGH CommBank app rent 68 tyquin st"/>
    <x v="0"/>
  </r>
  <r>
    <x v="364"/>
    <n v="-553"/>
    <s v="Transfer to other Bank NetBank MCS Connect"/>
    <x v="27"/>
  </r>
  <r>
    <x v="364"/>
    <n v="-1425"/>
    <s v="Transfer to other Bank NetBank 1212 BPA Lloyd"/>
    <x v="24"/>
  </r>
  <r>
    <x v="365"/>
    <n v="-1297.81"/>
    <s v="Direct Debit 012179 Advantedge PTVL ADV"/>
    <x v="3"/>
  </r>
  <r>
    <x v="365"/>
    <n v="2000"/>
    <s v="Direct Credit 106600 LLOYD THOMAS Lloyd Thomas"/>
    <x v="1"/>
  </r>
  <r>
    <x v="365"/>
    <n v="-500"/>
    <s v="Transfer to xx4836 NetBank"/>
    <x v="1"/>
  </r>
  <r>
    <x v="365"/>
    <n v="-500"/>
    <s v="Transfer to xx4549 NetBank"/>
    <x v="1"/>
  </r>
  <r>
    <x v="366"/>
    <n v="-1317.03"/>
    <s v="Direct Debit 000439 BANK-M S311052458400"/>
    <x v="11"/>
  </r>
  <r>
    <x v="367"/>
    <n v="-85.7"/>
    <s v="Direct Debit 452599 AAMI PI HPL077169729"/>
    <x v="10"/>
  </r>
  <r>
    <x v="368"/>
    <n v="500"/>
    <s v="Transfer from xx4549 NetBank"/>
    <x v="1"/>
  </r>
  <r>
    <x v="368"/>
    <n v="500"/>
    <s v="Transfer from xx4836 NetBank"/>
    <x v="1"/>
  </r>
  <r>
    <x v="369"/>
    <n v="-6600"/>
    <s v="Transfer to other Bank NetBank Bank Eval"/>
    <x v="29"/>
  </r>
  <r>
    <x v="369"/>
    <n v="500"/>
    <s v="Direct Credit 106600 LLOYD THOMAS Lloyd"/>
    <x v="1"/>
  </r>
  <r>
    <x v="370"/>
    <n v="1473"/>
    <s v="Transfer from GURPINDER KAUR NetBank 70 tyquin st"/>
    <x v="17"/>
  </r>
  <r>
    <x v="371"/>
    <n v="-99"/>
    <s v="Transfer to other Bank CommBank app repairTap 68Tyquin"/>
    <x v="20"/>
  </r>
  <r>
    <x v="372"/>
    <n v="-55"/>
    <s v="Transfer to CBA A/c NetBank 68 Tyquin St TPM"/>
    <x v="19"/>
  </r>
  <r>
    <x v="372"/>
    <n v="-55"/>
    <s v="Transfer to CBA A/c NetBank 70TyquinPropertMgt"/>
    <x v="19"/>
  </r>
  <r>
    <x v="373"/>
    <n v="-331"/>
    <s v="HOBSONS BAY COUNCIL  NetBank BPAY 39032 59020007004"/>
    <x v="22"/>
  </r>
  <r>
    <x v="373"/>
    <n v="-320"/>
    <s v="HOBSONS BAY COUNCIL  NetBank BPAY 39032 59020006808"/>
    <x v="5"/>
  </r>
  <r>
    <x v="374"/>
    <n v="-102.71"/>
    <s v="Direct Debit 452599 AAMI PI HPL071936456"/>
    <x v="9"/>
  </r>
  <r>
    <x v="374"/>
    <n v="200"/>
    <s v="Direct Credit 421520 ANDREW MANOKARAN Mano"/>
    <x v="2"/>
  </r>
  <r>
    <x v="375"/>
    <n v="200"/>
    <s v="Transfer from xx1274 NetBank monthly payment LT"/>
    <x v="1"/>
  </r>
  <r>
    <x v="376"/>
    <n v="1290"/>
    <s v="Transfer from UTTAMJEET SINGH CommBank app rent 68 tyquin st"/>
    <x v="0"/>
  </r>
  <r>
    <x v="377"/>
    <n v="-350"/>
    <s v="Transfer to other Bank NetBank Hot water unit"/>
    <x v="18"/>
  </r>
  <r>
    <x v="377"/>
    <n v="-500"/>
    <s v="Transfer to CBA A/c NetBank Estate Masters"/>
    <x v="25"/>
  </r>
  <r>
    <x v="378"/>
    <n v="2000"/>
    <s v="Direct Credit 106600 LLOYD THOMAS Lloyd Thomas"/>
    <x v="1"/>
  </r>
  <r>
    <x v="379"/>
    <n v="-1359.51"/>
    <s v="Direct Debit 012179 Advantedge PTVL ADV"/>
    <x v="3"/>
  </r>
  <r>
    <x v="380"/>
    <n v="-1328.78"/>
    <s v="Direct Debit 000439 BANK-M S311052458400"/>
    <x v="11"/>
  </r>
  <r>
    <x v="381"/>
    <n v="-650"/>
    <s v="Transfer to xx4549 NetBank"/>
    <x v="1"/>
  </r>
  <r>
    <x v="382"/>
    <n v="-770"/>
    <s v="Transfer to CBA A/c NetBank EngineerAmmendBuil"/>
    <x v="24"/>
  </r>
  <r>
    <x v="382"/>
    <n v="650"/>
    <s v="Transfer from xx4836 NetBank lloyd payback"/>
    <x v="1"/>
  </r>
  <r>
    <x v="383"/>
    <n v="-85.7"/>
    <s v="Direct Debit 452599 AAMI PI HPL077169729"/>
    <x v="10"/>
  </r>
  <r>
    <x v="384"/>
    <n v="1473"/>
    <s v="Transfer from GURPINDER KAUR NetBank 70 tyquin st"/>
    <x v="17"/>
  </r>
  <r>
    <x v="385"/>
    <n v="-55"/>
    <s v="Transfer to CBA A/c NetBank 68 Tyquin St TPM"/>
    <x v="19"/>
  </r>
  <r>
    <x v="385"/>
    <n v="-55"/>
    <s v="Transfer to CBA A/c NetBank 70TyquinPropertMgt"/>
    <x v="19"/>
  </r>
  <r>
    <x v="386"/>
    <n v="5000"/>
    <s v="Direct Credit 106600 LLOYD THOMAS Lloyd Thomas"/>
    <x v="1"/>
  </r>
  <r>
    <x v="386"/>
    <n v="-2100"/>
    <s v="Transfer to other Bank CommBank app section 173"/>
    <x v="27"/>
  </r>
  <r>
    <x v="386"/>
    <n v="100"/>
    <s v="Transfer from xx2863 CommBank app Lloyd"/>
    <x v="1"/>
  </r>
  <r>
    <x v="386"/>
    <n v="550"/>
    <s v="Transfer from xx2863 CommBank app Loan"/>
    <x v="1"/>
  </r>
  <r>
    <x v="387"/>
    <n v="-102.71"/>
    <s v="Direct Debit 452599 AAMI PI HPL071936456"/>
    <x v="9"/>
  </r>
  <r>
    <x v="387"/>
    <n v="5000"/>
    <s v="Direct Credit 106600 ANDREW MANOKARAN Tyquin Street"/>
    <x v="2"/>
  </r>
  <r>
    <x v="387"/>
    <n v="200"/>
    <s v="Direct Credit 421520 ANDREW MANOKARAN Mano"/>
    <x v="2"/>
  </r>
  <r>
    <x v="388"/>
    <n v="-5365.2"/>
    <s v="Transfer to other Bank NetBank City West Water"/>
    <x v="27"/>
  </r>
  <r>
    <x v="388"/>
    <n v="-438.8"/>
    <s v="Transfer to other Bank NetBank 70 Tyquin St Rudy"/>
    <x v="18"/>
  </r>
  <r>
    <x v="389"/>
    <n v="5000"/>
    <s v="Direct Credit 106600 ANDREW MANOKARAN Tyquin Street"/>
    <x v="2"/>
  </r>
  <r>
    <x v="390"/>
    <n v="200"/>
    <s v="Transfer from xx1274 NetBank monthly payment LT"/>
    <x v="1"/>
  </r>
  <r>
    <x v="391"/>
    <n v="-3600"/>
    <s v="Transfer to other Bank NetBank NBN"/>
    <x v="27"/>
  </r>
  <r>
    <x v="391"/>
    <n v="1290"/>
    <s v="Transfer from UTTAMJEET SINGH CommBank app rent 68 tyquin st"/>
    <x v="0"/>
  </r>
  <r>
    <x v="392"/>
    <n v="-1309.67"/>
    <s v="Direct Debit 012179 Advantedge PTVL ADV"/>
    <x v="3"/>
  </r>
  <r>
    <x v="393"/>
    <n v="-9000"/>
    <s v="Transfer to other Bank NetBank PowerCorp01"/>
    <x v="27"/>
  </r>
  <r>
    <x v="393"/>
    <n v="-1187.53"/>
    <s v="Direct Debit 000439 BANK-M S311052458400"/>
    <x v="11"/>
  </r>
  <r>
    <x v="393"/>
    <n v="5000"/>
    <s v="Direct Credit 106600 LLOYD THOMAS Lloyd Thomas"/>
    <x v="1"/>
  </r>
  <r>
    <x v="394"/>
    <n v="-92.13"/>
    <s v="Direct Debit 452599 AAMI PI HPL077169729"/>
    <x v="10"/>
  </r>
  <r>
    <x v="394"/>
    <n v="-225.98"/>
    <s v="CITY WEST WATER      NetBank BPAY 8789 121739220138"/>
    <x v="12"/>
  </r>
  <r>
    <x v="394"/>
    <n v="-225.98"/>
    <s v="CITY WEST WATER      NetBank BPAY 8789 121739219120"/>
    <x v="23"/>
  </r>
  <r>
    <x v="395"/>
    <n v="-1000"/>
    <s v="Transfer to other Bank NetBank PowerCorp02"/>
    <x v="27"/>
  </r>
  <r>
    <x v="395"/>
    <n v="1000"/>
    <s v="Direct Credit 106600 LLOYD THOMAS Lloyd Thomas"/>
    <x v="1"/>
  </r>
  <r>
    <x v="396"/>
    <n v="2000"/>
    <s v="Direct Credit 106600 ANDREW MANOKARAN Andrew Tyquin"/>
    <x v="2"/>
  </r>
  <r>
    <x v="397"/>
    <n v="-635"/>
    <s v="Transfer to other Bank CommBank app city west water"/>
    <x v="27"/>
  </r>
  <r>
    <x v="397"/>
    <n v="-1000"/>
    <s v="Transfer to xx1274 CommBank app"/>
    <x v="1"/>
  </r>
  <r>
    <x v="398"/>
    <n v="-525"/>
    <s v="SROVIC LAND TAX      NetBank BPAY 5249 26934936"/>
    <x v="30"/>
  </r>
  <r>
    <x v="399"/>
    <n v="-102.71"/>
    <s v="Direct Debit 452599 AAMI PI HPL071936456"/>
    <x v="9"/>
  </r>
  <r>
    <x v="400"/>
    <n v="2000"/>
    <s v="Direct Credit 106600 ANDREW MANOKARAN Tyquin Street"/>
    <x v="2"/>
  </r>
  <r>
    <x v="400"/>
    <n v="200"/>
    <s v="Direct Credit 421520 ANDREW MANOKARAN Mano"/>
    <x v="1"/>
  </r>
  <r>
    <x v="400"/>
    <n v="-5"/>
    <s v="Unpaid Payment Fee Value Date: 15/08/2019"/>
    <x v="16"/>
  </r>
  <r>
    <x v="400"/>
    <n v="102.71"/>
    <s v="Return 15/08/19 Direct Debit 452599 AAMI PI HPL071936456 Value Date: 15/08/2019"/>
    <x v="9"/>
  </r>
  <r>
    <x v="401"/>
    <n v="-525"/>
    <s v="SROVIC LAND TAX      NetBank BPAY 5249 28871922 Land Tax 68 Tyquin"/>
    <x v="30"/>
  </r>
  <r>
    <x v="402"/>
    <n v="-55"/>
    <s v="Transfer to CBA A/c NetBank 68 Tyquin St TPM"/>
    <x v="19"/>
  </r>
  <r>
    <x v="402"/>
    <n v="-55"/>
    <s v="Transfer to CBA A/c NetBank 70TyquinPropertMgt"/>
    <x v="19"/>
  </r>
  <r>
    <x v="403"/>
    <n v="1473"/>
    <s v="Transfer from GURPINDER KAUR NetBank 70 tyquin st"/>
    <x v="17"/>
  </r>
  <r>
    <x v="404"/>
    <n v="1290"/>
    <s v="Transfer from UTTAMJEET SINGH CommBank app rent 68 tyquin st"/>
    <x v="0"/>
  </r>
  <r>
    <x v="405"/>
    <n v="-1293.3800000000001"/>
    <s v="Direct Debit 012179 Advantedge PTVL ADV"/>
    <x v="3"/>
  </r>
  <r>
    <x v="406"/>
    <n v="-1175.8599999999999"/>
    <s v="Direct Debit 000439 BANK-M S311052458400"/>
    <x v="11"/>
  </r>
  <r>
    <x v="407"/>
    <n v="-102.71"/>
    <s v="Direct Debit 452599 AAMI PI HPL071936456"/>
    <x v="9"/>
  </r>
  <r>
    <x v="408"/>
    <n v="-92.13"/>
    <s v="Direct Debit 452599 AAMI PI HPL077169729"/>
    <x v="10"/>
  </r>
  <r>
    <x v="409"/>
    <n v="1000"/>
    <s v="Transfer from xx1274 NetBank Tyquin St Project"/>
    <x v="1"/>
  </r>
  <r>
    <x v="409"/>
    <n v="-190"/>
    <s v="Transfer to other Bank NetBank PLAN section173"/>
    <x v="27"/>
  </r>
  <r>
    <x v="410"/>
    <n v="-55"/>
    <s v="Transfer to CBA A/c NetBank 68 Tyquin St TPM"/>
    <x v="19"/>
  </r>
  <r>
    <x v="410"/>
    <n v="-55"/>
    <s v="Transfer to CBA A/c NetBank 70TyquinPropertMgt"/>
    <x v="19"/>
  </r>
  <r>
    <x v="411"/>
    <n v="200"/>
    <s v="Direct Credit 421520 ANDREW MANOKARAN Mano"/>
    <x v="2"/>
  </r>
  <r>
    <x v="412"/>
    <n v="-102.71"/>
    <s v="Direct Debit 452599 AAMI PI HPL071936456"/>
    <x v="9"/>
  </r>
  <r>
    <x v="413"/>
    <n v="1473"/>
    <s v="Transfer from GURPINDER KAUR NetBank 70 tyquin st"/>
    <x v="17"/>
  </r>
  <r>
    <x v="414"/>
    <n v="-926.5"/>
    <s v="Transfer to other Bank NetBank Section 173 Legal"/>
    <x v="26"/>
  </r>
  <r>
    <x v="415"/>
    <n v="-1244.97"/>
    <s v="Direct Debit 012179 Advantedge PTVL ADV"/>
    <x v="3"/>
  </r>
  <r>
    <x v="415"/>
    <n v="200"/>
    <s v="Transfer from xx1274 NetBank monthly payment LT"/>
    <x v="1"/>
  </r>
  <r>
    <x v="416"/>
    <n v="-1175.8599999999999"/>
    <s v="Direct Debit 000439 BANK-M S311052458400"/>
    <x v="11"/>
  </r>
  <r>
    <x v="417"/>
    <n v="-92.13"/>
    <s v="Direct Debit 452599 AAMI PI HPL077169729"/>
    <x v="10"/>
  </r>
  <r>
    <x v="418"/>
    <n v="848"/>
    <s v="Transfer from UTTAMJEET SINGH CommBank app rent 68 tyquin st"/>
    <x v="0"/>
  </r>
  <r>
    <x v="419"/>
    <n v="-2062.5"/>
    <s v="Transfer to other Bank NetBank Demolition"/>
    <x v="31"/>
  </r>
  <r>
    <x v="419"/>
    <n v="50"/>
    <s v="Transfer from xx4353 NetBank lloyd deposit"/>
    <x v="1"/>
  </r>
  <r>
    <x v="419"/>
    <n v="500"/>
    <s v="Transfer from xx4353 NetBank lloyd deposit"/>
    <x v="1"/>
  </r>
  <r>
    <x v="420"/>
    <n v="581"/>
    <s v="Transfer from GURPINDER KAUR NetBank 70 tyquin st"/>
    <x v="17"/>
  </r>
  <r>
    <x v="421"/>
    <n v="15000"/>
    <s v="Direct Credit 106600 ANDREW MANOKARAN Tyquin Street Demo"/>
    <x v="2"/>
  </r>
  <r>
    <x v="422"/>
    <n v="-500"/>
    <s v="Transfer to xx1274 CommBank app Remove Aircon"/>
    <x v="31"/>
  </r>
  <r>
    <x v="423"/>
    <n v="-55"/>
    <s v="Transfer to CBA A/c NetBank 68 Tyquin St TPM"/>
    <x v="19"/>
  </r>
  <r>
    <x v="423"/>
    <n v="-55"/>
    <s v="Transfer to CBA A/c NetBank 70TyquinPropertMgt"/>
    <x v="19"/>
  </r>
  <r>
    <x v="424"/>
    <n v="-102.71"/>
    <s v="Direct Debit 452599 AAMI PI HPL071936456"/>
    <x v="9"/>
  </r>
  <r>
    <x v="425"/>
    <n v="200"/>
    <s v="Direct Credit 421520 ANDREW MANOKARAN Mano"/>
    <x v="2"/>
  </r>
  <r>
    <x v="426"/>
    <n v="200"/>
    <s v="Transfer from xx1274 NetBank monthly payment LT"/>
    <x v="1"/>
  </r>
  <r>
    <x v="427"/>
    <n v="1300"/>
    <s v="Direct Credit 106600 ANDREW MANOKARAN Tyquin Street"/>
    <x v="2"/>
  </r>
  <r>
    <x v="428"/>
    <n v="-1203.06"/>
    <s v="Direct Debit 012179 Advantedge PTVL ADV"/>
    <x v="3"/>
  </r>
  <r>
    <x v="429"/>
    <n v="-340.1"/>
    <s v="HOBSONS BAY COUNCIL  NetBank BPAY 39032 59020006808"/>
    <x v="5"/>
  </r>
  <r>
    <x v="429"/>
    <n v="-1200"/>
    <s v="Transfer to xx4549 NetBank Lloyd"/>
    <x v="1"/>
  </r>
  <r>
    <x v="429"/>
    <n v="-1000"/>
    <s v="Transfer to CBA A/c NetBank Thomic"/>
    <x v="1"/>
  </r>
  <r>
    <x v="429"/>
    <n v="-2750"/>
    <s v="Transfer to other Bank NetBank subdivision anthon"/>
    <x v="27"/>
  </r>
  <r>
    <x v="430"/>
    <n v="1300"/>
    <s v="Transfer from xx4836 NetBank lloyd monthly"/>
    <x v="1"/>
  </r>
  <r>
    <x v="430"/>
    <n v="1000"/>
    <s v="Transfer from xx4836 NetBank lloyd"/>
    <x v="1"/>
  </r>
  <r>
    <x v="431"/>
    <n v="-1121.4000000000001"/>
    <s v="Direct Debit 000439 BANK-M S311052458400"/>
    <x v="11"/>
  </r>
  <r>
    <x v="432"/>
    <n v="-146.96"/>
    <s v="CITY WEST WATER      CommBank app BPAY 8789 121739219120"/>
    <x v="23"/>
  </r>
  <r>
    <x v="432"/>
    <n v="-146"/>
    <s v="CITY WEST WATER      CommBank app BPAY 8789 121739220138"/>
    <x v="12"/>
  </r>
  <r>
    <x v="432"/>
    <n v="1200"/>
    <s v="Transfer from xx4549 CommBank app Lloyd"/>
    <x v="1"/>
  </r>
  <r>
    <x v="433"/>
    <n v="-92.13"/>
    <s v="Direct Debit 452599 AAMI PI HPL077169729"/>
    <x v="10"/>
  </r>
  <r>
    <x v="434"/>
    <n v="-353.75"/>
    <s v="HOBSONS BAY COUNCIL  NetBank BPAY 39032 59020007004"/>
    <x v="22"/>
  </r>
  <r>
    <x v="435"/>
    <n v="-850"/>
    <s v="Transfer to xx1274 CommBank app"/>
    <x v="1"/>
  </r>
  <r>
    <x v="436"/>
    <n v="-55"/>
    <s v="Transfer to CBA A/c NetBank 68 Tyquin St TPM"/>
    <x v="19"/>
  </r>
  <r>
    <x v="436"/>
    <n v="-55"/>
    <s v="Transfer to CBA A/c NetBank 70TyquinPropertMgt"/>
    <x v="19"/>
  </r>
  <r>
    <x v="437"/>
    <n v="-102.71"/>
    <s v="Direct Debit 452599 AAMI PI HPL071936456"/>
    <x v="9"/>
  </r>
  <r>
    <x v="438"/>
    <n v="-10312.5"/>
    <s v="Transfer to other Bank NetBank demolition"/>
    <x v="31"/>
  </r>
  <r>
    <x v="439"/>
    <n v="200"/>
    <s v="Direct Credit 421520 ANDREW MANOKARAN Mano"/>
    <x v="2"/>
  </r>
  <r>
    <x v="440"/>
    <n v="200"/>
    <s v="Transfer from xx1274 NetBank monthly payment LT"/>
    <x v="1"/>
  </r>
  <r>
    <x v="441"/>
    <n v="1300"/>
    <s v="Transfer from xx4836 NetBank"/>
    <x v="1"/>
  </r>
  <r>
    <x v="442"/>
    <n v="1300"/>
    <s v="Direct Credit 106600 ANDREW MANOKARAN Tyquin St Project"/>
    <x v="2"/>
  </r>
  <r>
    <x v="443"/>
    <n v="-1238.9100000000001"/>
    <s v="Direct Debit 012179 Advantedge PTVL ADV"/>
    <x v="3"/>
  </r>
  <r>
    <x v="444"/>
    <n v="-1133.1600000000001"/>
    <s v="Direct Debit 000439 BANK-M S311052458400"/>
    <x v="11"/>
  </r>
  <r>
    <x v="445"/>
    <n v="-340"/>
    <s v="HOBSONS BAY COUNCIL  NetBank BPAY 39032 59020006808"/>
    <x v="5"/>
  </r>
  <r>
    <x v="446"/>
    <n v="-92.13"/>
    <s v="Direct Debit 452599 AAMI PI HPL077169729"/>
    <x v="10"/>
  </r>
  <r>
    <x v="447"/>
    <n v="-706.75"/>
    <s v="HOBSONS BAY COUNCIL  NetBank BPAY 39032 59020007004"/>
    <x v="22"/>
  </r>
  <r>
    <x v="447"/>
    <n v="9300"/>
    <s v="Direct Credit 106600 ANDREW MANOKARAN Tyquin Street - Bu"/>
    <x v="2"/>
  </r>
  <r>
    <x v="447"/>
    <n v="-2750"/>
    <s v="Transfer to CBA A/c NetBank Tyquin St Deposit1"/>
    <x v="32"/>
  </r>
  <r>
    <x v="447"/>
    <n v="8500"/>
    <s v="Transfer from xx4836 NetBank lloyd"/>
    <x v="1"/>
  </r>
  <r>
    <x v="448"/>
    <n v="-350"/>
    <s v="Transfer to other Bank NetBank Anthony Ford"/>
    <x v="27"/>
  </r>
  <r>
    <x v="449"/>
    <n v="-3056.9"/>
    <s v="Transfer to other Bank NetBank INV0278 Lloyd Thom"/>
    <x v="26"/>
  </r>
  <r>
    <x v="449"/>
    <n v="-8600"/>
    <s v="Transfer to other Bank NetBank IV00000001008 Rudy"/>
    <x v="31"/>
  </r>
  <r>
    <x v="450"/>
    <n v="-10000"/>
    <s v="Transfer to CBA A/c NetBank Deposit"/>
    <x v="32"/>
  </r>
  <r>
    <x v="450"/>
    <n v="8000"/>
    <s v="Transfer from xx4836 NetBank Lloyd"/>
    <x v="1"/>
  </r>
  <r>
    <x v="451"/>
    <n v="-110"/>
    <s v="Transfer to CBA A/c NetBank Tyquin St Maintena"/>
    <x v="19"/>
  </r>
  <r>
    <x v="452"/>
    <n v="200"/>
    <s v="Direct Credit 421520 ANDREW MANOKARAN Mano"/>
    <x v="2"/>
  </r>
  <r>
    <x v="453"/>
    <n v="-102.71"/>
    <s v="Direct Debit 452599 AAMI PI HPL071936456"/>
    <x v="9"/>
  </r>
  <r>
    <x v="454"/>
    <n v="2850"/>
    <s v="Direct Credit 106600 ANDREW MANOKARAN Tyquin Street - Le"/>
    <x v="2"/>
  </r>
  <r>
    <x v="455"/>
    <n v="200"/>
    <s v="Transfer from xx1274 NetBank monthly payment LT"/>
    <x v="1"/>
  </r>
  <r>
    <x v="456"/>
    <n v="-1164.8800000000001"/>
    <s v="Direct Debit 012179 Advantedge PTVL ADV"/>
    <x v="3"/>
  </r>
  <r>
    <x v="457"/>
    <n v="-1096.5999999999999"/>
    <s v="Direct Debit 000439 BANK-M S311052458400"/>
    <x v="11"/>
  </r>
  <r>
    <x v="458"/>
    <n v="-92.13"/>
    <s v="Direct Debit 452599 AAMI PI HPL077169729"/>
    <x v="10"/>
  </r>
  <r>
    <x v="459"/>
    <n v="-220"/>
    <s v="Transfer to other Bank NetBank Subdivision PLAN"/>
    <x v="27"/>
  </r>
  <r>
    <x v="460"/>
    <n v="-122.07"/>
    <s v="Direct Debit 452599 AAMI PI HPL071936456"/>
    <x v="9"/>
  </r>
  <r>
    <x v="460"/>
    <n v="-110"/>
    <s v="Transfer to CBA A/c NetBank Tyquin St Maintena"/>
    <x v="19"/>
  </r>
  <r>
    <x v="461"/>
    <n v="200"/>
    <s v="Direct Credit 421520 ANDREW MANOKARAN Mano"/>
    <x v="2"/>
  </r>
  <r>
    <x v="462"/>
    <n v="200"/>
    <s v="Transfer from xx1274 NetBank monthly payment LT"/>
    <x v="1"/>
  </r>
  <r>
    <x v="463"/>
    <n v="-7000"/>
    <s v="Transfer to xx1274 NetBank project management"/>
    <x v="25"/>
  </r>
  <r>
    <x v="463"/>
    <n v="10000"/>
    <s v="Transfer from xx1274 NetBank Lloyd"/>
    <x v="1"/>
  </r>
  <r>
    <x v="464"/>
    <n v="1300"/>
    <s v="Transfer From ANDREW MANOKARAN CREDIT TO ACCOUNT"/>
    <x v="2"/>
  </r>
  <r>
    <x v="465"/>
    <n v="-1204.43"/>
    <s v="Direct Debit 012179 Advantedge PTVL ADV"/>
    <x v="3"/>
  </r>
  <r>
    <x v="466"/>
    <n v="-1133.1600000000001"/>
    <s v="Direct Debit 000439 BANK-M S311052458400"/>
    <x v="11"/>
  </r>
  <r>
    <x v="467"/>
    <n v="-92.13"/>
    <s v="Direct Debit 452599 AAMI PI HPL077169729"/>
    <x v="10"/>
  </r>
  <r>
    <x v="468"/>
    <n v="-200"/>
    <s v="Transfer To Lloyd Thomas - NAB CommBank App Lloyd"/>
    <x v="1"/>
  </r>
  <r>
    <x v="469"/>
    <n v="-200"/>
    <s v="Transfer to xx1274 CommBank app"/>
    <x v="1"/>
  </r>
  <r>
    <x v="470"/>
    <n v="-100"/>
    <s v="Transfer to xx1274 CommBank app Lloyd"/>
    <x v="1"/>
  </r>
  <r>
    <x v="471"/>
    <n v="-3135"/>
    <s v="Transfer to other Bank NetBank Property Eval"/>
    <x v="29"/>
  </r>
  <r>
    <x v="471"/>
    <n v="650"/>
    <s v="Transfer from xx2863 NetBank"/>
    <x v="1"/>
  </r>
  <r>
    <x v="471"/>
    <n v="-407.53"/>
    <s v="CITY WEST WATER      NetBank BPAY 8789 121739219120"/>
    <x v="23"/>
  </r>
  <r>
    <x v="472"/>
    <n v="-122.07"/>
    <s v="Direct Debit 452599 AAMI PI HPL071936456"/>
    <x v="9"/>
  </r>
  <r>
    <x v="472"/>
    <n v="200"/>
    <s v="Direct Credit 421520 ANDREW MANOKARAN Mano"/>
    <x v="2"/>
  </r>
  <r>
    <x v="473"/>
    <n v="-5"/>
    <s v="Unpaid NetBank Payment Fee"/>
    <x v="33"/>
  </r>
  <r>
    <x v="474"/>
    <n v="1500"/>
    <s v="Transfer from xx4836 NetBank Lloyd monthly"/>
    <x v="1"/>
  </r>
  <r>
    <x v="475"/>
    <n v="3000"/>
    <s v="Direct Credit 106600 ANDREW MANOKARAN Andrew Tyquin"/>
    <x v="2"/>
  </r>
  <r>
    <x v="476"/>
    <n v="-1206.68"/>
    <s v="Direct Debit 012179 Advantedge PTVL ADV"/>
    <x v="3"/>
  </r>
  <r>
    <x v="477"/>
    <n v="-261.83"/>
    <s v="CITY WEST WATER      NetBank BPAY 8789 121739220138"/>
    <x v="12"/>
  </r>
  <r>
    <x v="477"/>
    <n v="-1133.1600000000001"/>
    <s v="Direct Debit 000439 BANK-M S311052458400"/>
    <x v="11"/>
  </r>
  <r>
    <x v="478"/>
    <n v="-92.13"/>
    <s v="Direct Debit 452599 AAMI PI HPL077169729"/>
    <x v="10"/>
  </r>
  <r>
    <x v="479"/>
    <n v="-340"/>
    <s v="HOBSONS BAY COUNCIL  NetBank BPAY 39032 59020006808"/>
    <x v="5"/>
  </r>
  <r>
    <x v="480"/>
    <n v="-522.5"/>
    <s v="Transfer to other Bank NetBank ReviewBuildContrac"/>
    <x v="26"/>
  </r>
  <r>
    <x v="481"/>
    <n v="-110"/>
    <s v="Transfer to CBA A/c NetBank Tyquin St Maintena"/>
    <x v="19"/>
  </r>
  <r>
    <x v="482"/>
    <n v="200"/>
    <s v="Direct Credit 421520 ANDREW MANOKARAN Mano"/>
    <x v="2"/>
  </r>
  <r>
    <x v="483"/>
    <n v="-122.07"/>
    <s v="Direct Debit 452599 AAMI PI HPL071936456"/>
    <x v="9"/>
  </r>
  <r>
    <x v="484"/>
    <n v="1300"/>
    <s v="Transfer From ANDREW MANOKARAN CREDIT TO ACCOUNT"/>
    <x v="2"/>
  </r>
  <r>
    <x v="485"/>
    <n v="174.08"/>
    <s v="1880336 AAMI INSURANCE LLOYD THOMAS"/>
    <x v="1"/>
  </r>
  <r>
    <x v="486"/>
    <n v="-435.25"/>
    <s v="INTERNET TRANSFER B551 Fencing"/>
    <x v="31"/>
  </r>
  <r>
    <x v="486"/>
    <n v="-77"/>
    <s v="INTERNET TRANSFER B551001 Fencing"/>
    <x v="31"/>
  </r>
  <r>
    <x v="486"/>
    <n v="500"/>
    <s v="ONLINE W3887487572 Lloyd THOMAS L"/>
    <x v="1"/>
  </r>
  <r>
    <x v="487"/>
    <n v="-100"/>
    <s v="INTERNET TRANSFER Lloyd"/>
    <x v="1"/>
  </r>
  <r>
    <x v="488"/>
    <n v="-2575.7800000000002"/>
    <s v="INTERNET TRANSFER Thom6-04"/>
    <x v="26"/>
  </r>
  <r>
    <x v="488"/>
    <n v="2575"/>
    <s v="ONLINE Y0639755624 Lloyd THOMAS L"/>
    <x v="1"/>
  </r>
  <r>
    <x v="489"/>
    <n v="-500"/>
    <s v="ONLINE K4659938297 Linked Acc Trns THOMAS L"/>
    <x v="1"/>
  </r>
  <r>
    <x v="489"/>
    <n v="500"/>
    <s v="ONLINE Q4239294297 Linked Acc Trns THOMAS L"/>
    <x v="1"/>
  </r>
  <r>
    <x v="490"/>
    <n v="-165"/>
    <s v="INTERNET TRANSFER B551002 Fencing"/>
    <x v="31"/>
  </r>
  <r>
    <x v="490"/>
    <n v="200"/>
    <s v="ONLINE Z7917635046 Linked Acc Trns THOMAS L"/>
    <x v="1"/>
  </r>
  <r>
    <x v="491"/>
    <n v="200"/>
    <s v="Andrew - Tyquin ANDREW MANOKARAN Lloyd Thomas"/>
    <x v="2"/>
  </r>
  <r>
    <x v="492"/>
    <n v="-100"/>
    <s v="INTERNET TRANSFER Lloyd"/>
    <x v="19"/>
  </r>
  <r>
    <x v="493"/>
    <n v="-100"/>
    <s v="INTERNET TRANSFER Lloyd"/>
    <x v="19"/>
  </r>
  <r>
    <x v="494"/>
    <n v="500"/>
    <s v="Andrew - Tyquin ANDREW MANOKARAN Lloyd Thomas"/>
    <x v="2"/>
  </r>
  <r>
    <x v="495"/>
    <n v="-340"/>
    <s v="INTERNET BPAY HOBSONS BAY COUNCIL 59020006808"/>
    <x v="5"/>
  </r>
  <r>
    <x v="495"/>
    <n v="500"/>
    <s v="ONLINE B6752515811 Linked Acc Trns THOMAS L"/>
    <x v="1"/>
  </r>
  <r>
    <x v="496"/>
    <n v="5000"/>
    <s v="Andrew Manokaran - ANDREW MANOKARAN Lloyd Thomas - P"/>
    <x v="2"/>
  </r>
  <r>
    <x v="497"/>
    <n v="-5000"/>
    <s v="ONLINE P1334477389 from Andrew THOMAS L"/>
    <x v="2"/>
  </r>
  <r>
    <x v="498"/>
    <n v="-100"/>
    <s v="INTERNET TRANSFER Lloyd"/>
    <x v="19"/>
  </r>
  <r>
    <x v="499"/>
    <n v="200"/>
    <s v="Andrew - Tyquin ANDREW MANOKARAN Lloyd Thomas"/>
    <x v="2"/>
  </r>
  <r>
    <x v="500"/>
    <n v="-100"/>
    <s v="INTERNET TRANSFER Lloyd"/>
    <x v="19"/>
  </r>
  <r>
    <x v="501"/>
    <n v="200"/>
    <s v="Andrew - Tyquin ANDREW MANOKARAN Lloyd Thomas"/>
    <x v="2"/>
  </r>
  <r>
    <x v="502"/>
    <n v="-380.85"/>
    <s v="INTERNET BPAY CITY WEST WATER 121739220138"/>
    <x v="12"/>
  </r>
  <r>
    <x v="502"/>
    <n v="200"/>
    <s v="ONLINE Z1534208556 Lloyd THOMAS L"/>
    <x v="1"/>
  </r>
  <r>
    <x v="503"/>
    <n v="-346.25"/>
    <s v="INTERNET BPAY HOBSONS BAY COUNCIL 59020007004"/>
    <x v="22"/>
  </r>
  <r>
    <x v="504"/>
    <n v="-367.91"/>
    <s v="INTERNET BPAY CITY WEST WATER 121739219120"/>
    <x v="23"/>
  </r>
  <r>
    <x v="505"/>
    <n v="1250"/>
    <s v="Andrew Manokaran ANDREW MANOKARAN Lloyd Thomas"/>
    <x v="2"/>
  </r>
  <r>
    <x v="505"/>
    <n v="1250"/>
    <s v="ONLINE D7104234645 sept Lloyd THOMAS L"/>
    <x v="1"/>
  </r>
  <r>
    <x v="506"/>
    <n v="-100"/>
    <s v="INTERNET TRANSFER Lloyd"/>
    <x v="19"/>
  </r>
  <r>
    <x v="507"/>
    <n v="200"/>
    <s v="Andrew - Tyquin ANDREW MANOKARAN Lloyd Thomas"/>
    <x v="2"/>
  </r>
  <r>
    <x v="508"/>
    <n v="0.03"/>
    <s v="INTEREST"/>
    <x v="16"/>
  </r>
  <r>
    <x v="509"/>
    <n v="-1135.8699999999999"/>
    <s v="INTERNET BPAY Advantedge 503712481"/>
    <x v="3"/>
  </r>
  <r>
    <x v="510"/>
    <n v="-337.55"/>
    <s v="INTERNET BPAY HOBSONS BAY COUNCIL 59020006808"/>
    <x v="5"/>
  </r>
  <r>
    <x v="510"/>
    <n v="-706.55"/>
    <s v="INTERNET BPAY HOBSONS BAY COUNCIL 59020007004"/>
    <x v="22"/>
  </r>
  <r>
    <x v="511"/>
    <n v="1250"/>
    <s v="Andrew Manokaran ANDREW MANOKARAN Lloyd Thomas"/>
    <x v="2"/>
  </r>
  <r>
    <x v="512"/>
    <n v="-100"/>
    <s v="INTERNET TRANSFER Lloyd"/>
    <x v="19"/>
  </r>
  <r>
    <x v="513"/>
    <n v="-1684.15"/>
    <s v="S311153450600 BANK-M LLOYD EDWARD THO"/>
    <x v="1"/>
  </r>
  <r>
    <x v="514"/>
    <n v="1500"/>
    <s v="Lloyd Thomas - Pay ANDREW MANOKARAN Lloyd Thomas - P"/>
    <x v="1"/>
  </r>
  <r>
    <x v="514"/>
    <n v="1684.15"/>
    <s v="ONLINE A0178226495 Linked Acc Trns THOMAS L"/>
    <x v="1"/>
  </r>
  <r>
    <x v="514"/>
    <n v="50"/>
    <s v="ONLINE B2318208892 Linked Acc Trns THOMAS L"/>
    <x v="1"/>
  </r>
  <r>
    <x v="515"/>
    <n v="-3850"/>
    <s v="INTERNET TRANSFER Ref27330 HoldenCap"/>
    <x v="34"/>
  </r>
  <r>
    <x v="515"/>
    <n v="1200"/>
    <s v="ONLINE M8181966844 Linked Acc Trns THOMAS L"/>
    <x v="1"/>
  </r>
  <r>
    <x v="516"/>
    <n v="-1135.8699999999999"/>
    <s v="INTERNET BPAY       Advantedge          503712481"/>
    <x v="3"/>
  </r>
  <r>
    <x v="516"/>
    <n v="1250"/>
    <s v="ONLINE  S6533454987 Linked Acc Trns     THOMAS L"/>
    <x v="1"/>
  </r>
  <r>
    <x v="517"/>
    <n v="1250"/>
    <s v="Andrew Manokaran   ANDREW MANOKARAN"/>
    <x v="2"/>
  </r>
  <r>
    <x v="518"/>
    <n v="-2035"/>
    <s v="INTERNET TRANSFER 01255256 Charter Check"/>
    <x v="29"/>
  </r>
  <r>
    <x v="518"/>
    <n v="4000"/>
    <s v="ONLINE F5233545192 Linked Acc Trns THOMAS L"/>
    <x v="1"/>
  </r>
  <r>
    <x v="518"/>
    <n v="4000"/>
    <s v="Tyquin St Project ANDREW MANOKARAN Lloyd Thomas - P"/>
    <x v="2"/>
  </r>
  <r>
    <x v="519"/>
    <n v="-100"/>
    <s v="INTERNET TRANSFER Lloyd"/>
    <x v="1"/>
  </r>
  <r>
    <x v="520"/>
    <n v="-4950"/>
    <s v="INTERNET TRANSFER Lloyd Thomas - Trilogy"/>
    <x v="35"/>
  </r>
  <r>
    <x v="520"/>
    <n v="-70"/>
    <s v="INTERNET TRANSFER Weed Tyquin St"/>
    <x v="18"/>
  </r>
  <r>
    <x v="520"/>
    <n v="-70"/>
    <s v="INTERNET TRANSFER Weed Tyquin St"/>
    <x v="18"/>
  </r>
  <r>
    <x v="521"/>
    <n v="-1800.29"/>
    <s v="INTERNET BPAY Advantedge 503712481"/>
    <x v="11"/>
  </r>
  <r>
    <x v="521"/>
    <n v="5000"/>
    <s v="Lloyd Thomas - Pay ANDREW MANOKARAN Lloyd Thomas - P"/>
    <x v="2"/>
  </r>
  <r>
    <x v="522"/>
    <n v="-110"/>
    <s v="INTERNET BPAY TAX OFFICE PAYMENTS 001713975272144860"/>
    <x v="36"/>
  </r>
  <r>
    <x v="523"/>
    <n v="-50"/>
    <s v="ONLINE N1395427213 Linked Acc Trns THOMAS L"/>
    <x v="1"/>
  </r>
  <r>
    <x v="524"/>
    <n v="1250"/>
    <s v="Andrew Manokaran ANDREW MANOKARAN Lloyd Thomas"/>
    <x v="2"/>
  </r>
  <r>
    <x v="525"/>
    <n v="-1100"/>
    <s v="INTERNET BPAY CHARTER KECK 01258268"/>
    <x v="29"/>
  </r>
  <r>
    <x v="525"/>
    <n v="-337"/>
    <s v="INTERNET BPAY HOBSONS BAY COUNCIL 59020006808"/>
    <x v="5"/>
  </r>
  <r>
    <x v="525"/>
    <n v="-141.93"/>
    <s v="INTERNET BPAY CITY WEST WATER 121739219120"/>
    <x v="23"/>
  </r>
  <r>
    <x v="525"/>
    <n v="-141.93"/>
    <s v="INTERNET BPAY CITY WEST WATER 121739220138"/>
    <x v="12"/>
  </r>
  <r>
    <x v="526"/>
    <n v="-726"/>
    <s v="INTERNET TRANSFER 1212-BPB - Architect"/>
    <x v="24"/>
  </r>
  <r>
    <x v="527"/>
    <n v="-100"/>
    <s v="INTERNET TRANSFER Lloyd"/>
    <x v="1"/>
  </r>
  <r>
    <x v="528"/>
    <n v="-4000"/>
    <s v="ONLINE Y6978284862 Linked Acc Trns THOMAS L (Building Permit to CC)"/>
    <x v="24"/>
  </r>
  <r>
    <x v="529"/>
    <n v="-1800.29"/>
    <s v="PTVL ADV Advantedge LLOYD THOMAS"/>
    <x v="11"/>
  </r>
  <r>
    <x v="529"/>
    <n v="1500"/>
    <s v="ONLINE C9592918912 Lloyd THOMAS L"/>
    <x v="1"/>
  </r>
  <r>
    <x v="530"/>
    <n v="0.06"/>
    <s v="INTEREST"/>
    <x v="37"/>
  </r>
  <r>
    <x v="531"/>
    <n v="-14411.1"/>
    <s v="Building Warrenty"/>
    <x v="38"/>
  </r>
  <r>
    <x v="532"/>
    <n v="-1667.32"/>
    <s v="Building Warrenty"/>
    <x v="38"/>
  </r>
  <r>
    <x v="533"/>
    <n v="1250"/>
    <s v="Andrew Manokaran    ANDREW MANOKARAN"/>
    <x v="2"/>
  </r>
  <r>
    <x v="534"/>
    <n v="-100"/>
    <s v="INTERNET TRANSFER Lloyd"/>
    <x v="1"/>
  </r>
  <r>
    <x v="535"/>
    <n v="-1789.83"/>
    <s v="PTVL ADV Advantedge LLOYD THOMAS"/>
    <x v="3"/>
  </r>
  <r>
    <x v="535"/>
    <n v="500"/>
    <s v="Tyquin ANDREW MANOKARAN Lloyd Thomas - P"/>
    <x v="2"/>
  </r>
  <r>
    <x v="535"/>
    <n v="1000"/>
    <s v="ONLINE H3074958618 Linked Acc Trns THOMAS L"/>
    <x v="1"/>
  </r>
  <r>
    <x v="536"/>
    <n v="100"/>
    <s v="ONLINE P3744404339 Linked Acc Trns THOMAS L"/>
    <x v="1"/>
  </r>
  <r>
    <x v="537"/>
    <n v="50"/>
    <s v="ONLINE N9257695224 Linked Acc Trns THOMAS L"/>
    <x v="1"/>
  </r>
  <r>
    <x v="538"/>
    <n v="-9566.4"/>
    <s v="INTERNET BPAY CITY WEST WATER 999141413107"/>
    <x v="39"/>
  </r>
  <r>
    <x v="538"/>
    <n v="-5729.9"/>
    <s v="INTERNET TRANSFER 6981BPRema"/>
    <x v="28"/>
  </r>
  <r>
    <x v="538"/>
    <n v="-605"/>
    <s v="INTERNET TRANSFER B551003"/>
    <x v="31"/>
  </r>
  <r>
    <x v="539"/>
    <n v="-1986.2"/>
    <s v="ONLINE V2462705736 VBA Building Permi THOMAS L"/>
    <x v="28"/>
  </r>
  <r>
    <x v="539"/>
    <n v="1250"/>
    <s v="Andrew Manokaran ANDREW MANOKARAN Lloyd Thomas"/>
    <x v="2"/>
  </r>
  <r>
    <x v="540"/>
    <n v="-100"/>
    <s v="INTERNET TRANSFER Lloyd"/>
    <x v="1"/>
  </r>
  <r>
    <x v="541"/>
    <n v="-1"/>
    <s v="lloyd thomas J6755246344"/>
    <x v="1"/>
  </r>
  <r>
    <x v="542"/>
    <n v="-1099.07"/>
    <s v="S311052458400 BANK-M ANDREW MANOKARAN"/>
    <x v="11"/>
  </r>
  <r>
    <x v="543"/>
    <n v="1099.07"/>
    <s v="REVERSAL OF DEBIT ST GEORGE MERCHANT AS311052458400"/>
    <x v="11"/>
  </r>
  <r>
    <x v="544"/>
    <n v="1000"/>
    <s v="Lewis OBrien PL Inv 0940 Credit"/>
    <x v="26"/>
  </r>
  <r>
    <x v="545"/>
    <n v="-1000"/>
    <s v="INTERNET TRANSFER Lloyd"/>
    <x v="26"/>
  </r>
  <r>
    <x v="546"/>
    <n v="-100"/>
    <s v="ONLINE M7557447265 Linked Acc Trns THOMAS L"/>
    <x v="1"/>
  </r>
  <r>
    <x v="547"/>
    <n v="700"/>
    <s v="ANDREW MANOKARAN Andrew Tyquin ProjecInterest Payment for"/>
    <x v="2"/>
  </r>
  <r>
    <x v="547"/>
    <n v="-100"/>
    <s v="INTERNET TRANSFER Lloyd"/>
    <x v="1"/>
  </r>
  <r>
    <x v="548"/>
    <n v="400"/>
    <s v="66 Tyquin Gold Build Homes Lloyd Thomas"/>
    <x v="1"/>
  </r>
  <r>
    <x v="549"/>
    <n v="-100"/>
    <s v="INTERNET TRANSFER Lloyd"/>
    <x v="1"/>
  </r>
  <r>
    <x v="550"/>
    <n v="750"/>
    <s v="ANDREW MANOKARAN Tyquin St Project"/>
    <x v="2"/>
  </r>
  <r>
    <x v="551"/>
    <n v="1750"/>
    <s v="ANDREW MANOKARAN Tyquin Street"/>
    <x v="2"/>
  </r>
  <r>
    <x v="552"/>
    <n v="-100"/>
    <s v="INTERNET TRANSFER Lloyd"/>
    <x v="1"/>
  </r>
  <r>
    <x v="553"/>
    <n v="1200"/>
    <s v="ONLINE H2251908184 Linked Acc Trns THOMAS L"/>
    <x v="1"/>
  </r>
  <r>
    <x v="554"/>
    <n v="-712.65"/>
    <s v="INTERNET BPAY HOBSONS BAY COUNCIL 59020007004"/>
    <x v="22"/>
  </r>
  <r>
    <x v="554"/>
    <n v="-283.86"/>
    <s v="INTERNET BPAY CITY WEST WATER 121739220138"/>
    <x v="12"/>
  </r>
  <r>
    <x v="555"/>
    <n v="-585"/>
    <s v="INTERNET BPAY SROVIC LAND TAX 36952910"/>
    <x v="30"/>
  </r>
  <r>
    <x v="556"/>
    <n v="-679.6"/>
    <s v="INTERNET BPAY HOBSONS BAY COUNCIL 59020006808"/>
    <x v="5"/>
  </r>
  <r>
    <x v="556"/>
    <n v="-287.19"/>
    <s v="INTERNET BPAY CITY WEST WATER 121739219120"/>
    <x v="23"/>
  </r>
  <r>
    <x v="557"/>
    <n v="-270"/>
    <s v="ONLINE  A7885986138 Linked Acc Trns     THOMAS L"/>
    <x v="1"/>
  </r>
  <r>
    <x v="557"/>
    <n v="270"/>
    <s v="ONLINE  K6015226512 Linked Acc Trns     THOMAS L"/>
    <x v="1"/>
  </r>
  <r>
    <x v="558"/>
    <n v="-100"/>
    <s v="INTERNET TRANSFER   Lloyd"/>
    <x v="1"/>
  </r>
  <r>
    <x v="558"/>
    <n v="700"/>
    <s v="ONLINE  N5066228851 Linked Acc Trns     THOMAS L"/>
    <x v="1"/>
  </r>
  <r>
    <x v="559"/>
    <n v="-733.27"/>
    <s v="INTERNET BPAY       SROVIC LAND TAX     34867884"/>
    <x v="30"/>
  </r>
  <r>
    <x v="560"/>
    <n v="1100"/>
    <s v="ANDREW MANOKARAN    Tyquin Street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Broker Fees - Holdern Capital"/>
    <x v="0"/>
    <n v="3850"/>
    <n v="350"/>
  </r>
  <r>
    <x v="1"/>
    <s v="Evalutaion - Charter Chek"/>
    <x v="1"/>
    <n v="2035"/>
    <n v="185"/>
  </r>
  <r>
    <x v="2"/>
    <s v="Triliogy - Deposit"/>
    <x v="0"/>
    <n v="4950"/>
    <n v="450"/>
  </r>
  <r>
    <x v="3"/>
    <s v="Evalutation - Charter Chek"/>
    <x v="1"/>
    <n v="1100"/>
    <n v="100"/>
  </r>
  <r>
    <x v="4"/>
    <s v="Architectect - Amend Drawings"/>
    <x v="2"/>
    <n v="726"/>
    <n v="66"/>
  </r>
  <r>
    <x v="5"/>
    <s v="Deposit 1"/>
    <x v="3"/>
    <n v="12750"/>
    <n v="1159.090909090909"/>
  </r>
  <r>
    <x v="6"/>
    <s v="Deposit 2"/>
    <x v="3"/>
    <n v="58008"/>
    <n v="5273.454545454545"/>
  </r>
  <r>
    <x v="7"/>
    <s v="Builder Payment (other contract 50K)"/>
    <x v="3"/>
    <n v="2500"/>
    <n v="227.27272727272728"/>
  </r>
  <r>
    <x v="8"/>
    <s v="Variation"/>
    <x v="4"/>
    <n v="13750"/>
    <n v="1250"/>
  </r>
  <r>
    <x v="9"/>
    <s v="QS Report"/>
    <x v="5"/>
    <n v="1100"/>
    <n v="100"/>
  </r>
  <r>
    <x v="10"/>
    <s v="Builder Payment - Base 1"/>
    <x v="3"/>
    <n v="54753.49"/>
    <n v="4977.59"/>
  </r>
  <r>
    <x v="11"/>
    <s v="Builder Payment - Slab 1"/>
    <x v="3"/>
    <n v="100418.62"/>
    <n v="9128.9654545454541"/>
  </r>
  <r>
    <x v="12"/>
    <s v="QS Report"/>
    <x v="5"/>
    <n v="1100"/>
    <n v="100"/>
  </r>
  <r>
    <x v="13"/>
    <s v="Builder Payment - Frame 1"/>
    <x v="3"/>
    <n v="65572.3"/>
    <n v="5961.1181818181822"/>
  </r>
  <r>
    <x v="13"/>
    <s v="Variation 1"/>
    <x v="6"/>
    <n v="11844"/>
    <n v="1076.7272727272727"/>
  </r>
  <r>
    <x v="14"/>
    <s v="Plumbining Application"/>
    <x v="7"/>
    <n v="773.85"/>
    <n v="70.350000000000009"/>
  </r>
  <r>
    <x v="14"/>
    <s v="QS Report"/>
    <x v="5"/>
    <n v="1100"/>
    <n v="100"/>
  </r>
  <r>
    <x v="15"/>
    <s v="Electricity "/>
    <x v="8"/>
    <n v="601.32000000000005"/>
    <n v="54.665454545454551"/>
  </r>
  <r>
    <x v="16"/>
    <s v="Legals - Twenty20 Legal"/>
    <x v="9"/>
    <n v="715"/>
    <n v="65"/>
  </r>
  <r>
    <x v="16"/>
    <s v="Legals - Twenty20 Legal"/>
    <x v="9"/>
    <n v="700"/>
    <n v="63.636363636363633"/>
  </r>
  <r>
    <x v="17"/>
    <s v="Builder Payment - Frame 2"/>
    <x v="3"/>
    <n v="97185.3"/>
    <n v="8835.0272727272732"/>
  </r>
  <r>
    <x v="18"/>
    <s v="QS Report"/>
    <x v="5"/>
    <n v="1100"/>
    <n v="100"/>
  </r>
  <r>
    <x v="19"/>
    <s v="Land Tax"/>
    <x v="10"/>
    <n v="525.70000000000005"/>
    <n v="0"/>
  </r>
  <r>
    <x v="19"/>
    <s v="Water"/>
    <x v="8"/>
    <n v="221.01"/>
    <n v="0"/>
  </r>
  <r>
    <x v="19"/>
    <s v="Water"/>
    <x v="8"/>
    <n v="214.12"/>
    <n v="0"/>
  </r>
  <r>
    <x v="20"/>
    <s v="Water"/>
    <x v="8"/>
    <n v="365.2"/>
    <n v="0"/>
  </r>
  <r>
    <x v="20"/>
    <s v="Water"/>
    <x v="8"/>
    <n v="348.04"/>
    <n v="0"/>
  </r>
  <r>
    <x v="21"/>
    <s v="Legals"/>
    <x v="9"/>
    <n v="521.4"/>
    <n v="47.4"/>
  </r>
  <r>
    <x v="22"/>
    <s v="Legals - Council"/>
    <x v="9"/>
    <n v="1500"/>
    <n v="136.36363636363637"/>
  </r>
  <r>
    <x v="23"/>
    <s v="Legals"/>
    <x v="9"/>
    <n v="2866.25"/>
    <n v="260.56818181818181"/>
  </r>
  <r>
    <x v="23"/>
    <s v="Legals - Council"/>
    <x v="9"/>
    <n v="1500"/>
    <n v="136.36363636363637"/>
  </r>
  <r>
    <x v="24"/>
    <s v="Electricity"/>
    <x v="8"/>
    <n v="273.05"/>
    <n v="24.822727272727274"/>
  </r>
  <r>
    <x v="23"/>
    <s v="Builder Payment - Frame 3"/>
    <x v="3"/>
    <n v="98198.69"/>
    <n v="8927.15"/>
  </r>
  <r>
    <x v="25"/>
    <s v="QS"/>
    <x v="5"/>
    <n v="1100"/>
    <n v="100"/>
  </r>
  <r>
    <x v="26"/>
    <s v="Darbecca Inspection Report"/>
    <x v="11"/>
    <n v="3900"/>
    <n v="354.54545454545456"/>
  </r>
  <r>
    <x v="27"/>
    <s v="Legals"/>
    <x v="9"/>
    <n v="2085.6"/>
    <n v="189.6"/>
  </r>
  <r>
    <x v="28"/>
    <s v="Legals - Council"/>
    <x v="9"/>
    <n v="625"/>
    <n v="56.81818181818182"/>
  </r>
  <r>
    <x v="29"/>
    <s v="Drabecca"/>
    <x v="11"/>
    <n v="3120"/>
    <n v="283.63636363636363"/>
  </r>
  <r>
    <x v="30"/>
    <s v="Legals"/>
    <x v="9"/>
    <n v="2346"/>
    <n v="213.27272727272728"/>
  </r>
  <r>
    <x v="30"/>
    <s v="Builder Payment - Lockup1"/>
    <x v="3"/>
    <n v="67995.25"/>
    <n v="6181.386363636364"/>
  </r>
  <r>
    <x v="31"/>
    <s v="QS"/>
    <x v="5"/>
    <n v="1100"/>
    <n v="100"/>
  </r>
  <r>
    <x v="32"/>
    <s v="Barrister"/>
    <x v="9"/>
    <n v="450"/>
    <n v="40.909090909090907"/>
  </r>
  <r>
    <x v="32"/>
    <s v="Legals"/>
    <x v="9"/>
    <n v="2563.5500000000002"/>
    <n v="233.05"/>
  </r>
  <r>
    <x v="33"/>
    <s v="iDetect"/>
    <x v="12"/>
    <n v="150.91999999999999"/>
    <n v="13.719999999999999"/>
  </r>
  <r>
    <x v="33"/>
    <s v="Fencing - CC"/>
    <x v="13"/>
    <n v="1023"/>
    <n v="93"/>
  </r>
  <r>
    <x v="34"/>
    <s v="iDEtect"/>
    <x v="12"/>
    <n v="779.5"/>
    <n v="70.86363636363636"/>
  </r>
  <r>
    <x v="35"/>
    <s v="idetect"/>
    <x v="12"/>
    <n v="220"/>
    <n v="20"/>
  </r>
  <r>
    <x v="35"/>
    <s v="Expert Report - Spot On"/>
    <x v="14"/>
    <n v="3357.2"/>
    <n v="305.2"/>
  </r>
  <r>
    <x v="36"/>
    <s v="Locks"/>
    <x v="15"/>
    <n v="77"/>
    <n v="7"/>
  </r>
  <r>
    <x v="36"/>
    <s v="Legals"/>
    <x v="9"/>
    <n v="5909.2"/>
    <n v="537.19999999999993"/>
  </r>
  <r>
    <x v="37"/>
    <s v="idetect"/>
    <x v="12"/>
    <n v="754.34"/>
    <n v="68.576363636363638"/>
  </r>
  <r>
    <x v="38"/>
    <s v="Clem Hire - Fencing "/>
    <x v="13"/>
    <n v="225.95"/>
    <n v="20.540909090909089"/>
  </r>
  <r>
    <x v="39"/>
    <s v="Water"/>
    <x v="8"/>
    <n v="27.33"/>
    <n v="0"/>
  </r>
  <r>
    <x v="39"/>
    <s v="Water"/>
    <x v="8"/>
    <n v="23.73"/>
    <n v="0"/>
  </r>
  <r>
    <x v="40"/>
    <s v="Legals"/>
    <x v="9"/>
    <n v="1894.2"/>
    <n v="172.20000000000002"/>
  </r>
  <r>
    <x v="41"/>
    <s v="iDetect"/>
    <x v="12"/>
    <n v="779.5"/>
    <n v="70.86363636363636"/>
  </r>
  <r>
    <x v="42"/>
    <s v="Electricity"/>
    <x v="8"/>
    <n v="206.94"/>
    <n v="0"/>
  </r>
  <r>
    <x v="43"/>
    <s v="Spont on Consulting - Expert Report"/>
    <x v="14"/>
    <n v="7000"/>
    <n v="636.36363636363637"/>
  </r>
  <r>
    <x v="43"/>
    <s v="Clem Hire - Fencing"/>
    <x v="13"/>
    <n v="223.3"/>
    <n v="2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94041-7830-1549-BDD7-E7ADAAC6538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5:H40" firstHeaderRow="1" firstDataRow="1" firstDataCol="1"/>
  <pivotFields count="6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axis="axisRow" showAll="0">
      <items count="47">
        <item x="16"/>
        <item h="1" x="34"/>
        <item h="1" m="1" x="41"/>
        <item h="1" m="1" x="45"/>
        <item h="1" m="1" x="40"/>
        <item h="1" m="1" x="43"/>
        <item h="1" x="32"/>
        <item h="1" x="39"/>
        <item h="1" x="28"/>
        <item x="13"/>
        <item h="1" x="2"/>
        <item h="1" x="1"/>
        <item x="15"/>
        <item h="1" x="29"/>
        <item x="33"/>
        <item h="1" x="35"/>
        <item x="8"/>
        <item x="36"/>
        <item x="6"/>
        <item x="9"/>
        <item x="10"/>
        <item x="37"/>
        <item x="3"/>
        <item x="11"/>
        <item x="30"/>
        <item h="1" x="26"/>
        <item h="1" m="1" x="44"/>
        <item x="20"/>
        <item x="18"/>
        <item h="1" x="25"/>
        <item x="19"/>
        <item x="5"/>
        <item x="22"/>
        <item x="14"/>
        <item x="0"/>
        <item x="17"/>
        <item x="4"/>
        <item h="1" x="27"/>
        <item h="1" x="7"/>
        <item h="1" x="21"/>
        <item x="12"/>
        <item x="23"/>
        <item h="1" x="24"/>
        <item h="1" m="1" x="42"/>
        <item h="1" x="31"/>
        <item h="1" x="3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25">
    <i>
      <x/>
    </i>
    <i>
      <x v="9"/>
    </i>
    <i>
      <x v="12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40"/>
    </i>
    <i>
      <x v="41"/>
    </i>
    <i t="grand">
      <x/>
    </i>
  </rowItems>
  <colItems count="1">
    <i/>
  </colItems>
  <dataFields count="1">
    <dataField name="Sum of Amount" fld="1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191EB-EB47-1042-BB3A-4C7A1C740945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5:K29" firstHeaderRow="1" firstDataRow="1" firstDataCol="1"/>
  <pivotFields count="6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axis="axisRow" showAll="0" sortType="ascending">
      <items count="47">
        <item h="1" x="16"/>
        <item x="34"/>
        <item h="1" m="1" x="42"/>
        <item h="1" m="1" x="41"/>
        <item h="1" m="1" x="45"/>
        <item h="1" m="1" x="40"/>
        <item h="1" m="1" x="43"/>
        <item h="1" x="32"/>
        <item sd="0" x="39"/>
        <item sd="0" x="28"/>
        <item x="38"/>
        <item h="1" x="13"/>
        <item h="1" x="2"/>
        <item h="1" x="1"/>
        <item h="1" x="15"/>
        <item sd="0" x="29"/>
        <item h="1" x="33"/>
        <item x="35"/>
        <item h="1" x="8"/>
        <item h="1" x="36"/>
        <item h="1" x="6"/>
        <item h="1" x="9"/>
        <item h="1" x="10"/>
        <item h="1" x="37"/>
        <item h="1" x="3"/>
        <item h="1" x="11"/>
        <item h="1" x="30"/>
        <item x="26"/>
        <item h="1" m="1" x="44"/>
        <item h="1" x="20"/>
        <item h="1" x="18"/>
        <item x="24"/>
        <item x="31"/>
        <item x="25"/>
        <item h="1" x="19"/>
        <item h="1" x="5"/>
        <item h="1" x="22"/>
        <item h="1" x="14"/>
        <item h="1" x="0"/>
        <item h="1" x="17"/>
        <item h="1" x="4"/>
        <item x="27"/>
        <item x="7"/>
        <item x="21"/>
        <item h="1" x="12"/>
        <item h="1" x="2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x="6"/>
        <item sd="0" x="7"/>
        <item t="default"/>
      </items>
    </pivotField>
  </pivotFields>
  <rowFields count="1">
    <field x="3"/>
  </rowFields>
  <rowItems count="14">
    <i>
      <x v="1"/>
    </i>
    <i>
      <x v="8"/>
    </i>
    <i>
      <x v="9"/>
    </i>
    <i>
      <x v="10"/>
    </i>
    <i>
      <x v="15"/>
    </i>
    <i>
      <x v="17"/>
    </i>
    <i>
      <x v="27"/>
    </i>
    <i>
      <x v="31"/>
    </i>
    <i>
      <x v="32"/>
    </i>
    <i>
      <x v="33"/>
    </i>
    <i>
      <x v="41"/>
    </i>
    <i>
      <x v="42"/>
    </i>
    <i>
      <x v="43"/>
    </i>
    <i t="grand">
      <x/>
    </i>
  </rowItems>
  <colItems count="1">
    <i/>
  </colItems>
  <dataFields count="1">
    <dataField name="Sum of Amount" fld="1" baseField="0" baseItem="0" numFmtId="16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E337B-01C9-4740-AEB6-AAEB8B566C4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5:N26" firstHeaderRow="1" firstDataRow="1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9">
        <item h="1" sd="0" x="2"/>
        <item h="1" sd="0" x="0"/>
        <item h="1" sd="0" x="3"/>
        <item h="1" sd="0" m="1" x="16"/>
        <item h="1" sd="0" x="6"/>
        <item h="1" sd="0" x="4"/>
        <item h="1" sd="0" x="1"/>
        <item sd="0" x="11"/>
        <item sd="0" x="14"/>
        <item sd="0" x="10"/>
        <item sd="0" x="9"/>
        <item sd="0" x="15"/>
        <item sd="0" x="5"/>
        <item sd="0" x="7"/>
        <item sd="0" x="13"/>
        <item sd="0" x="8"/>
        <item sd="0" x="12"/>
        <item sd="0" m="1" x="17"/>
        <item t="default"/>
      </items>
    </pivotField>
    <pivotField dataField="1" showAll="0"/>
    <pivotField numFmtId="4" showAll="0"/>
    <pivotField axis="axisRow" showAll="0">
      <items count="7">
        <item sd="0" x="0"/>
        <item sd="0" x="1"/>
        <item x="2"/>
        <item sd="0" x="3"/>
        <item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4">
    <field x="2"/>
    <field x="6"/>
    <field x="5"/>
    <field x="0"/>
  </rowFields>
  <rowItems count="11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Amount" fld="3" baseField="0" baseItem="0" numFmtId="164"/>
  </dataFields>
  <formats count="9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2" count="1">
            <x v="7"/>
          </reference>
        </references>
      </pivotArea>
    </format>
    <format dxfId="9">
      <pivotArea dataOnly="0" labelOnly="1" fieldPosition="0">
        <references count="1">
          <reference field="2" count="1">
            <x v="8"/>
          </reference>
        </references>
      </pivotArea>
    </format>
    <format dxfId="8">
      <pivotArea dataOnly="0" labelOnly="1" fieldPosition="0">
        <references count="1">
          <reference field="2" count="1">
            <x v="9"/>
          </reference>
        </references>
      </pivotArea>
    </format>
    <format dxfId="7">
      <pivotArea dataOnly="0" labelOnly="1" fieldPosition="0">
        <references count="1">
          <reference field="2" count="1">
            <x v="10"/>
          </reference>
        </references>
      </pivotArea>
    </format>
    <format dxfId="6">
      <pivotArea dataOnly="0" labelOnly="1" fieldPosition="0">
        <references count="1">
          <reference field="2" count="1">
            <x v="13"/>
          </reference>
        </references>
      </pivotArea>
    </format>
    <format dxfId="5">
      <pivotArea dataOnly="0" labelOnly="1" fieldPosition="0">
        <references count="1">
          <reference field="2" count="1">
            <x v="15"/>
          </reference>
        </references>
      </pivotArea>
    </format>
    <format dxfId="4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FD974-CA39-1047-A3AC-E5D805BFE61F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5:Q19" firstHeaderRow="1" firstDataRow="1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9">
        <item h="1" sd="0" x="2"/>
        <item h="1" sd="0" x="0"/>
        <item sd="0" x="3"/>
        <item sd="0" m="1" x="16"/>
        <item sd="0" x="6"/>
        <item sd="0" x="4"/>
        <item h="1" sd="0" x="1"/>
        <item h="1" sd="0" x="11"/>
        <item h="1" sd="0" x="14"/>
        <item h="1" sd="0" x="10"/>
        <item h="1" sd="0" x="9"/>
        <item h="1" sd="0" x="15"/>
        <item h="1" sd="0" x="5"/>
        <item h="1" sd="0" x="7"/>
        <item h="1" sd="0" x="13"/>
        <item h="1" sd="0" x="8"/>
        <item h="1" sd="0" x="12"/>
        <item h="1" sd="0" m="1" x="17"/>
        <item t="default"/>
      </items>
    </pivotField>
    <pivotField dataField="1" showAll="0"/>
    <pivotField numFmtId="4" showAll="0"/>
    <pivotField axis="axisRow" showAll="0">
      <items count="7">
        <item sd="0" x="0"/>
        <item sd="0" x="1"/>
        <item sd="0" x="2"/>
        <item sd="0" x="3"/>
        <item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4">
    <field x="2"/>
    <field x="6"/>
    <field x="5"/>
    <field x="0"/>
  </rowFields>
  <rowItems count="4">
    <i>
      <x v="2"/>
    </i>
    <i>
      <x v="4"/>
    </i>
    <i>
      <x v="5"/>
    </i>
    <i t="grand">
      <x/>
    </i>
  </rowItems>
  <colItems count="1">
    <i/>
  </colItems>
  <dataFields count="1">
    <dataField name="Sum of Amount" fld="3" baseField="0" baseItem="0" numFmtId="164"/>
  </dataFields>
  <formats count="2">
    <format dxfId="14">
      <pivotArea outline="0" collapsedLevelsAreSubtotals="1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B15BD-4DD4-DB42-8A28-948A9EA7C04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53" firstHeaderRow="1" firstDataRow="1" firstDataCol="1"/>
  <pivotFields count="6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axis="axisRow" showAll="0">
      <items count="47">
        <item x="16"/>
        <item x="34"/>
        <item m="1" x="41"/>
        <item m="1" x="45"/>
        <item m="1" x="40"/>
        <item m="1" x="43"/>
        <item h="1" x="32"/>
        <item x="39"/>
        <item x="28"/>
        <item x="13"/>
        <item h="1" x="2"/>
        <item h="1" x="1"/>
        <item x="15"/>
        <item x="29"/>
        <item x="33"/>
        <item x="35"/>
        <item x="8"/>
        <item x="36"/>
        <item x="6"/>
        <item x="9"/>
        <item x="10"/>
        <item x="37"/>
        <item x="3"/>
        <item x="11"/>
        <item x="30"/>
        <item x="26"/>
        <item m="1" x="44"/>
        <item x="20"/>
        <item x="18"/>
        <item x="25"/>
        <item x="19"/>
        <item x="5"/>
        <item x="22"/>
        <item x="14"/>
        <item x="0"/>
        <item x="17"/>
        <item x="4"/>
        <item x="27"/>
        <item x="7"/>
        <item x="21"/>
        <item x="12"/>
        <item x="23"/>
        <item x="24"/>
        <item m="1" x="42"/>
        <item x="31"/>
        <item x="3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38">
    <i>
      <x/>
    </i>
    <i>
      <x v="1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 t="grand">
      <x/>
    </i>
  </rowItems>
  <colItems count="1">
    <i/>
  </colItems>
  <dataFields count="1">
    <dataField name="Sum of Amount" fld="1" baseField="0" baseItem="0" numFmtId="164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F3EA-521A-7142-B9D8-D56D5C47C401}">
  <dimension ref="A2:Q265"/>
  <sheetViews>
    <sheetView tabSelected="1" topLeftCell="D1" workbookViewId="0">
      <selection activeCell="G10" sqref="G10:H10"/>
    </sheetView>
  </sheetViews>
  <sheetFormatPr baseColWidth="10" defaultRowHeight="16" x14ac:dyDescent="0.2"/>
  <cols>
    <col min="1" max="1" width="33.83203125" bestFit="1" customWidth="1"/>
    <col min="4" max="4" width="33.83203125" bestFit="1" customWidth="1"/>
    <col min="5" max="5" width="15.83203125" style="1" bestFit="1" customWidth="1"/>
    <col min="7" max="7" width="36" customWidth="1"/>
    <col min="8" max="8" width="12.6640625" style="1" customWidth="1"/>
    <col min="9" max="9" width="13.33203125" bestFit="1" customWidth="1"/>
    <col min="10" max="10" width="35" customWidth="1"/>
    <col min="11" max="11" width="15.83203125" style="1" bestFit="1" customWidth="1"/>
    <col min="13" max="13" width="28" bestFit="1" customWidth="1"/>
    <col min="14" max="14" width="15.83203125" style="1" bestFit="1" customWidth="1"/>
    <col min="16" max="16" width="24.83203125" bestFit="1" customWidth="1"/>
    <col min="17" max="17" width="15.83203125" bestFit="1" customWidth="1"/>
  </cols>
  <sheetData>
    <row r="2" spans="1:17" x14ac:dyDescent="0.2">
      <c r="G2" s="51" t="s">
        <v>0</v>
      </c>
      <c r="H2" s="51"/>
      <c r="I2" s="2">
        <f>B17</f>
        <v>-45656</v>
      </c>
    </row>
    <row r="3" spans="1:17" x14ac:dyDescent="0.2">
      <c r="G3" s="51" t="s">
        <v>1</v>
      </c>
      <c r="H3" s="51"/>
      <c r="I3" s="2">
        <f>B22</f>
        <v>-64212</v>
      </c>
    </row>
    <row r="4" spans="1:17" x14ac:dyDescent="0.2">
      <c r="G4" s="51" t="s">
        <v>2</v>
      </c>
      <c r="H4" s="51"/>
      <c r="I4" s="2">
        <f>GETPIVOTDATA("Amount",$G$15)</f>
        <v>-68651.309999999983</v>
      </c>
    </row>
    <row r="5" spans="1:17" x14ac:dyDescent="0.2">
      <c r="G5" s="48" t="str">
        <f>J14</f>
        <v>Town Planning, Permits and Pre Build</v>
      </c>
      <c r="H5" s="49"/>
      <c r="I5" s="2">
        <f>GETPIVOTDATA("Amount",$J$15)</f>
        <v>-196051.37</v>
      </c>
    </row>
    <row r="6" spans="1:17" x14ac:dyDescent="0.2">
      <c r="G6" s="52" t="s">
        <v>3</v>
      </c>
      <c r="H6" s="53"/>
      <c r="I6" s="2">
        <f>B30</f>
        <v>-273083.99</v>
      </c>
    </row>
    <row r="7" spans="1:17" x14ac:dyDescent="0.2">
      <c r="G7" s="48" t="str">
        <f>M14</f>
        <v>FY21/22</v>
      </c>
      <c r="H7" s="49"/>
      <c r="I7" s="2">
        <f>-GETPIVOTDATA("Amount",$M$15)</f>
        <v>-55467.199999999997</v>
      </c>
    </row>
    <row r="8" spans="1:17" x14ac:dyDescent="0.2">
      <c r="G8" s="48"/>
      <c r="H8" s="49"/>
      <c r="I8" s="2"/>
    </row>
    <row r="9" spans="1:17" x14ac:dyDescent="0.2">
      <c r="G9" s="50" t="s">
        <v>4</v>
      </c>
      <c r="H9" s="50"/>
      <c r="I9" s="3">
        <f>SUM(I2:I7)</f>
        <v>-703121.86999999988</v>
      </c>
    </row>
    <row r="10" spans="1:17" x14ac:dyDescent="0.2">
      <c r="G10" s="50" t="s">
        <v>71</v>
      </c>
      <c r="H10" s="50"/>
      <c r="I10" s="4">
        <f>I9/2</f>
        <v>-351560.93499999994</v>
      </c>
    </row>
    <row r="14" spans="1:17" x14ac:dyDescent="0.2">
      <c r="A14" s="5" t="s">
        <v>5</v>
      </c>
      <c r="B14" s="5" t="s">
        <v>6</v>
      </c>
      <c r="D14" s="6" t="s">
        <v>2</v>
      </c>
      <c r="E14" s="6" t="s">
        <v>6</v>
      </c>
      <c r="G14" s="6" t="s">
        <v>70</v>
      </c>
      <c r="H14" s="6" t="s">
        <v>6</v>
      </c>
      <c r="J14" s="7" t="s">
        <v>7</v>
      </c>
      <c r="K14" s="7" t="s">
        <v>6</v>
      </c>
      <c r="M14" s="8" t="s">
        <v>8</v>
      </c>
      <c r="N14" s="9" t="s">
        <v>6</v>
      </c>
      <c r="P14" s="8" t="s">
        <v>9</v>
      </c>
      <c r="Q14" s="8" t="s">
        <v>6</v>
      </c>
    </row>
    <row r="15" spans="1:17" x14ac:dyDescent="0.2">
      <c r="A15" s="10" t="s">
        <v>10</v>
      </c>
      <c r="B15" s="1">
        <v>30000</v>
      </c>
      <c r="D15" s="19" t="s">
        <v>11</v>
      </c>
      <c r="E15" s="1" t="s">
        <v>12</v>
      </c>
      <c r="G15" s="19" t="s">
        <v>11</v>
      </c>
      <c r="H15" s="1" t="s">
        <v>12</v>
      </c>
      <c r="J15" s="19" t="s">
        <v>11</v>
      </c>
      <c r="K15" s="1" t="s">
        <v>12</v>
      </c>
      <c r="M15" s="19" t="s">
        <v>11</v>
      </c>
      <c r="N15" s="1" t="s">
        <v>12</v>
      </c>
      <c r="P15" s="19" t="s">
        <v>11</v>
      </c>
      <c r="Q15" s="1" t="s">
        <v>12</v>
      </c>
    </row>
    <row r="16" spans="1:17" x14ac:dyDescent="0.2">
      <c r="A16" s="10" t="s">
        <v>13</v>
      </c>
      <c r="B16" s="1">
        <v>15656</v>
      </c>
      <c r="D16" s="10" t="s">
        <v>14</v>
      </c>
      <c r="E16" s="1">
        <v>-30</v>
      </c>
      <c r="G16" s="10" t="s">
        <v>14</v>
      </c>
      <c r="H16" s="1">
        <v>-30</v>
      </c>
      <c r="J16" s="10" t="s">
        <v>15</v>
      </c>
      <c r="K16" s="1">
        <v>-3850</v>
      </c>
      <c r="M16" s="11" t="s">
        <v>16</v>
      </c>
      <c r="N16" s="1">
        <v>7020</v>
      </c>
      <c r="P16" s="10" t="s">
        <v>17</v>
      </c>
      <c r="Q16" s="1">
        <v>557381.65</v>
      </c>
    </row>
    <row r="17" spans="1:17" x14ac:dyDescent="0.2">
      <c r="A17" s="12" t="s">
        <v>18</v>
      </c>
      <c r="B17" s="12">
        <f>-SUM(B15:B16)</f>
        <v>-45656</v>
      </c>
      <c r="D17" s="10" t="s">
        <v>15</v>
      </c>
      <c r="E17" s="1">
        <v>-3850</v>
      </c>
      <c r="G17" s="10" t="s">
        <v>19</v>
      </c>
      <c r="H17" s="1">
        <v>82</v>
      </c>
      <c r="J17" s="10" t="s">
        <v>20</v>
      </c>
      <c r="K17" s="1">
        <v>-9566.4</v>
      </c>
      <c r="M17" s="11" t="s">
        <v>21</v>
      </c>
      <c r="N17" s="1">
        <v>10357.200000000001</v>
      </c>
      <c r="P17" s="10" t="s">
        <v>22</v>
      </c>
      <c r="Q17" s="1">
        <v>11844</v>
      </c>
    </row>
    <row r="18" spans="1:17" x14ac:dyDescent="0.2">
      <c r="A18" s="13"/>
      <c r="D18" s="10" t="s">
        <v>20</v>
      </c>
      <c r="E18" s="1">
        <v>-9566.4</v>
      </c>
      <c r="G18" s="10" t="s">
        <v>23</v>
      </c>
      <c r="H18" s="1">
        <v>-56.93</v>
      </c>
      <c r="J18" s="10" t="s">
        <v>24</v>
      </c>
      <c r="K18" s="1">
        <v>-11456.099999999999</v>
      </c>
      <c r="M18" s="11" t="s">
        <v>25</v>
      </c>
      <c r="N18" s="1">
        <v>525.70000000000005</v>
      </c>
      <c r="P18" s="10" t="s">
        <v>26</v>
      </c>
      <c r="Q18" s="1">
        <v>13750</v>
      </c>
    </row>
    <row r="19" spans="1:17" x14ac:dyDescent="0.2">
      <c r="A19" s="14" t="s">
        <v>27</v>
      </c>
      <c r="B19" s="15"/>
      <c r="D19" s="10" t="s">
        <v>24</v>
      </c>
      <c r="E19" s="1">
        <v>-11456.099999999999</v>
      </c>
      <c r="G19" s="10" t="s">
        <v>28</v>
      </c>
      <c r="H19" s="1">
        <v>-5</v>
      </c>
      <c r="J19" s="10" t="s">
        <v>29</v>
      </c>
      <c r="K19" s="1">
        <v>-16078.42</v>
      </c>
      <c r="M19" s="11" t="s">
        <v>30</v>
      </c>
      <c r="N19" s="1">
        <v>23676.199999999997</v>
      </c>
      <c r="P19" s="10" t="s">
        <v>31</v>
      </c>
      <c r="Q19" s="1">
        <v>582975.65</v>
      </c>
    </row>
    <row r="20" spans="1:17" x14ac:dyDescent="0.2">
      <c r="A20" s="16" t="s">
        <v>10</v>
      </c>
      <c r="B20" s="17">
        <v>37250</v>
      </c>
      <c r="D20" s="10" t="s">
        <v>19</v>
      </c>
      <c r="E20" s="1">
        <v>82</v>
      </c>
      <c r="G20" s="10" t="s">
        <v>32</v>
      </c>
      <c r="H20" s="1">
        <v>-70</v>
      </c>
      <c r="J20" s="10" t="s">
        <v>33</v>
      </c>
      <c r="K20" s="1">
        <v>-12870</v>
      </c>
      <c r="M20" s="10" t="s">
        <v>34</v>
      </c>
      <c r="N20" s="1">
        <v>77</v>
      </c>
    </row>
    <row r="21" spans="1:17" x14ac:dyDescent="0.2">
      <c r="A21" s="16" t="s">
        <v>13</v>
      </c>
      <c r="B21" s="17">
        <v>26962</v>
      </c>
      <c r="D21" s="10" t="s">
        <v>23</v>
      </c>
      <c r="E21" s="1">
        <v>-56.93</v>
      </c>
      <c r="G21" s="10" t="s">
        <v>35</v>
      </c>
      <c r="H21" s="1">
        <v>-110</v>
      </c>
      <c r="J21" s="10" t="s">
        <v>36</v>
      </c>
      <c r="K21" s="1">
        <v>-4950</v>
      </c>
      <c r="M21" s="10" t="s">
        <v>37</v>
      </c>
      <c r="N21" s="1">
        <v>6600</v>
      </c>
    </row>
    <row r="22" spans="1:17" x14ac:dyDescent="0.2">
      <c r="A22" s="12" t="s">
        <v>18</v>
      </c>
      <c r="B22" s="12">
        <f>-SUM(B20:B21)</f>
        <v>-64212</v>
      </c>
      <c r="D22" s="10" t="s">
        <v>33</v>
      </c>
      <c r="E22" s="1">
        <v>-12870</v>
      </c>
      <c r="G22" s="10" t="s">
        <v>38</v>
      </c>
      <c r="H22" s="1">
        <v>-500</v>
      </c>
      <c r="J22" s="10" t="s">
        <v>30</v>
      </c>
      <c r="K22" s="1">
        <v>-10189.18</v>
      </c>
      <c r="M22" s="10" t="s">
        <v>39</v>
      </c>
      <c r="N22" s="1">
        <v>773.85</v>
      </c>
    </row>
    <row r="23" spans="1:17" x14ac:dyDescent="0.2">
      <c r="B23" s="1"/>
      <c r="D23" s="10" t="s">
        <v>28</v>
      </c>
      <c r="E23" s="1">
        <v>-5</v>
      </c>
      <c r="G23" s="10" t="s">
        <v>40</v>
      </c>
      <c r="H23" s="1">
        <v>-3910.2299999999977</v>
      </c>
      <c r="J23" s="10" t="s">
        <v>41</v>
      </c>
      <c r="K23" s="1">
        <v>-27928</v>
      </c>
      <c r="M23" s="10" t="s">
        <v>42</v>
      </c>
      <c r="N23" s="1">
        <v>1472.25</v>
      </c>
    </row>
    <row r="24" spans="1:17" x14ac:dyDescent="0.2">
      <c r="B24" s="1"/>
      <c r="D24" s="10" t="s">
        <v>36</v>
      </c>
      <c r="E24" s="1">
        <v>-4950</v>
      </c>
      <c r="G24" s="10" t="s">
        <v>43</v>
      </c>
      <c r="H24" s="1">
        <v>-3399.3599999999974</v>
      </c>
      <c r="J24" s="10" t="s">
        <v>44</v>
      </c>
      <c r="K24" s="1">
        <v>-22757.25</v>
      </c>
      <c r="M24" s="11" t="s">
        <v>45</v>
      </c>
      <c r="N24" s="1">
        <v>2280.7399999999998</v>
      </c>
    </row>
    <row r="25" spans="1:17" x14ac:dyDescent="0.2">
      <c r="A25" s="14" t="s">
        <v>46</v>
      </c>
      <c r="B25" s="14"/>
      <c r="D25" s="10" t="s">
        <v>32</v>
      </c>
      <c r="E25" s="1">
        <v>-70</v>
      </c>
      <c r="G25" s="10" t="s">
        <v>47</v>
      </c>
      <c r="H25" s="1">
        <v>0.06</v>
      </c>
      <c r="J25" s="10" t="s">
        <v>48</v>
      </c>
      <c r="K25" s="1">
        <v>-13100</v>
      </c>
      <c r="M25" s="11" t="s">
        <v>49</v>
      </c>
      <c r="N25" s="1">
        <v>2684.26</v>
      </c>
    </row>
    <row r="26" spans="1:17" x14ac:dyDescent="0.2">
      <c r="A26" s="16" t="s">
        <v>50</v>
      </c>
      <c r="B26" s="17">
        <f>28744+63581</f>
        <v>92325</v>
      </c>
      <c r="D26" s="10" t="s">
        <v>35</v>
      </c>
      <c r="E26" s="1">
        <v>-110</v>
      </c>
      <c r="G26" s="10" t="s">
        <v>51</v>
      </c>
      <c r="H26" s="1">
        <v>-57538.090000000011</v>
      </c>
      <c r="J26" s="10" t="s">
        <v>52</v>
      </c>
      <c r="K26" s="1">
        <v>-27903.600000000002</v>
      </c>
      <c r="M26" s="10" t="s">
        <v>31</v>
      </c>
      <c r="N26" s="1">
        <v>55467.199999999997</v>
      </c>
    </row>
    <row r="27" spans="1:17" x14ac:dyDescent="0.2">
      <c r="A27" s="16" t="s">
        <v>53</v>
      </c>
      <c r="B27" s="17">
        <f>'[1]Building Contract'!F4+'[1]Building Contract'!G5+'[1]Building Contract'!F8+'[1]Building Contract'!G9</f>
        <v>70758.990000000005</v>
      </c>
      <c r="D27" s="10" t="s">
        <v>38</v>
      </c>
      <c r="E27" s="1">
        <v>-500</v>
      </c>
      <c r="G27" s="10" t="s">
        <v>54</v>
      </c>
      <c r="H27" s="1">
        <v>-59803.539999999994</v>
      </c>
      <c r="J27" s="10" t="s">
        <v>55</v>
      </c>
      <c r="K27" s="1">
        <v>-30232.42</v>
      </c>
      <c r="N27"/>
    </row>
    <row r="28" spans="1:17" x14ac:dyDescent="0.2">
      <c r="A28" s="16" t="s">
        <v>56</v>
      </c>
      <c r="B28" s="17">
        <v>30000</v>
      </c>
      <c r="D28" s="10" t="s">
        <v>40</v>
      </c>
      <c r="E28" s="1">
        <v>-3910.2299999999987</v>
      </c>
      <c r="G28" s="10" t="s">
        <v>25</v>
      </c>
      <c r="H28" s="1">
        <v>-2368.27</v>
      </c>
      <c r="J28" s="10" t="s">
        <v>57</v>
      </c>
      <c r="K28" s="1">
        <v>-5170</v>
      </c>
      <c r="N28"/>
    </row>
    <row r="29" spans="1:17" x14ac:dyDescent="0.2">
      <c r="A29" s="16" t="s">
        <v>58</v>
      </c>
      <c r="B29" s="16">
        <v>80000</v>
      </c>
      <c r="D29" s="10" t="s">
        <v>43</v>
      </c>
      <c r="E29" s="1">
        <v>-3399.3599999999988</v>
      </c>
      <c r="G29" s="10" t="s">
        <v>59</v>
      </c>
      <c r="H29" s="1">
        <v>-1172</v>
      </c>
      <c r="J29" s="10" t="s">
        <v>31</v>
      </c>
      <c r="K29" s="1">
        <v>-196051.37</v>
      </c>
      <c r="N29"/>
    </row>
    <row r="30" spans="1:17" x14ac:dyDescent="0.2">
      <c r="A30" s="12" t="s">
        <v>18</v>
      </c>
      <c r="B30" s="12">
        <f>-SUM(B26:B29)</f>
        <v>-273083.99</v>
      </c>
      <c r="D30" s="10" t="s">
        <v>47</v>
      </c>
      <c r="E30" s="1">
        <v>0.06</v>
      </c>
      <c r="G30" s="10" t="s">
        <v>60</v>
      </c>
      <c r="H30" s="1">
        <v>-1481.8</v>
      </c>
      <c r="K30"/>
    </row>
    <row r="31" spans="1:17" x14ac:dyDescent="0.2">
      <c r="D31" s="10" t="s">
        <v>51</v>
      </c>
      <c r="E31" s="1">
        <v>-57538.090000000004</v>
      </c>
      <c r="G31" s="10" t="s">
        <v>61</v>
      </c>
      <c r="H31" s="1">
        <v>-4110</v>
      </c>
      <c r="K31"/>
    </row>
    <row r="32" spans="1:17" x14ac:dyDescent="0.2">
      <c r="D32" s="10" t="s">
        <v>54</v>
      </c>
      <c r="E32" s="1">
        <v>-59803.54</v>
      </c>
      <c r="G32" s="10" t="s">
        <v>62</v>
      </c>
      <c r="H32" s="1">
        <v>-6412.2999999999993</v>
      </c>
      <c r="K32"/>
    </row>
    <row r="33" spans="4:14" x14ac:dyDescent="0.2">
      <c r="D33" s="10" t="s">
        <v>25</v>
      </c>
      <c r="E33" s="1">
        <v>-2368.27</v>
      </c>
      <c r="G33" s="10" t="s">
        <v>63</v>
      </c>
      <c r="H33" s="1">
        <v>-5227.8</v>
      </c>
      <c r="K33"/>
    </row>
    <row r="34" spans="4:14" x14ac:dyDescent="0.2">
      <c r="D34" s="10" t="s">
        <v>30</v>
      </c>
      <c r="E34" s="1">
        <v>-10189.18</v>
      </c>
      <c r="G34" s="10" t="s">
        <v>64</v>
      </c>
      <c r="H34" s="1">
        <v>-7550</v>
      </c>
      <c r="K34"/>
    </row>
    <row r="35" spans="4:14" x14ac:dyDescent="0.2">
      <c r="D35" s="10" t="s">
        <v>59</v>
      </c>
      <c r="E35" s="1">
        <v>-1172</v>
      </c>
      <c r="G35" s="10" t="s">
        <v>65</v>
      </c>
      <c r="H35" s="1">
        <v>49815.93</v>
      </c>
      <c r="K35"/>
    </row>
    <row r="36" spans="4:14" x14ac:dyDescent="0.2">
      <c r="D36" s="10" t="s">
        <v>60</v>
      </c>
      <c r="E36" s="1">
        <v>-1481.8</v>
      </c>
      <c r="G36" s="10" t="s">
        <v>66</v>
      </c>
      <c r="H36" s="1">
        <v>49392</v>
      </c>
      <c r="K36"/>
    </row>
    <row r="37" spans="4:14" x14ac:dyDescent="0.2">
      <c r="D37" s="10" t="s">
        <v>48</v>
      </c>
      <c r="E37" s="1">
        <v>-13100</v>
      </c>
      <c r="G37" s="10" t="s">
        <v>13</v>
      </c>
      <c r="H37" s="1">
        <v>-8000</v>
      </c>
      <c r="K37"/>
    </row>
    <row r="38" spans="4:14" x14ac:dyDescent="0.2">
      <c r="D38" s="10" t="s">
        <v>61</v>
      </c>
      <c r="E38" s="1">
        <v>-4110</v>
      </c>
      <c r="G38" s="10" t="s">
        <v>67</v>
      </c>
      <c r="H38" s="1">
        <v>-3273.9199999999992</v>
      </c>
      <c r="K38"/>
      <c r="N38" s="18" t="s">
        <v>68</v>
      </c>
    </row>
    <row r="39" spans="4:14" x14ac:dyDescent="0.2">
      <c r="D39" s="10" t="s">
        <v>62</v>
      </c>
      <c r="E39" s="1">
        <v>-6412.3</v>
      </c>
      <c r="G39" s="10" t="s">
        <v>69</v>
      </c>
      <c r="H39" s="1">
        <v>-2922.0599999999995</v>
      </c>
      <c r="K39"/>
    </row>
    <row r="40" spans="4:14" x14ac:dyDescent="0.2">
      <c r="D40" s="10" t="s">
        <v>63</v>
      </c>
      <c r="E40" s="1">
        <v>-5227.8</v>
      </c>
      <c r="G40" s="10" t="s">
        <v>31</v>
      </c>
      <c r="H40" s="1">
        <v>-68651.309999999983</v>
      </c>
      <c r="K40"/>
    </row>
    <row r="41" spans="4:14" x14ac:dyDescent="0.2">
      <c r="D41" s="10" t="s">
        <v>64</v>
      </c>
      <c r="E41" s="1">
        <v>-7550</v>
      </c>
      <c r="K41"/>
    </row>
    <row r="42" spans="4:14" x14ac:dyDescent="0.2">
      <c r="D42" s="10" t="s">
        <v>65</v>
      </c>
      <c r="E42" s="1">
        <v>49815.93</v>
      </c>
      <c r="K42"/>
    </row>
    <row r="43" spans="4:14" x14ac:dyDescent="0.2">
      <c r="D43" s="10" t="s">
        <v>66</v>
      </c>
      <c r="E43" s="1">
        <v>49392</v>
      </c>
      <c r="K43"/>
    </row>
    <row r="44" spans="4:14" x14ac:dyDescent="0.2">
      <c r="D44" s="10" t="s">
        <v>13</v>
      </c>
      <c r="E44" s="1">
        <v>-8000</v>
      </c>
      <c r="K44"/>
    </row>
    <row r="45" spans="4:14" x14ac:dyDescent="0.2">
      <c r="D45" s="10" t="s">
        <v>52</v>
      </c>
      <c r="E45" s="1">
        <v>-27903.600000000002</v>
      </c>
      <c r="K45"/>
    </row>
    <row r="46" spans="4:14" x14ac:dyDescent="0.2">
      <c r="D46" s="10" t="s">
        <v>55</v>
      </c>
      <c r="E46" s="1">
        <v>-30232.42</v>
      </c>
      <c r="K46"/>
    </row>
    <row r="47" spans="4:14" x14ac:dyDescent="0.2">
      <c r="D47" s="10" t="s">
        <v>57</v>
      </c>
      <c r="E47" s="1">
        <v>-5170</v>
      </c>
      <c r="K47"/>
    </row>
    <row r="48" spans="4:14" x14ac:dyDescent="0.2">
      <c r="D48" s="10" t="s">
        <v>67</v>
      </c>
      <c r="E48" s="1">
        <v>-3273.9199999999996</v>
      </c>
      <c r="K48"/>
    </row>
    <row r="49" spans="4:12" x14ac:dyDescent="0.2">
      <c r="D49" s="10" t="s">
        <v>69</v>
      </c>
      <c r="E49" s="1">
        <v>-2922.06</v>
      </c>
      <c r="K49"/>
    </row>
    <row r="50" spans="4:12" x14ac:dyDescent="0.2">
      <c r="D50" s="10" t="s">
        <v>41</v>
      </c>
      <c r="E50" s="1">
        <v>-27928</v>
      </c>
      <c r="K50"/>
    </row>
    <row r="51" spans="4:12" x14ac:dyDescent="0.2">
      <c r="D51" s="10" t="s">
        <v>44</v>
      </c>
      <c r="E51" s="1">
        <v>-22757.25</v>
      </c>
      <c r="K51"/>
    </row>
    <row r="52" spans="4:12" x14ac:dyDescent="0.2">
      <c r="D52" s="10" t="s">
        <v>29</v>
      </c>
      <c r="E52" s="1">
        <v>-16078.42</v>
      </c>
      <c r="K52"/>
      <c r="L52" s="13"/>
    </row>
    <row r="53" spans="4:12" x14ac:dyDescent="0.2">
      <c r="D53" s="10" t="s">
        <v>31</v>
      </c>
      <c r="E53" s="1">
        <v>-264702.68</v>
      </c>
      <c r="K53"/>
    </row>
    <row r="54" spans="4:12" x14ac:dyDescent="0.2">
      <c r="E54"/>
      <c r="K54"/>
    </row>
    <row r="55" spans="4:12" x14ac:dyDescent="0.2">
      <c r="E55"/>
      <c r="K55"/>
    </row>
    <row r="56" spans="4:12" x14ac:dyDescent="0.2">
      <c r="K56"/>
    </row>
    <row r="57" spans="4:12" x14ac:dyDescent="0.2">
      <c r="K57"/>
    </row>
    <row r="58" spans="4:12" x14ac:dyDescent="0.2">
      <c r="K58"/>
    </row>
    <row r="59" spans="4:12" x14ac:dyDescent="0.2">
      <c r="K59"/>
    </row>
    <row r="60" spans="4:12" x14ac:dyDescent="0.2">
      <c r="I60" s="13" t="s">
        <v>68</v>
      </c>
      <c r="K60"/>
    </row>
    <row r="61" spans="4:12" x14ac:dyDescent="0.2">
      <c r="K61"/>
    </row>
    <row r="62" spans="4:12" x14ac:dyDescent="0.2">
      <c r="K62"/>
    </row>
    <row r="63" spans="4:12" x14ac:dyDescent="0.2">
      <c r="K63"/>
    </row>
    <row r="64" spans="4:12" x14ac:dyDescent="0.2">
      <c r="K64"/>
    </row>
    <row r="65" spans="11:11" x14ac:dyDescent="0.2">
      <c r="K65"/>
    </row>
    <row r="66" spans="11:11" x14ac:dyDescent="0.2">
      <c r="K66"/>
    </row>
    <row r="67" spans="11:11" x14ac:dyDescent="0.2">
      <c r="K67"/>
    </row>
    <row r="68" spans="11:11" x14ac:dyDescent="0.2">
      <c r="K68"/>
    </row>
    <row r="69" spans="11:11" x14ac:dyDescent="0.2">
      <c r="K69"/>
    </row>
    <row r="70" spans="11:11" x14ac:dyDescent="0.2">
      <c r="K70"/>
    </row>
    <row r="71" spans="11:11" x14ac:dyDescent="0.2">
      <c r="K71"/>
    </row>
    <row r="72" spans="11:11" x14ac:dyDescent="0.2">
      <c r="K72"/>
    </row>
    <row r="73" spans="11:11" x14ac:dyDescent="0.2">
      <c r="K73"/>
    </row>
    <row r="74" spans="11:11" x14ac:dyDescent="0.2">
      <c r="K74"/>
    </row>
    <row r="75" spans="11:11" x14ac:dyDescent="0.2">
      <c r="K75"/>
    </row>
    <row r="76" spans="11:11" x14ac:dyDescent="0.2">
      <c r="K76"/>
    </row>
    <row r="77" spans="11:11" x14ac:dyDescent="0.2">
      <c r="K77"/>
    </row>
    <row r="78" spans="11:11" x14ac:dyDescent="0.2">
      <c r="K78"/>
    </row>
    <row r="79" spans="11:11" x14ac:dyDescent="0.2">
      <c r="K79"/>
    </row>
    <row r="80" spans="11:11" x14ac:dyDescent="0.2">
      <c r="K80"/>
    </row>
    <row r="81" spans="11:11" x14ac:dyDescent="0.2">
      <c r="K81"/>
    </row>
    <row r="82" spans="11:11" x14ac:dyDescent="0.2">
      <c r="K82"/>
    </row>
    <row r="83" spans="11:11" x14ac:dyDescent="0.2">
      <c r="K83"/>
    </row>
    <row r="84" spans="11:11" x14ac:dyDescent="0.2">
      <c r="K84"/>
    </row>
    <row r="85" spans="11:11" x14ac:dyDescent="0.2">
      <c r="K85"/>
    </row>
    <row r="86" spans="11:11" x14ac:dyDescent="0.2">
      <c r="K86"/>
    </row>
    <row r="87" spans="11:11" x14ac:dyDescent="0.2">
      <c r="K87"/>
    </row>
    <row r="88" spans="11:11" x14ac:dyDescent="0.2">
      <c r="K88"/>
    </row>
    <row r="89" spans="11:11" x14ac:dyDescent="0.2">
      <c r="K89"/>
    </row>
    <row r="90" spans="11:11" x14ac:dyDescent="0.2">
      <c r="K90"/>
    </row>
    <row r="91" spans="11:11" x14ac:dyDescent="0.2">
      <c r="K91"/>
    </row>
    <row r="92" spans="11:11" x14ac:dyDescent="0.2">
      <c r="K92"/>
    </row>
    <row r="93" spans="11:11" x14ac:dyDescent="0.2">
      <c r="K93"/>
    </row>
    <row r="94" spans="11:11" x14ac:dyDescent="0.2">
      <c r="K94"/>
    </row>
    <row r="95" spans="11:11" x14ac:dyDescent="0.2">
      <c r="K95"/>
    </row>
    <row r="96" spans="11:11" x14ac:dyDescent="0.2">
      <c r="K96"/>
    </row>
    <row r="97" spans="11:11" x14ac:dyDescent="0.2">
      <c r="K97"/>
    </row>
    <row r="98" spans="11:11" x14ac:dyDescent="0.2">
      <c r="K98"/>
    </row>
    <row r="99" spans="11:11" x14ac:dyDescent="0.2">
      <c r="K99"/>
    </row>
    <row r="100" spans="11:11" x14ac:dyDescent="0.2">
      <c r="K100"/>
    </row>
    <row r="101" spans="11:11" x14ac:dyDescent="0.2">
      <c r="K101"/>
    </row>
    <row r="102" spans="11:11" x14ac:dyDescent="0.2">
      <c r="K102"/>
    </row>
    <row r="103" spans="11:11" x14ac:dyDescent="0.2">
      <c r="K103"/>
    </row>
    <row r="104" spans="11:11" x14ac:dyDescent="0.2">
      <c r="K104"/>
    </row>
    <row r="105" spans="11:11" x14ac:dyDescent="0.2">
      <c r="K105"/>
    </row>
    <row r="106" spans="11:11" x14ac:dyDescent="0.2">
      <c r="K106"/>
    </row>
    <row r="107" spans="11:11" x14ac:dyDescent="0.2">
      <c r="K107"/>
    </row>
    <row r="108" spans="11:11" x14ac:dyDescent="0.2">
      <c r="K108"/>
    </row>
    <row r="109" spans="11:11" x14ac:dyDescent="0.2">
      <c r="K109"/>
    </row>
    <row r="110" spans="11:11" x14ac:dyDescent="0.2">
      <c r="K110"/>
    </row>
    <row r="111" spans="11:11" x14ac:dyDescent="0.2">
      <c r="K111"/>
    </row>
    <row r="112" spans="11:11" x14ac:dyDescent="0.2">
      <c r="K112"/>
    </row>
    <row r="113" spans="11:11" x14ac:dyDescent="0.2">
      <c r="K113"/>
    </row>
    <row r="114" spans="11:11" x14ac:dyDescent="0.2">
      <c r="K114"/>
    </row>
    <row r="115" spans="11:11" x14ac:dyDescent="0.2">
      <c r="K115"/>
    </row>
    <row r="116" spans="11:11" x14ac:dyDescent="0.2">
      <c r="K116"/>
    </row>
    <row r="117" spans="11:11" x14ac:dyDescent="0.2">
      <c r="K117"/>
    </row>
    <row r="118" spans="11:11" x14ac:dyDescent="0.2">
      <c r="K118"/>
    </row>
    <row r="119" spans="11:11" x14ac:dyDescent="0.2">
      <c r="K119"/>
    </row>
    <row r="120" spans="11:11" x14ac:dyDescent="0.2">
      <c r="K120"/>
    </row>
    <row r="121" spans="11:11" x14ac:dyDescent="0.2">
      <c r="K121"/>
    </row>
    <row r="122" spans="11:11" x14ac:dyDescent="0.2">
      <c r="K122"/>
    </row>
    <row r="123" spans="11:11" x14ac:dyDescent="0.2">
      <c r="K123"/>
    </row>
    <row r="124" spans="11:11" x14ac:dyDescent="0.2">
      <c r="K124"/>
    </row>
    <row r="125" spans="11:11" x14ac:dyDescent="0.2">
      <c r="K125"/>
    </row>
    <row r="126" spans="11:11" x14ac:dyDescent="0.2">
      <c r="K126"/>
    </row>
    <row r="127" spans="11:11" x14ac:dyDescent="0.2">
      <c r="K127"/>
    </row>
    <row r="128" spans="11:11" x14ac:dyDescent="0.2">
      <c r="K128"/>
    </row>
    <row r="129" spans="11:11" x14ac:dyDescent="0.2">
      <c r="K129"/>
    </row>
    <row r="130" spans="11:11" x14ac:dyDescent="0.2">
      <c r="K130"/>
    </row>
    <row r="131" spans="11:11" x14ac:dyDescent="0.2">
      <c r="K131"/>
    </row>
    <row r="132" spans="11:11" x14ac:dyDescent="0.2">
      <c r="K132"/>
    </row>
    <row r="133" spans="11:11" x14ac:dyDescent="0.2">
      <c r="K133"/>
    </row>
    <row r="134" spans="11:11" x14ac:dyDescent="0.2">
      <c r="K134"/>
    </row>
    <row r="135" spans="11:11" x14ac:dyDescent="0.2">
      <c r="K135"/>
    </row>
    <row r="136" spans="11:11" x14ac:dyDescent="0.2">
      <c r="K136"/>
    </row>
    <row r="137" spans="11:11" x14ac:dyDescent="0.2">
      <c r="K137"/>
    </row>
    <row r="138" spans="11:11" x14ac:dyDescent="0.2">
      <c r="K138"/>
    </row>
    <row r="139" spans="11:11" x14ac:dyDescent="0.2">
      <c r="K139"/>
    </row>
    <row r="140" spans="11:11" x14ac:dyDescent="0.2">
      <c r="K140"/>
    </row>
    <row r="141" spans="11:11" x14ac:dyDescent="0.2">
      <c r="K141"/>
    </row>
    <row r="142" spans="11:11" x14ac:dyDescent="0.2">
      <c r="K142"/>
    </row>
    <row r="143" spans="11:11" x14ac:dyDescent="0.2">
      <c r="K143"/>
    </row>
    <row r="144" spans="11:11" x14ac:dyDescent="0.2">
      <c r="K144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154" spans="11:11" x14ac:dyDescent="0.2">
      <c r="K154"/>
    </row>
    <row r="155" spans="11:11" x14ac:dyDescent="0.2">
      <c r="K155"/>
    </row>
    <row r="156" spans="11:11" x14ac:dyDescent="0.2">
      <c r="K156"/>
    </row>
    <row r="157" spans="11:11" x14ac:dyDescent="0.2">
      <c r="K157"/>
    </row>
    <row r="158" spans="11:11" x14ac:dyDescent="0.2">
      <c r="K158"/>
    </row>
    <row r="159" spans="11:11" x14ac:dyDescent="0.2">
      <c r="K159"/>
    </row>
    <row r="160" spans="11:11" x14ac:dyDescent="0.2">
      <c r="K160"/>
    </row>
    <row r="161" spans="11:11" x14ac:dyDescent="0.2">
      <c r="K161"/>
    </row>
    <row r="162" spans="11:11" x14ac:dyDescent="0.2">
      <c r="K162"/>
    </row>
    <row r="163" spans="11:11" x14ac:dyDescent="0.2">
      <c r="K163"/>
    </row>
    <row r="164" spans="11:11" x14ac:dyDescent="0.2">
      <c r="K164"/>
    </row>
    <row r="165" spans="11:11" x14ac:dyDescent="0.2">
      <c r="K165"/>
    </row>
    <row r="166" spans="11:11" x14ac:dyDescent="0.2">
      <c r="K166"/>
    </row>
    <row r="167" spans="11:11" x14ac:dyDescent="0.2">
      <c r="K167"/>
    </row>
    <row r="168" spans="11:11" x14ac:dyDescent="0.2">
      <c r="K168"/>
    </row>
    <row r="169" spans="11:11" x14ac:dyDescent="0.2">
      <c r="K169"/>
    </row>
    <row r="170" spans="11:11" x14ac:dyDescent="0.2">
      <c r="K170"/>
    </row>
    <row r="171" spans="11:11" x14ac:dyDescent="0.2">
      <c r="K171"/>
    </row>
    <row r="172" spans="11:11" x14ac:dyDescent="0.2">
      <c r="K172"/>
    </row>
    <row r="173" spans="11:11" x14ac:dyDescent="0.2">
      <c r="K173"/>
    </row>
    <row r="174" spans="11:11" x14ac:dyDescent="0.2">
      <c r="K174"/>
    </row>
    <row r="175" spans="11:11" x14ac:dyDescent="0.2">
      <c r="K175"/>
    </row>
    <row r="176" spans="11:11" x14ac:dyDescent="0.2">
      <c r="K176"/>
    </row>
    <row r="177" spans="11:11" x14ac:dyDescent="0.2">
      <c r="K177"/>
    </row>
    <row r="178" spans="11:11" x14ac:dyDescent="0.2">
      <c r="K178"/>
    </row>
    <row r="179" spans="11:11" x14ac:dyDescent="0.2">
      <c r="K179"/>
    </row>
    <row r="180" spans="11:11" x14ac:dyDescent="0.2">
      <c r="K180"/>
    </row>
    <row r="181" spans="11:11" x14ac:dyDescent="0.2">
      <c r="K181"/>
    </row>
    <row r="182" spans="11:11" x14ac:dyDescent="0.2">
      <c r="K182"/>
    </row>
    <row r="183" spans="11:11" x14ac:dyDescent="0.2">
      <c r="K183"/>
    </row>
    <row r="184" spans="11:11" x14ac:dyDescent="0.2">
      <c r="K184"/>
    </row>
    <row r="185" spans="11:11" x14ac:dyDescent="0.2">
      <c r="K185"/>
    </row>
    <row r="186" spans="11:11" x14ac:dyDescent="0.2">
      <c r="K186"/>
    </row>
    <row r="187" spans="11:11" x14ac:dyDescent="0.2">
      <c r="K187"/>
    </row>
    <row r="188" spans="11:11" x14ac:dyDescent="0.2">
      <c r="K188"/>
    </row>
    <row r="189" spans="11:11" x14ac:dyDescent="0.2">
      <c r="K189"/>
    </row>
    <row r="190" spans="11:11" x14ac:dyDescent="0.2">
      <c r="K190"/>
    </row>
    <row r="191" spans="11:11" x14ac:dyDescent="0.2">
      <c r="K191"/>
    </row>
    <row r="192" spans="11:11" x14ac:dyDescent="0.2">
      <c r="K192"/>
    </row>
    <row r="193" spans="11:11" x14ac:dyDescent="0.2">
      <c r="K193"/>
    </row>
    <row r="194" spans="11:11" x14ac:dyDescent="0.2">
      <c r="K194"/>
    </row>
    <row r="195" spans="11:11" x14ac:dyDescent="0.2">
      <c r="K195"/>
    </row>
    <row r="196" spans="11:11" x14ac:dyDescent="0.2">
      <c r="K196"/>
    </row>
    <row r="197" spans="11:11" x14ac:dyDescent="0.2">
      <c r="K197"/>
    </row>
    <row r="198" spans="11:11" x14ac:dyDescent="0.2">
      <c r="K198"/>
    </row>
    <row r="199" spans="11:11" x14ac:dyDescent="0.2">
      <c r="K199"/>
    </row>
    <row r="200" spans="11:11" x14ac:dyDescent="0.2">
      <c r="K200"/>
    </row>
    <row r="201" spans="11:11" x14ac:dyDescent="0.2">
      <c r="K201"/>
    </row>
    <row r="202" spans="11:11" x14ac:dyDescent="0.2">
      <c r="K202"/>
    </row>
    <row r="203" spans="11:11" x14ac:dyDescent="0.2">
      <c r="K203"/>
    </row>
    <row r="204" spans="11:11" x14ac:dyDescent="0.2">
      <c r="K204"/>
    </row>
    <row r="205" spans="11:11" x14ac:dyDescent="0.2">
      <c r="K205"/>
    </row>
    <row r="206" spans="11:11" x14ac:dyDescent="0.2">
      <c r="K206"/>
    </row>
    <row r="207" spans="11:11" x14ac:dyDescent="0.2">
      <c r="K207"/>
    </row>
    <row r="208" spans="11:11" x14ac:dyDescent="0.2">
      <c r="K208"/>
    </row>
    <row r="209" spans="11:11" x14ac:dyDescent="0.2">
      <c r="K209"/>
    </row>
    <row r="210" spans="11:11" x14ac:dyDescent="0.2">
      <c r="K210"/>
    </row>
    <row r="211" spans="11:11" x14ac:dyDescent="0.2">
      <c r="K211"/>
    </row>
    <row r="212" spans="11:11" x14ac:dyDescent="0.2">
      <c r="K212"/>
    </row>
    <row r="213" spans="11:11" x14ac:dyDescent="0.2">
      <c r="K213"/>
    </row>
    <row r="214" spans="11:11" x14ac:dyDescent="0.2">
      <c r="K214"/>
    </row>
    <row r="215" spans="11:11" x14ac:dyDescent="0.2">
      <c r="K215"/>
    </row>
    <row r="216" spans="11:11" x14ac:dyDescent="0.2">
      <c r="K216"/>
    </row>
    <row r="217" spans="11:11" x14ac:dyDescent="0.2">
      <c r="K217"/>
    </row>
    <row r="218" spans="11:11" x14ac:dyDescent="0.2">
      <c r="K218"/>
    </row>
    <row r="219" spans="11:11" x14ac:dyDescent="0.2">
      <c r="K219"/>
    </row>
    <row r="220" spans="11:11" x14ac:dyDescent="0.2">
      <c r="K220"/>
    </row>
    <row r="221" spans="11:11" x14ac:dyDescent="0.2">
      <c r="K221"/>
    </row>
    <row r="222" spans="11:11" x14ac:dyDescent="0.2">
      <c r="K222"/>
    </row>
    <row r="223" spans="11:11" x14ac:dyDescent="0.2">
      <c r="K223"/>
    </row>
    <row r="224" spans="11:11" x14ac:dyDescent="0.2">
      <c r="K224"/>
    </row>
    <row r="225" spans="11:11" x14ac:dyDescent="0.2">
      <c r="K225"/>
    </row>
    <row r="226" spans="11:11" x14ac:dyDescent="0.2">
      <c r="K226"/>
    </row>
    <row r="227" spans="11:11" x14ac:dyDescent="0.2">
      <c r="K227"/>
    </row>
    <row r="228" spans="11:11" x14ac:dyDescent="0.2">
      <c r="K228"/>
    </row>
    <row r="229" spans="11:11" x14ac:dyDescent="0.2">
      <c r="K229"/>
    </row>
    <row r="230" spans="11:11" x14ac:dyDescent="0.2">
      <c r="K230"/>
    </row>
    <row r="231" spans="11:11" x14ac:dyDescent="0.2">
      <c r="K231"/>
    </row>
    <row r="232" spans="11:11" x14ac:dyDescent="0.2">
      <c r="K232"/>
    </row>
    <row r="233" spans="11:11" x14ac:dyDescent="0.2">
      <c r="K233"/>
    </row>
    <row r="234" spans="11:11" x14ac:dyDescent="0.2">
      <c r="K234"/>
    </row>
    <row r="235" spans="11:11" x14ac:dyDescent="0.2">
      <c r="K235"/>
    </row>
    <row r="236" spans="11:11" x14ac:dyDescent="0.2">
      <c r="K236"/>
    </row>
    <row r="237" spans="11:11" x14ac:dyDescent="0.2">
      <c r="K237"/>
    </row>
    <row r="238" spans="11:11" x14ac:dyDescent="0.2">
      <c r="K238"/>
    </row>
    <row r="239" spans="11:11" x14ac:dyDescent="0.2">
      <c r="K239"/>
    </row>
    <row r="240" spans="11:11" x14ac:dyDescent="0.2">
      <c r="K240"/>
    </row>
    <row r="241" spans="11:11" x14ac:dyDescent="0.2">
      <c r="K241"/>
    </row>
    <row r="242" spans="11:11" x14ac:dyDescent="0.2">
      <c r="K242"/>
    </row>
    <row r="243" spans="11:11" x14ac:dyDescent="0.2">
      <c r="K243"/>
    </row>
    <row r="244" spans="11:11" x14ac:dyDescent="0.2">
      <c r="K244"/>
    </row>
    <row r="245" spans="11:11" x14ac:dyDescent="0.2">
      <c r="K245"/>
    </row>
    <row r="246" spans="11:11" x14ac:dyDescent="0.2">
      <c r="K246"/>
    </row>
    <row r="247" spans="11:11" x14ac:dyDescent="0.2">
      <c r="K247"/>
    </row>
    <row r="248" spans="11:11" x14ac:dyDescent="0.2">
      <c r="K248"/>
    </row>
    <row r="249" spans="11:11" x14ac:dyDescent="0.2">
      <c r="K249"/>
    </row>
    <row r="250" spans="11:11" x14ac:dyDescent="0.2">
      <c r="K250"/>
    </row>
    <row r="251" spans="11:11" x14ac:dyDescent="0.2">
      <c r="K251"/>
    </row>
    <row r="252" spans="11:11" x14ac:dyDescent="0.2">
      <c r="K252"/>
    </row>
    <row r="253" spans="11:11" x14ac:dyDescent="0.2">
      <c r="K253"/>
    </row>
    <row r="254" spans="11:11" x14ac:dyDescent="0.2">
      <c r="K254"/>
    </row>
    <row r="255" spans="11:11" x14ac:dyDescent="0.2">
      <c r="K255"/>
    </row>
    <row r="256" spans="11:11" x14ac:dyDescent="0.2">
      <c r="K256"/>
    </row>
    <row r="257" spans="11:11" x14ac:dyDescent="0.2">
      <c r="K257"/>
    </row>
    <row r="258" spans="11:11" x14ac:dyDescent="0.2">
      <c r="K258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</sheetData>
  <mergeCells count="9">
    <mergeCell ref="G8:H8"/>
    <mergeCell ref="G9:H9"/>
    <mergeCell ref="G10:H10"/>
    <mergeCell ref="G2:H2"/>
    <mergeCell ref="G3:H3"/>
    <mergeCell ref="G4:H4"/>
    <mergeCell ref="G5:H5"/>
    <mergeCell ref="G6:H6"/>
    <mergeCell ref="G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06F7-9242-9D4F-9EA0-9FAD6D80443A}">
  <dimension ref="A1:E1027"/>
  <sheetViews>
    <sheetView workbookViewId="0">
      <selection activeCell="I82" sqref="I82"/>
    </sheetView>
  </sheetViews>
  <sheetFormatPr baseColWidth="10" defaultRowHeight="16" x14ac:dyDescent="0.2"/>
  <cols>
    <col min="1" max="1" width="18.83203125" style="13" customWidth="1"/>
    <col min="2" max="2" width="12" style="20" customWidth="1"/>
    <col min="3" max="3" width="36.5" style="13" customWidth="1"/>
    <col min="4" max="4" width="13" style="13" bestFit="1" customWidth="1"/>
    <col min="5" max="5" width="11.33203125" style="13" bestFit="1" customWidth="1"/>
  </cols>
  <sheetData>
    <row r="1" spans="1:5" x14ac:dyDescent="0.2">
      <c r="A1" s="22"/>
      <c r="B1" s="23" t="s">
        <v>72</v>
      </c>
      <c r="C1" s="24" t="s">
        <v>73</v>
      </c>
      <c r="D1" s="25" t="s">
        <v>74</v>
      </c>
      <c r="E1" s="25" t="s">
        <v>56</v>
      </c>
    </row>
    <row r="2" spans="1:5" x14ac:dyDescent="0.2">
      <c r="A2" s="26" t="s">
        <v>75</v>
      </c>
      <c r="B2" s="27">
        <v>44132</v>
      </c>
      <c r="C2" s="28" t="s">
        <v>76</v>
      </c>
      <c r="D2" s="29">
        <v>3850</v>
      </c>
      <c r="E2" s="29">
        <f t="shared" ref="E2:E6" si="0">D2/11</f>
        <v>350</v>
      </c>
    </row>
    <row r="3" spans="1:5" x14ac:dyDescent="0.2">
      <c r="A3" s="28"/>
      <c r="B3" s="27">
        <v>44154</v>
      </c>
      <c r="C3" s="28" t="s">
        <v>77</v>
      </c>
      <c r="D3" s="29">
        <v>2035</v>
      </c>
      <c r="E3" s="29">
        <f t="shared" si="0"/>
        <v>185</v>
      </c>
    </row>
    <row r="4" spans="1:5" x14ac:dyDescent="0.2">
      <c r="A4" s="28"/>
      <c r="B4" s="27">
        <v>44159</v>
      </c>
      <c r="C4" s="28" t="s">
        <v>78</v>
      </c>
      <c r="D4" s="29">
        <v>4950</v>
      </c>
      <c r="E4" s="29">
        <f t="shared" si="0"/>
        <v>450</v>
      </c>
    </row>
    <row r="5" spans="1:5" x14ac:dyDescent="0.2">
      <c r="A5" s="28"/>
      <c r="B5" s="27">
        <v>44180</v>
      </c>
      <c r="C5" s="28" t="s">
        <v>79</v>
      </c>
      <c r="D5" s="29">
        <v>110</v>
      </c>
      <c r="E5" s="29">
        <f t="shared" si="0"/>
        <v>10</v>
      </c>
    </row>
    <row r="6" spans="1:5" x14ac:dyDescent="0.2">
      <c r="A6" s="28"/>
      <c r="B6" s="27">
        <v>44183</v>
      </c>
      <c r="C6" s="28" t="s">
        <v>80</v>
      </c>
      <c r="D6" s="29">
        <v>726</v>
      </c>
      <c r="E6" s="29">
        <f t="shared" si="0"/>
        <v>66</v>
      </c>
    </row>
    <row r="7" spans="1:5" x14ac:dyDescent="0.2">
      <c r="A7" s="30" t="s">
        <v>18</v>
      </c>
      <c r="B7" s="31"/>
      <c r="C7" s="28"/>
      <c r="D7" s="32">
        <f t="shared" ref="D7:E7" si="1">SUM(D2:D6)</f>
        <v>11671</v>
      </c>
      <c r="E7" s="32">
        <f t="shared" si="1"/>
        <v>1061</v>
      </c>
    </row>
    <row r="8" spans="1:5" x14ac:dyDescent="0.2">
      <c r="A8" s="28"/>
      <c r="B8" s="31"/>
      <c r="C8" s="28"/>
      <c r="D8" s="32"/>
      <c r="E8" s="32"/>
    </row>
    <row r="9" spans="1:5" x14ac:dyDescent="0.2">
      <c r="A9" s="26" t="s">
        <v>81</v>
      </c>
      <c r="B9" s="27">
        <v>44202</v>
      </c>
      <c r="C9" s="28" t="s">
        <v>29</v>
      </c>
      <c r="D9" s="29">
        <v>14411.1</v>
      </c>
      <c r="E9" s="29">
        <f t="shared" ref="E9:E10" si="2">D9/11</f>
        <v>1310.1000000000001</v>
      </c>
    </row>
    <row r="10" spans="1:5" x14ac:dyDescent="0.2">
      <c r="A10" s="28"/>
      <c r="B10" s="27">
        <v>44203</v>
      </c>
      <c r="C10" s="28" t="s">
        <v>29</v>
      </c>
      <c r="D10" s="29">
        <v>1667.32</v>
      </c>
      <c r="E10" s="29">
        <f t="shared" si="2"/>
        <v>151.57454545454544</v>
      </c>
    </row>
    <row r="11" spans="1:5" x14ac:dyDescent="0.2">
      <c r="A11" s="30" t="s">
        <v>18</v>
      </c>
      <c r="B11" s="31"/>
      <c r="C11" s="28"/>
      <c r="D11" s="32">
        <f t="shared" ref="D11:E11" si="3">SUM(D9:D10)</f>
        <v>16078.42</v>
      </c>
      <c r="E11" s="32">
        <f t="shared" si="3"/>
        <v>1461.6745454545455</v>
      </c>
    </row>
    <row r="12" spans="1:5" x14ac:dyDescent="0.2">
      <c r="A12" s="28"/>
      <c r="B12" s="31"/>
      <c r="C12" s="28"/>
      <c r="D12" s="29"/>
      <c r="E12" s="29"/>
    </row>
    <row r="13" spans="1:5" x14ac:dyDescent="0.2">
      <c r="A13" s="28" t="s">
        <v>82</v>
      </c>
      <c r="B13" s="27">
        <v>44236</v>
      </c>
      <c r="C13" s="28" t="s">
        <v>83</v>
      </c>
      <c r="D13" s="33">
        <v>12750</v>
      </c>
      <c r="E13" s="29">
        <f>D13/11</f>
        <v>1159.090909090909</v>
      </c>
    </row>
    <row r="14" spans="1:5" x14ac:dyDescent="0.2">
      <c r="A14" s="28"/>
      <c r="B14" s="27">
        <v>44236</v>
      </c>
      <c r="C14" s="28" t="s">
        <v>84</v>
      </c>
      <c r="D14" s="33">
        <v>58008</v>
      </c>
      <c r="E14" s="29">
        <f>D14/11</f>
        <v>5273.454545454545</v>
      </c>
    </row>
    <row r="15" spans="1:5" x14ac:dyDescent="0.2">
      <c r="A15" s="30" t="s">
        <v>18</v>
      </c>
      <c r="B15" s="27"/>
      <c r="C15" s="28"/>
      <c r="D15" s="34">
        <f>SUM(D13:D14)</f>
        <v>70758</v>
      </c>
      <c r="E15" s="32">
        <f>SUM(E13:E14)</f>
        <v>6432.545454545454</v>
      </c>
    </row>
    <row r="16" spans="1:5" x14ac:dyDescent="0.2">
      <c r="A16" s="28"/>
      <c r="B16" s="31"/>
      <c r="C16" s="28"/>
      <c r="D16" s="29"/>
      <c r="E16" s="29"/>
    </row>
    <row r="17" spans="1:5" x14ac:dyDescent="0.2">
      <c r="A17" s="28" t="s">
        <v>85</v>
      </c>
      <c r="B17" s="31"/>
      <c r="C17" s="28" t="s">
        <v>86</v>
      </c>
      <c r="D17" s="29">
        <v>2500</v>
      </c>
      <c r="E17" s="29">
        <f t="shared" ref="E17:E18" si="4">D17/11</f>
        <v>227.27272727272728</v>
      </c>
    </row>
    <row r="18" spans="1:5" x14ac:dyDescent="0.2">
      <c r="A18" s="28"/>
      <c r="B18" s="27">
        <v>44267</v>
      </c>
      <c r="C18" s="28" t="s">
        <v>87</v>
      </c>
      <c r="D18" s="29">
        <v>13750</v>
      </c>
      <c r="E18" s="29">
        <f t="shared" si="4"/>
        <v>1250</v>
      </c>
    </row>
    <row r="19" spans="1:5" x14ac:dyDescent="0.2">
      <c r="A19" s="30" t="s">
        <v>18</v>
      </c>
      <c r="B19" s="31"/>
      <c r="C19" s="28"/>
      <c r="D19" s="32">
        <f t="shared" ref="D19:E19" si="5">SUM(D17:D18)</f>
        <v>16250</v>
      </c>
      <c r="E19" s="32">
        <f t="shared" si="5"/>
        <v>1477.2727272727273</v>
      </c>
    </row>
    <row r="20" spans="1:5" x14ac:dyDescent="0.2">
      <c r="A20" s="28"/>
      <c r="B20" s="31"/>
      <c r="C20" s="28"/>
      <c r="D20" s="32"/>
      <c r="E20" s="32"/>
    </row>
    <row r="21" spans="1:5" x14ac:dyDescent="0.2">
      <c r="A21" s="28" t="s">
        <v>88</v>
      </c>
      <c r="B21" s="31"/>
      <c r="C21" s="28"/>
      <c r="D21" s="29"/>
      <c r="E21" s="29"/>
    </row>
    <row r="22" spans="1:5" x14ac:dyDescent="0.2">
      <c r="A22" s="28"/>
      <c r="B22" s="27">
        <v>44293</v>
      </c>
      <c r="C22" s="28" t="s">
        <v>89</v>
      </c>
      <c r="D22" s="29">
        <v>1100</v>
      </c>
      <c r="E22" s="29">
        <f>D22/11</f>
        <v>100</v>
      </c>
    </row>
    <row r="23" spans="1:5" x14ac:dyDescent="0.2">
      <c r="A23" s="28"/>
      <c r="B23" s="27">
        <v>44299</v>
      </c>
      <c r="C23" s="28" t="s">
        <v>90</v>
      </c>
      <c r="D23" s="29">
        <v>54753.49</v>
      </c>
      <c r="E23" s="29">
        <f>D23/11</f>
        <v>4977.59</v>
      </c>
    </row>
    <row r="24" spans="1:5" x14ac:dyDescent="0.2">
      <c r="A24" s="28"/>
      <c r="B24" s="27">
        <v>44313</v>
      </c>
      <c r="C24" s="28" t="s">
        <v>91</v>
      </c>
      <c r="D24" s="29">
        <v>100418.62</v>
      </c>
      <c r="E24" s="29">
        <f>D24/11</f>
        <v>9128.9654545454541</v>
      </c>
    </row>
    <row r="25" spans="1:5" x14ac:dyDescent="0.2">
      <c r="A25" s="30" t="s">
        <v>18</v>
      </c>
      <c r="B25" s="31"/>
      <c r="C25" s="28"/>
      <c r="D25" s="32">
        <f t="shared" ref="D25:E25" si="6">SUM(D22:D24)</f>
        <v>156272.10999999999</v>
      </c>
      <c r="E25" s="32">
        <f t="shared" si="6"/>
        <v>14206.555454545454</v>
      </c>
    </row>
    <row r="26" spans="1:5" x14ac:dyDescent="0.2">
      <c r="A26" s="28"/>
      <c r="B26" s="31"/>
      <c r="C26" s="28"/>
      <c r="D26" s="29"/>
      <c r="E26" s="29"/>
    </row>
    <row r="27" spans="1:5" x14ac:dyDescent="0.2">
      <c r="A27" s="28" t="s">
        <v>92</v>
      </c>
      <c r="B27" s="27">
        <v>44321</v>
      </c>
      <c r="C27" s="28" t="s">
        <v>89</v>
      </c>
      <c r="D27" s="32">
        <v>1100</v>
      </c>
      <c r="E27" s="32">
        <f>D27/11</f>
        <v>100</v>
      </c>
    </row>
    <row r="28" spans="1:5" x14ac:dyDescent="0.2">
      <c r="A28" s="28"/>
      <c r="B28" s="31"/>
      <c r="C28" s="28"/>
      <c r="D28" s="29"/>
      <c r="E28" s="29"/>
    </row>
    <row r="29" spans="1:5" x14ac:dyDescent="0.2">
      <c r="A29" s="28" t="s">
        <v>93</v>
      </c>
      <c r="B29" s="27">
        <v>44368</v>
      </c>
      <c r="C29" s="28" t="s">
        <v>94</v>
      </c>
      <c r="D29" s="29">
        <f>59611.15+5961.15</f>
        <v>65572.3</v>
      </c>
      <c r="E29" s="29">
        <f>D29/11</f>
        <v>5961.1181818181822</v>
      </c>
    </row>
    <row r="30" spans="1:5" x14ac:dyDescent="0.2">
      <c r="A30" s="28"/>
      <c r="B30" s="27">
        <v>44368</v>
      </c>
      <c r="C30" s="28" t="s">
        <v>95</v>
      </c>
      <c r="D30" s="29">
        <v>11844</v>
      </c>
      <c r="E30" s="29">
        <f t="shared" ref="E30:E32" si="7">D30/11</f>
        <v>1076.7272727272727</v>
      </c>
    </row>
    <row r="31" spans="1:5" x14ac:dyDescent="0.2">
      <c r="A31" s="28"/>
      <c r="B31" s="27">
        <v>44375</v>
      </c>
      <c r="C31" s="28" t="s">
        <v>96</v>
      </c>
      <c r="D31" s="29">
        <v>773.85</v>
      </c>
      <c r="E31" s="29">
        <f t="shared" si="7"/>
        <v>70.350000000000009</v>
      </c>
    </row>
    <row r="32" spans="1:5" x14ac:dyDescent="0.2">
      <c r="A32" s="28"/>
      <c r="B32" s="27">
        <v>44375</v>
      </c>
      <c r="C32" s="28" t="s">
        <v>89</v>
      </c>
      <c r="D32" s="29">
        <v>1100</v>
      </c>
      <c r="E32" s="29">
        <f t="shared" si="7"/>
        <v>100</v>
      </c>
    </row>
    <row r="33" spans="1:5" x14ac:dyDescent="0.2">
      <c r="A33" s="30" t="s">
        <v>18</v>
      </c>
      <c r="B33" s="35"/>
      <c r="C33" s="28"/>
      <c r="D33" s="36">
        <f t="shared" ref="D33:E33" si="8">SUM(D29:D32)</f>
        <v>79290.150000000009</v>
      </c>
      <c r="E33" s="36">
        <f t="shared" si="8"/>
        <v>7208.1954545454555</v>
      </c>
    </row>
    <row r="34" spans="1:5" x14ac:dyDescent="0.2">
      <c r="A34" s="16"/>
      <c r="B34" s="37"/>
      <c r="C34" s="28"/>
      <c r="D34" s="38"/>
      <c r="E34" s="38"/>
    </row>
    <row r="35" spans="1:5" x14ac:dyDescent="0.2">
      <c r="A35" s="39" t="s">
        <v>124</v>
      </c>
      <c r="B35" s="37"/>
      <c r="C35" s="28" t="s">
        <v>97</v>
      </c>
      <c r="D35" s="36">
        <v>601.32000000000005</v>
      </c>
      <c r="E35" s="36">
        <f>D35/11</f>
        <v>54.665454545454551</v>
      </c>
    </row>
    <row r="36" spans="1:5" x14ac:dyDescent="0.2">
      <c r="A36" s="16"/>
      <c r="B36" s="37"/>
      <c r="C36" s="28"/>
      <c r="D36" s="38"/>
      <c r="E36" s="38"/>
    </row>
    <row r="37" spans="1:5" x14ac:dyDescent="0.2">
      <c r="A37" s="39" t="s">
        <v>98</v>
      </c>
      <c r="B37" s="40">
        <v>44438</v>
      </c>
      <c r="C37" s="28" t="s">
        <v>99</v>
      </c>
      <c r="D37" s="38">
        <v>715</v>
      </c>
      <c r="E37" s="38">
        <f>D37/11</f>
        <v>65</v>
      </c>
    </row>
    <row r="38" spans="1:5" x14ac:dyDescent="0.2">
      <c r="A38" s="39"/>
      <c r="B38" s="40">
        <v>44438</v>
      </c>
      <c r="C38" s="28" t="s">
        <v>99</v>
      </c>
      <c r="D38" s="38">
        <v>700</v>
      </c>
      <c r="E38" s="38">
        <f>D38/11</f>
        <v>63.636363636363633</v>
      </c>
    </row>
    <row r="39" spans="1:5" x14ac:dyDescent="0.2">
      <c r="A39" s="16"/>
      <c r="B39" s="40">
        <v>44439</v>
      </c>
      <c r="C39" s="28" t="s">
        <v>100</v>
      </c>
      <c r="D39" s="38">
        <f>88350.27+8835.03</f>
        <v>97185.3</v>
      </c>
      <c r="E39" s="38">
        <f>D39/11</f>
        <v>8835.0272727272732</v>
      </c>
    </row>
    <row r="40" spans="1:5" x14ac:dyDescent="0.2">
      <c r="A40" s="30" t="s">
        <v>18</v>
      </c>
      <c r="B40" s="41"/>
      <c r="C40" s="28"/>
      <c r="D40" s="42">
        <f>SUM(D37:D39)</f>
        <v>98600.3</v>
      </c>
      <c r="E40" s="42">
        <f>D40/11</f>
        <v>8963.6636363636371</v>
      </c>
    </row>
    <row r="41" spans="1:5" x14ac:dyDescent="0.2">
      <c r="A41" s="16"/>
      <c r="B41" s="40"/>
      <c r="C41" s="28"/>
      <c r="D41" s="38"/>
      <c r="E41" s="38"/>
    </row>
    <row r="42" spans="1:5" x14ac:dyDescent="0.2">
      <c r="A42" s="39" t="s">
        <v>101</v>
      </c>
      <c r="B42" s="40">
        <v>44445</v>
      </c>
      <c r="C42" s="28" t="s">
        <v>89</v>
      </c>
      <c r="D42" s="42">
        <v>1100</v>
      </c>
      <c r="E42" s="42">
        <f>D42/11</f>
        <v>100</v>
      </c>
    </row>
    <row r="43" spans="1:5" x14ac:dyDescent="0.2">
      <c r="A43" s="16"/>
      <c r="B43" s="40"/>
      <c r="C43" s="28"/>
      <c r="D43" s="38"/>
      <c r="E43" s="38"/>
    </row>
    <row r="44" spans="1:5" x14ac:dyDescent="0.2">
      <c r="A44" s="39" t="s">
        <v>102</v>
      </c>
      <c r="B44" s="40">
        <v>44489</v>
      </c>
      <c r="C44" s="28" t="s">
        <v>25</v>
      </c>
      <c r="D44" s="38">
        <v>525.70000000000005</v>
      </c>
      <c r="E44" s="38">
        <v>0</v>
      </c>
    </row>
    <row r="45" spans="1:5" x14ac:dyDescent="0.2">
      <c r="A45" s="16"/>
      <c r="B45" s="40">
        <v>44489</v>
      </c>
      <c r="C45" s="28" t="s">
        <v>103</v>
      </c>
      <c r="D45" s="38">
        <v>221.01</v>
      </c>
      <c r="E45" s="38">
        <v>0</v>
      </c>
    </row>
    <row r="46" spans="1:5" x14ac:dyDescent="0.2">
      <c r="B46" s="40">
        <v>44489</v>
      </c>
      <c r="C46" s="28" t="s">
        <v>103</v>
      </c>
      <c r="D46" s="38">
        <v>214.12</v>
      </c>
      <c r="E46" s="38">
        <v>0</v>
      </c>
    </row>
    <row r="47" spans="1:5" x14ac:dyDescent="0.2">
      <c r="A47" s="30" t="s">
        <v>18</v>
      </c>
      <c r="B47" s="40"/>
      <c r="C47" s="28"/>
      <c r="D47" s="42">
        <f>SUM(D44:D46)</f>
        <v>960.83</v>
      </c>
      <c r="E47" s="42">
        <f>SUM(E44:E46)</f>
        <v>0</v>
      </c>
    </row>
    <row r="48" spans="1:5" x14ac:dyDescent="0.2">
      <c r="B48" s="40"/>
      <c r="C48" s="28"/>
      <c r="D48" s="42"/>
      <c r="E48" s="42"/>
    </row>
    <row r="49" spans="1:5" x14ac:dyDescent="0.2">
      <c r="A49" s="39" t="s">
        <v>104</v>
      </c>
      <c r="B49" s="40"/>
      <c r="C49" s="28"/>
      <c r="D49" s="38"/>
      <c r="E49" s="38"/>
    </row>
    <row r="50" spans="1:5" x14ac:dyDescent="0.2">
      <c r="A50" s="39"/>
      <c r="B50" s="40"/>
      <c r="C50" s="28"/>
      <c r="D50" s="38"/>
      <c r="E50" s="38"/>
    </row>
    <row r="51" spans="1:5" x14ac:dyDescent="0.2">
      <c r="A51" s="39" t="s">
        <v>105</v>
      </c>
      <c r="B51" s="43"/>
      <c r="C51" s="43" t="s">
        <v>106</v>
      </c>
      <c r="D51" s="44"/>
      <c r="E51" s="44">
        <v>3100</v>
      </c>
    </row>
    <row r="52" spans="1:5" x14ac:dyDescent="0.2">
      <c r="A52" s="16"/>
      <c r="B52" s="45">
        <v>44543</v>
      </c>
      <c r="C52" s="28" t="s">
        <v>103</v>
      </c>
      <c r="D52" s="38">
        <v>365.2</v>
      </c>
      <c r="E52" s="38">
        <v>0</v>
      </c>
    </row>
    <row r="53" spans="1:5" x14ac:dyDescent="0.2">
      <c r="A53" s="16"/>
      <c r="B53" s="45">
        <v>44543</v>
      </c>
      <c r="C53" s="28" t="s">
        <v>103</v>
      </c>
      <c r="D53" s="38">
        <v>348.04</v>
      </c>
      <c r="E53" s="38">
        <v>0</v>
      </c>
    </row>
    <row r="54" spans="1:5" x14ac:dyDescent="0.2">
      <c r="A54" s="46" t="s">
        <v>18</v>
      </c>
      <c r="B54" s="45"/>
      <c r="C54" s="28"/>
      <c r="D54" s="42">
        <f>SUM(D52:D53)</f>
        <v>713.24</v>
      </c>
      <c r="E54" s="42">
        <f>SUM(E51:E53)</f>
        <v>3100</v>
      </c>
    </row>
    <row r="55" spans="1:5" x14ac:dyDescent="0.2">
      <c r="A55" s="16"/>
      <c r="B55" s="40"/>
      <c r="C55" s="28"/>
      <c r="D55" s="38"/>
      <c r="E55" s="38"/>
    </row>
    <row r="56" spans="1:5" x14ac:dyDescent="0.2">
      <c r="A56" s="39" t="s">
        <v>107</v>
      </c>
      <c r="B56" s="40">
        <v>44206</v>
      </c>
      <c r="C56" s="28" t="s">
        <v>108</v>
      </c>
      <c r="D56" s="38">
        <v>521.4</v>
      </c>
      <c r="E56" s="38">
        <f>D56/11</f>
        <v>47.4</v>
      </c>
    </row>
    <row r="57" spans="1:5" x14ac:dyDescent="0.2">
      <c r="A57" s="39"/>
      <c r="B57" s="40">
        <v>44574</v>
      </c>
      <c r="C57" s="28" t="s">
        <v>108</v>
      </c>
      <c r="D57" s="38">
        <v>1500</v>
      </c>
      <c r="E57" s="38">
        <f t="shared" ref="E57:E63" si="9">D57/11</f>
        <v>136.36363636363637</v>
      </c>
    </row>
    <row r="58" spans="1:5" x14ac:dyDescent="0.2">
      <c r="A58" s="16"/>
      <c r="B58" s="40">
        <v>44213</v>
      </c>
      <c r="C58" s="28" t="s">
        <v>108</v>
      </c>
      <c r="D58" s="38">
        <v>2866.25</v>
      </c>
      <c r="E58" s="38">
        <f t="shared" si="9"/>
        <v>260.56818181818181</v>
      </c>
    </row>
    <row r="59" spans="1:5" x14ac:dyDescent="0.2">
      <c r="A59" s="16"/>
      <c r="B59" s="40">
        <v>44213</v>
      </c>
      <c r="C59" s="28" t="s">
        <v>109</v>
      </c>
      <c r="D59" s="38">
        <v>1500</v>
      </c>
      <c r="E59" s="38">
        <f t="shared" si="9"/>
        <v>136.36363636363637</v>
      </c>
    </row>
    <row r="60" spans="1:5" x14ac:dyDescent="0.2">
      <c r="A60" s="16"/>
      <c r="B60" s="40">
        <v>44217</v>
      </c>
      <c r="C60" s="28" t="s">
        <v>23</v>
      </c>
      <c r="D60" s="38">
        <v>273.05</v>
      </c>
      <c r="E60" s="38">
        <f t="shared" si="9"/>
        <v>24.822727272727274</v>
      </c>
    </row>
    <row r="61" spans="1:5" x14ac:dyDescent="0.2">
      <c r="A61" s="16"/>
      <c r="B61" s="40">
        <v>44213</v>
      </c>
      <c r="C61" s="28" t="s">
        <v>110</v>
      </c>
      <c r="D61" s="38">
        <v>98648.69</v>
      </c>
      <c r="E61" s="38">
        <v>8927.15</v>
      </c>
    </row>
    <row r="62" spans="1:5" x14ac:dyDescent="0.2">
      <c r="A62" s="16"/>
      <c r="B62" s="40">
        <v>43859</v>
      </c>
      <c r="C62" s="28" t="s">
        <v>37</v>
      </c>
      <c r="D62" s="38">
        <v>1100</v>
      </c>
      <c r="E62" s="38">
        <f t="shared" si="9"/>
        <v>100</v>
      </c>
    </row>
    <row r="63" spans="1:5" x14ac:dyDescent="0.2">
      <c r="A63" s="16"/>
      <c r="B63" s="40">
        <v>44227</v>
      </c>
      <c r="C63" s="28" t="s">
        <v>111</v>
      </c>
      <c r="D63" s="38">
        <v>3900</v>
      </c>
      <c r="E63" s="38">
        <f t="shared" si="9"/>
        <v>354.54545454545456</v>
      </c>
    </row>
    <row r="64" spans="1:5" x14ac:dyDescent="0.2">
      <c r="A64" s="46" t="s">
        <v>18</v>
      </c>
      <c r="B64" s="37"/>
      <c r="C64" s="28"/>
      <c r="D64" s="42">
        <f>SUM(D56:D63)</f>
        <v>110309.39</v>
      </c>
      <c r="E64" s="42">
        <f>SUM(E56:E63)</f>
        <v>9987.2136363636364</v>
      </c>
    </row>
    <row r="65" spans="1:5" x14ac:dyDescent="0.2">
      <c r="A65" s="16"/>
      <c r="B65" s="37"/>
      <c r="C65" s="28"/>
      <c r="D65" s="42"/>
      <c r="E65" s="42"/>
    </row>
    <row r="66" spans="1:5" x14ac:dyDescent="0.2">
      <c r="A66" s="39" t="s">
        <v>82</v>
      </c>
      <c r="B66" s="40">
        <v>44238</v>
      </c>
      <c r="C66" s="28" t="s">
        <v>108</v>
      </c>
      <c r="D66" s="38">
        <v>2085.6</v>
      </c>
      <c r="E66" s="38">
        <f>D66/11</f>
        <v>189.6</v>
      </c>
    </row>
    <row r="67" spans="1:5" x14ac:dyDescent="0.2">
      <c r="A67" s="16"/>
      <c r="B67" s="40">
        <v>44237</v>
      </c>
      <c r="C67" s="28" t="s">
        <v>109</v>
      </c>
      <c r="D67" s="38">
        <v>625</v>
      </c>
      <c r="E67" s="38">
        <f>D67/11</f>
        <v>56.81818181818182</v>
      </c>
    </row>
    <row r="68" spans="1:5" x14ac:dyDescent="0.2">
      <c r="A68" s="46" t="s">
        <v>18</v>
      </c>
      <c r="B68" s="40"/>
      <c r="C68" s="28"/>
      <c r="D68" s="42">
        <f>SUM(D66:D67)</f>
        <v>2710.6</v>
      </c>
      <c r="E68" s="42">
        <f>SUM(E66:E67)</f>
        <v>246.41818181818181</v>
      </c>
    </row>
    <row r="69" spans="1:5" x14ac:dyDescent="0.2">
      <c r="A69" s="16"/>
      <c r="B69" s="40"/>
      <c r="C69" s="28"/>
      <c r="D69" s="38"/>
      <c r="E69" s="38"/>
    </row>
    <row r="70" spans="1:5" x14ac:dyDescent="0.2">
      <c r="A70" s="39" t="s">
        <v>85</v>
      </c>
      <c r="B70" s="40">
        <v>44629</v>
      </c>
      <c r="C70" s="28" t="s">
        <v>112</v>
      </c>
      <c r="D70" s="38">
        <v>3120</v>
      </c>
      <c r="E70" s="38">
        <f t="shared" ref="E70:E80" si="10">D70/11</f>
        <v>283.63636363636363</v>
      </c>
    </row>
    <row r="71" spans="1:5" x14ac:dyDescent="0.2">
      <c r="A71" s="16"/>
      <c r="B71" s="37"/>
      <c r="C71" s="28" t="s">
        <v>108</v>
      </c>
      <c r="D71" s="38">
        <v>2346</v>
      </c>
      <c r="E71" s="38">
        <f t="shared" si="10"/>
        <v>213.27272727272728</v>
      </c>
    </row>
    <row r="72" spans="1:5" x14ac:dyDescent="0.2">
      <c r="A72" s="16"/>
      <c r="B72" s="37"/>
      <c r="C72" s="28" t="s">
        <v>113</v>
      </c>
      <c r="D72" s="38">
        <f>61813.86+6181.39</f>
        <v>67995.25</v>
      </c>
      <c r="E72" s="38">
        <f t="shared" si="10"/>
        <v>6181.386363636364</v>
      </c>
    </row>
    <row r="73" spans="1:5" x14ac:dyDescent="0.2">
      <c r="A73" s="46" t="s">
        <v>18</v>
      </c>
      <c r="B73" s="37"/>
      <c r="C73" s="28"/>
      <c r="D73" s="42">
        <f>SUM(D70:D72)</f>
        <v>73461.25</v>
      </c>
      <c r="E73" s="42">
        <f>SUM(E70:E72)</f>
        <v>6678.295454545455</v>
      </c>
    </row>
    <row r="74" spans="1:5" x14ac:dyDescent="0.2">
      <c r="A74" s="16"/>
      <c r="B74" s="37"/>
      <c r="C74" s="28"/>
      <c r="D74" s="38"/>
      <c r="E74" s="42"/>
    </row>
    <row r="75" spans="1:5" x14ac:dyDescent="0.2">
      <c r="A75" s="39" t="s">
        <v>88</v>
      </c>
      <c r="B75" s="40">
        <v>44663</v>
      </c>
      <c r="C75" s="28" t="s">
        <v>37</v>
      </c>
      <c r="D75" s="38">
        <v>1100</v>
      </c>
      <c r="E75" s="38">
        <f t="shared" si="10"/>
        <v>100</v>
      </c>
    </row>
    <row r="76" spans="1:5" x14ac:dyDescent="0.2">
      <c r="A76" s="39"/>
      <c r="B76" s="40">
        <v>44671</v>
      </c>
      <c r="C76" s="28" t="s">
        <v>114</v>
      </c>
      <c r="D76" s="38">
        <v>450</v>
      </c>
      <c r="E76" s="38">
        <f t="shared" si="10"/>
        <v>40.909090909090907</v>
      </c>
    </row>
    <row r="77" spans="1:5" x14ac:dyDescent="0.2">
      <c r="A77" s="16"/>
      <c r="B77" s="40">
        <v>44671</v>
      </c>
      <c r="C77" s="28" t="s">
        <v>108</v>
      </c>
      <c r="D77" s="38">
        <v>2563.5500000000002</v>
      </c>
      <c r="E77" s="38">
        <f t="shared" si="10"/>
        <v>233.05</v>
      </c>
    </row>
    <row r="78" spans="1:5" x14ac:dyDescent="0.2">
      <c r="A78" s="16"/>
      <c r="B78" s="40">
        <v>44672</v>
      </c>
      <c r="C78" s="28" t="s">
        <v>115</v>
      </c>
      <c r="D78" s="38">
        <v>150.91999999999999</v>
      </c>
      <c r="E78" s="38">
        <f t="shared" si="10"/>
        <v>13.719999999999999</v>
      </c>
    </row>
    <row r="79" spans="1:5" x14ac:dyDescent="0.2">
      <c r="A79" s="16"/>
      <c r="B79" s="40">
        <v>44672</v>
      </c>
      <c r="C79" s="28" t="s">
        <v>116</v>
      </c>
      <c r="D79" s="38">
        <v>1023</v>
      </c>
      <c r="E79" s="38">
        <f t="shared" si="10"/>
        <v>93</v>
      </c>
    </row>
    <row r="80" spans="1:5" x14ac:dyDescent="0.2">
      <c r="A80" s="16"/>
      <c r="B80" s="40">
        <v>44678</v>
      </c>
      <c r="C80" s="28" t="s">
        <v>117</v>
      </c>
      <c r="D80" s="38">
        <v>779.5</v>
      </c>
      <c r="E80" s="38">
        <f t="shared" si="10"/>
        <v>70.86363636363636</v>
      </c>
    </row>
    <row r="81" spans="1:5" x14ac:dyDescent="0.2">
      <c r="A81" s="46" t="s">
        <v>18</v>
      </c>
      <c r="B81" s="40"/>
      <c r="C81" s="28"/>
      <c r="D81" s="42">
        <f>SUM(D75:D80)</f>
        <v>6066.97</v>
      </c>
      <c r="E81" s="42">
        <f>SUM(E75:E80)</f>
        <v>551.54272727272735</v>
      </c>
    </row>
    <row r="82" spans="1:5" x14ac:dyDescent="0.2">
      <c r="A82" s="47"/>
      <c r="B82" s="40"/>
      <c r="C82" s="28"/>
      <c r="D82" s="42"/>
      <c r="E82" s="42"/>
    </row>
    <row r="83" spans="1:5" x14ac:dyDescent="0.2">
      <c r="A83" s="39" t="s">
        <v>92</v>
      </c>
      <c r="B83" s="40"/>
      <c r="C83" s="28"/>
      <c r="D83" s="38"/>
      <c r="E83" s="38"/>
    </row>
    <row r="84" spans="1:5" x14ac:dyDescent="0.2">
      <c r="A84" s="16"/>
      <c r="B84" s="40">
        <v>44685</v>
      </c>
      <c r="C84" s="28" t="s">
        <v>118</v>
      </c>
      <c r="D84" s="38">
        <v>220</v>
      </c>
      <c r="E84" s="38">
        <f t="shared" ref="E84:E88" si="11">D84/11</f>
        <v>20</v>
      </c>
    </row>
    <row r="85" spans="1:5" x14ac:dyDescent="0.2">
      <c r="A85" s="16"/>
      <c r="B85" s="40">
        <v>44685</v>
      </c>
      <c r="C85" s="28" t="s">
        <v>119</v>
      </c>
      <c r="D85" s="38">
        <v>3357.2</v>
      </c>
      <c r="E85" s="38">
        <f t="shared" si="11"/>
        <v>305.2</v>
      </c>
    </row>
    <row r="86" spans="1:5" x14ac:dyDescent="0.2">
      <c r="A86" s="16"/>
      <c r="B86" s="40">
        <v>44687</v>
      </c>
      <c r="C86" s="28" t="s">
        <v>120</v>
      </c>
      <c r="D86" s="38">
        <v>77</v>
      </c>
      <c r="E86" s="38">
        <f t="shared" si="11"/>
        <v>7</v>
      </c>
    </row>
    <row r="87" spans="1:5" x14ac:dyDescent="0.2">
      <c r="A87" s="16"/>
      <c r="B87" s="40">
        <v>44687</v>
      </c>
      <c r="C87" s="28" t="s">
        <v>108</v>
      </c>
      <c r="D87" s="38">
        <v>5909.2</v>
      </c>
      <c r="E87" s="38">
        <f t="shared" si="11"/>
        <v>537.19999999999993</v>
      </c>
    </row>
    <row r="88" spans="1:5" x14ac:dyDescent="0.2">
      <c r="A88" s="16"/>
      <c r="B88" s="40">
        <v>44708</v>
      </c>
      <c r="C88" s="28" t="s">
        <v>118</v>
      </c>
      <c r="D88" s="38">
        <v>754.34</v>
      </c>
      <c r="E88" s="38">
        <f t="shared" si="11"/>
        <v>68.576363636363638</v>
      </c>
    </row>
    <row r="89" spans="1:5" x14ac:dyDescent="0.2">
      <c r="A89" s="46" t="s">
        <v>18</v>
      </c>
      <c r="B89" s="37"/>
      <c r="C89" s="28"/>
      <c r="D89" s="42">
        <f>SUM(D84:D88)</f>
        <v>10317.74</v>
      </c>
      <c r="E89" s="42">
        <f>SUM(E84:E88)</f>
        <v>937.97636363636354</v>
      </c>
    </row>
    <row r="90" spans="1:5" x14ac:dyDescent="0.2">
      <c r="C90" s="28"/>
      <c r="D90" s="21"/>
      <c r="E90" s="21"/>
    </row>
    <row r="91" spans="1:5" x14ac:dyDescent="0.2">
      <c r="A91" s="39" t="s">
        <v>125</v>
      </c>
      <c r="B91" s="40">
        <v>44718</v>
      </c>
      <c r="C91" s="28" t="s">
        <v>121</v>
      </c>
      <c r="D91" s="38">
        <v>225.95</v>
      </c>
      <c r="E91" s="38">
        <f>D91/11</f>
        <v>20.540909090909089</v>
      </c>
    </row>
    <row r="92" spans="1:5" x14ac:dyDescent="0.2">
      <c r="A92" s="39"/>
      <c r="B92" s="40">
        <v>44727</v>
      </c>
      <c r="C92" s="28" t="s">
        <v>103</v>
      </c>
      <c r="D92" s="38">
        <v>27.33</v>
      </c>
      <c r="E92" s="38">
        <v>0</v>
      </c>
    </row>
    <row r="93" spans="1:5" x14ac:dyDescent="0.2">
      <c r="A93" s="16"/>
      <c r="B93" s="40">
        <v>44727</v>
      </c>
      <c r="C93" s="28" t="s">
        <v>103</v>
      </c>
      <c r="D93" s="38">
        <v>23.73</v>
      </c>
      <c r="E93" s="38">
        <v>0</v>
      </c>
    </row>
    <row r="94" spans="1:5" x14ac:dyDescent="0.2">
      <c r="A94" s="16"/>
      <c r="B94" s="40">
        <v>44733</v>
      </c>
      <c r="C94" s="28" t="s">
        <v>108</v>
      </c>
      <c r="D94" s="38">
        <v>1894.2</v>
      </c>
      <c r="E94" s="38">
        <f>D94/11</f>
        <v>172.20000000000002</v>
      </c>
    </row>
    <row r="95" spans="1:5" x14ac:dyDescent="0.2">
      <c r="A95" s="16"/>
      <c r="B95" s="40">
        <v>44736</v>
      </c>
      <c r="C95" s="28" t="s">
        <v>115</v>
      </c>
      <c r="D95" s="38">
        <v>779.5</v>
      </c>
      <c r="E95" s="38">
        <f>D95/11</f>
        <v>70.86363636363636</v>
      </c>
    </row>
    <row r="96" spans="1:5" x14ac:dyDescent="0.2">
      <c r="A96" s="16"/>
      <c r="B96" s="40">
        <v>44740</v>
      </c>
      <c r="C96" s="28" t="s">
        <v>23</v>
      </c>
      <c r="D96" s="38">
        <v>206.94</v>
      </c>
      <c r="E96" s="38">
        <v>0</v>
      </c>
    </row>
    <row r="97" spans="1:5" x14ac:dyDescent="0.2">
      <c r="A97" s="16"/>
      <c r="B97" s="40">
        <v>44742</v>
      </c>
      <c r="C97" s="28" t="s">
        <v>122</v>
      </c>
      <c r="D97" s="38">
        <v>7000</v>
      </c>
      <c r="E97" s="38">
        <f>D97/11</f>
        <v>636.36363636363637</v>
      </c>
    </row>
    <row r="98" spans="1:5" x14ac:dyDescent="0.2">
      <c r="A98" s="16"/>
      <c r="B98" s="40">
        <v>44742</v>
      </c>
      <c r="C98" s="28" t="s">
        <v>123</v>
      </c>
      <c r="D98" s="38">
        <v>223.3</v>
      </c>
      <c r="E98" s="38">
        <f>D98/11</f>
        <v>20.3</v>
      </c>
    </row>
    <row r="99" spans="1:5" x14ac:dyDescent="0.2">
      <c r="A99" s="46" t="s">
        <v>18</v>
      </c>
      <c r="B99" s="37"/>
      <c r="C99" s="28"/>
      <c r="D99" s="42">
        <f>SUM(D91:D98)</f>
        <v>10380.949999999999</v>
      </c>
      <c r="E99" s="42">
        <f>SUM(E91:E98)</f>
        <v>920.2681818181818</v>
      </c>
    </row>
    <row r="100" spans="1:5" x14ac:dyDescent="0.2">
      <c r="D100" s="21"/>
      <c r="E100" s="21"/>
    </row>
    <row r="101" spans="1:5" x14ac:dyDescent="0.2">
      <c r="D101" s="21"/>
      <c r="E101" s="21"/>
    </row>
    <row r="102" spans="1:5" x14ac:dyDescent="0.2">
      <c r="D102" s="21"/>
      <c r="E102" s="21"/>
    </row>
    <row r="103" spans="1:5" x14ac:dyDescent="0.2">
      <c r="D103" s="21"/>
      <c r="E103" s="21"/>
    </row>
    <row r="104" spans="1:5" x14ac:dyDescent="0.2">
      <c r="D104" s="21"/>
      <c r="E104" s="21"/>
    </row>
    <row r="105" spans="1:5" x14ac:dyDescent="0.2">
      <c r="D105" s="21"/>
      <c r="E105" s="21"/>
    </row>
    <row r="106" spans="1:5" x14ac:dyDescent="0.2">
      <c r="D106" s="21"/>
      <c r="E106" s="21"/>
    </row>
    <row r="107" spans="1:5" x14ac:dyDescent="0.2">
      <c r="D107" s="21"/>
      <c r="E107" s="21"/>
    </row>
    <row r="108" spans="1:5" x14ac:dyDescent="0.2">
      <c r="D108" s="21"/>
      <c r="E108" s="21"/>
    </row>
    <row r="109" spans="1:5" x14ac:dyDescent="0.2">
      <c r="D109" s="21"/>
      <c r="E109" s="21"/>
    </row>
    <row r="110" spans="1:5" x14ac:dyDescent="0.2">
      <c r="D110" s="21"/>
      <c r="E110" s="21"/>
    </row>
    <row r="111" spans="1:5" x14ac:dyDescent="0.2">
      <c r="D111" s="21"/>
      <c r="E111" s="21"/>
    </row>
    <row r="112" spans="1:5" x14ac:dyDescent="0.2">
      <c r="D112" s="21"/>
      <c r="E112" s="21"/>
    </row>
    <row r="113" spans="4:5" x14ac:dyDescent="0.2">
      <c r="D113" s="21"/>
      <c r="E113" s="21"/>
    </row>
    <row r="114" spans="4:5" x14ac:dyDescent="0.2">
      <c r="D114" s="21"/>
      <c r="E114" s="21"/>
    </row>
    <row r="115" spans="4:5" x14ac:dyDescent="0.2">
      <c r="D115" s="21"/>
      <c r="E115" s="21"/>
    </row>
    <row r="116" spans="4:5" x14ac:dyDescent="0.2">
      <c r="D116" s="21"/>
      <c r="E116" s="21"/>
    </row>
    <row r="117" spans="4:5" x14ac:dyDescent="0.2">
      <c r="D117" s="21"/>
      <c r="E117" s="21"/>
    </row>
    <row r="118" spans="4:5" x14ac:dyDescent="0.2">
      <c r="D118" s="21"/>
      <c r="E118" s="21"/>
    </row>
    <row r="119" spans="4:5" x14ac:dyDescent="0.2">
      <c r="D119" s="21"/>
      <c r="E119" s="21"/>
    </row>
    <row r="120" spans="4:5" x14ac:dyDescent="0.2">
      <c r="D120" s="21"/>
      <c r="E120" s="21"/>
    </row>
    <row r="121" spans="4:5" x14ac:dyDescent="0.2">
      <c r="D121" s="21"/>
      <c r="E121" s="21"/>
    </row>
    <row r="122" spans="4:5" x14ac:dyDescent="0.2">
      <c r="D122" s="21"/>
      <c r="E122" s="21"/>
    </row>
    <row r="123" spans="4:5" x14ac:dyDescent="0.2">
      <c r="D123" s="21"/>
      <c r="E123" s="21"/>
    </row>
    <row r="124" spans="4:5" x14ac:dyDescent="0.2">
      <c r="D124" s="21"/>
      <c r="E124" s="21"/>
    </row>
    <row r="125" spans="4:5" x14ac:dyDescent="0.2">
      <c r="D125" s="21"/>
      <c r="E125" s="21"/>
    </row>
    <row r="126" spans="4:5" x14ac:dyDescent="0.2">
      <c r="D126" s="21"/>
      <c r="E126" s="21"/>
    </row>
    <row r="127" spans="4:5" x14ac:dyDescent="0.2">
      <c r="D127" s="21"/>
      <c r="E127" s="21"/>
    </row>
    <row r="128" spans="4:5" x14ac:dyDescent="0.2">
      <c r="D128" s="21"/>
      <c r="E128" s="21"/>
    </row>
    <row r="129" spans="4:5" x14ac:dyDescent="0.2">
      <c r="D129" s="21"/>
      <c r="E129" s="21"/>
    </row>
    <row r="130" spans="4:5" x14ac:dyDescent="0.2">
      <c r="D130" s="21"/>
      <c r="E130" s="21"/>
    </row>
    <row r="131" spans="4:5" x14ac:dyDescent="0.2">
      <c r="D131" s="21"/>
      <c r="E131" s="21"/>
    </row>
    <row r="132" spans="4:5" x14ac:dyDescent="0.2">
      <c r="D132" s="21"/>
      <c r="E132" s="21"/>
    </row>
    <row r="133" spans="4:5" x14ac:dyDescent="0.2">
      <c r="D133" s="21"/>
      <c r="E133" s="21"/>
    </row>
    <row r="134" spans="4:5" x14ac:dyDescent="0.2">
      <c r="D134" s="21"/>
      <c r="E134" s="21"/>
    </row>
    <row r="135" spans="4:5" x14ac:dyDescent="0.2">
      <c r="D135" s="21"/>
      <c r="E135" s="21"/>
    </row>
    <row r="136" spans="4:5" x14ac:dyDescent="0.2">
      <c r="D136" s="21"/>
      <c r="E136" s="21"/>
    </row>
    <row r="137" spans="4:5" x14ac:dyDescent="0.2">
      <c r="D137" s="21"/>
      <c r="E137" s="21"/>
    </row>
    <row r="138" spans="4:5" x14ac:dyDescent="0.2">
      <c r="D138" s="21"/>
      <c r="E138" s="21"/>
    </row>
    <row r="139" spans="4:5" x14ac:dyDescent="0.2">
      <c r="D139" s="21"/>
      <c r="E139" s="21"/>
    </row>
    <row r="140" spans="4:5" x14ac:dyDescent="0.2">
      <c r="D140" s="21"/>
      <c r="E140" s="21"/>
    </row>
    <row r="141" spans="4:5" x14ac:dyDescent="0.2">
      <c r="D141" s="21"/>
      <c r="E141" s="21"/>
    </row>
    <row r="142" spans="4:5" x14ac:dyDescent="0.2">
      <c r="D142" s="21"/>
      <c r="E142" s="21"/>
    </row>
    <row r="143" spans="4:5" x14ac:dyDescent="0.2">
      <c r="D143" s="21"/>
      <c r="E143" s="21"/>
    </row>
    <row r="144" spans="4:5" x14ac:dyDescent="0.2">
      <c r="D144" s="21"/>
      <c r="E144" s="21"/>
    </row>
    <row r="145" spans="4:5" x14ac:dyDescent="0.2">
      <c r="D145" s="21"/>
      <c r="E145" s="21"/>
    </row>
    <row r="146" spans="4:5" x14ac:dyDescent="0.2">
      <c r="D146" s="21"/>
      <c r="E146" s="21"/>
    </row>
    <row r="147" spans="4:5" x14ac:dyDescent="0.2">
      <c r="D147" s="21"/>
      <c r="E147" s="21"/>
    </row>
    <row r="148" spans="4:5" x14ac:dyDescent="0.2">
      <c r="D148" s="21"/>
      <c r="E148" s="21"/>
    </row>
    <row r="149" spans="4:5" x14ac:dyDescent="0.2">
      <c r="D149" s="21"/>
      <c r="E149" s="21"/>
    </row>
    <row r="150" spans="4:5" x14ac:dyDescent="0.2">
      <c r="D150" s="21"/>
      <c r="E150" s="21"/>
    </row>
    <row r="151" spans="4:5" x14ac:dyDescent="0.2">
      <c r="D151" s="21"/>
      <c r="E151" s="21"/>
    </row>
    <row r="152" spans="4:5" x14ac:dyDescent="0.2">
      <c r="D152" s="21"/>
      <c r="E152" s="21"/>
    </row>
    <row r="153" spans="4:5" x14ac:dyDescent="0.2">
      <c r="D153" s="21"/>
      <c r="E153" s="21"/>
    </row>
    <row r="154" spans="4:5" x14ac:dyDescent="0.2">
      <c r="D154" s="21"/>
      <c r="E154" s="21"/>
    </row>
    <row r="155" spans="4:5" x14ac:dyDescent="0.2">
      <c r="D155" s="21"/>
      <c r="E155" s="21"/>
    </row>
    <row r="156" spans="4:5" x14ac:dyDescent="0.2">
      <c r="D156" s="21"/>
      <c r="E156" s="21"/>
    </row>
    <row r="157" spans="4:5" x14ac:dyDescent="0.2">
      <c r="D157" s="21"/>
      <c r="E157" s="21"/>
    </row>
    <row r="158" spans="4:5" x14ac:dyDescent="0.2">
      <c r="D158" s="21"/>
      <c r="E158" s="21"/>
    </row>
    <row r="159" spans="4:5" x14ac:dyDescent="0.2">
      <c r="D159" s="21"/>
      <c r="E159" s="21"/>
    </row>
    <row r="160" spans="4:5" x14ac:dyDescent="0.2">
      <c r="D160" s="21"/>
      <c r="E160" s="21"/>
    </row>
    <row r="161" spans="4:5" x14ac:dyDescent="0.2">
      <c r="D161" s="21"/>
      <c r="E161" s="21"/>
    </row>
    <row r="162" spans="4:5" x14ac:dyDescent="0.2">
      <c r="D162" s="21"/>
      <c r="E162" s="21"/>
    </row>
    <row r="163" spans="4:5" x14ac:dyDescent="0.2">
      <c r="D163" s="21"/>
      <c r="E163" s="21"/>
    </row>
    <row r="164" spans="4:5" x14ac:dyDescent="0.2">
      <c r="D164" s="21"/>
      <c r="E164" s="21"/>
    </row>
    <row r="165" spans="4:5" x14ac:dyDescent="0.2">
      <c r="D165" s="21"/>
      <c r="E165" s="21"/>
    </row>
    <row r="166" spans="4:5" x14ac:dyDescent="0.2">
      <c r="D166" s="21"/>
      <c r="E166" s="21"/>
    </row>
    <row r="167" spans="4:5" x14ac:dyDescent="0.2">
      <c r="D167" s="21"/>
      <c r="E167" s="21"/>
    </row>
    <row r="168" spans="4:5" x14ac:dyDescent="0.2">
      <c r="D168" s="21"/>
      <c r="E168" s="21"/>
    </row>
    <row r="169" spans="4:5" x14ac:dyDescent="0.2">
      <c r="D169" s="21"/>
      <c r="E169" s="21"/>
    </row>
    <row r="170" spans="4:5" x14ac:dyDescent="0.2">
      <c r="D170" s="21"/>
      <c r="E170" s="21"/>
    </row>
    <row r="171" spans="4:5" x14ac:dyDescent="0.2">
      <c r="D171" s="21"/>
      <c r="E171" s="21"/>
    </row>
    <row r="172" spans="4:5" x14ac:dyDescent="0.2">
      <c r="D172" s="21"/>
      <c r="E172" s="21"/>
    </row>
    <row r="173" spans="4:5" x14ac:dyDescent="0.2">
      <c r="D173" s="21"/>
      <c r="E173" s="21"/>
    </row>
    <row r="174" spans="4:5" x14ac:dyDescent="0.2">
      <c r="D174" s="21"/>
      <c r="E174" s="21"/>
    </row>
    <row r="175" spans="4:5" x14ac:dyDescent="0.2">
      <c r="D175" s="21"/>
      <c r="E175" s="21"/>
    </row>
    <row r="176" spans="4:5" x14ac:dyDescent="0.2">
      <c r="D176" s="21"/>
      <c r="E176" s="21"/>
    </row>
    <row r="177" spans="4:5" x14ac:dyDescent="0.2">
      <c r="D177" s="21"/>
      <c r="E177" s="21"/>
    </row>
    <row r="178" spans="4:5" x14ac:dyDescent="0.2">
      <c r="D178" s="21"/>
      <c r="E178" s="21"/>
    </row>
    <row r="179" spans="4:5" x14ac:dyDescent="0.2">
      <c r="D179" s="21"/>
      <c r="E179" s="21"/>
    </row>
    <row r="180" spans="4:5" x14ac:dyDescent="0.2">
      <c r="D180" s="21"/>
      <c r="E180" s="21"/>
    </row>
    <row r="181" spans="4:5" x14ac:dyDescent="0.2">
      <c r="D181" s="21"/>
      <c r="E181" s="21"/>
    </row>
    <row r="182" spans="4:5" x14ac:dyDescent="0.2">
      <c r="D182" s="21"/>
      <c r="E182" s="21"/>
    </row>
    <row r="183" spans="4:5" x14ac:dyDescent="0.2">
      <c r="D183" s="21"/>
      <c r="E183" s="21"/>
    </row>
    <row r="184" spans="4:5" x14ac:dyDescent="0.2">
      <c r="D184" s="21"/>
      <c r="E184" s="21"/>
    </row>
    <row r="185" spans="4:5" x14ac:dyDescent="0.2">
      <c r="D185" s="21"/>
      <c r="E185" s="21"/>
    </row>
    <row r="186" spans="4:5" x14ac:dyDescent="0.2">
      <c r="D186" s="21"/>
      <c r="E186" s="21"/>
    </row>
    <row r="187" spans="4:5" x14ac:dyDescent="0.2">
      <c r="D187" s="21"/>
      <c r="E187" s="21"/>
    </row>
    <row r="188" spans="4:5" x14ac:dyDescent="0.2">
      <c r="D188" s="21"/>
      <c r="E188" s="21"/>
    </row>
    <row r="189" spans="4:5" x14ac:dyDescent="0.2">
      <c r="D189" s="21"/>
      <c r="E189" s="21"/>
    </row>
    <row r="190" spans="4:5" x14ac:dyDescent="0.2">
      <c r="D190" s="21"/>
      <c r="E190" s="21"/>
    </row>
    <row r="191" spans="4:5" x14ac:dyDescent="0.2">
      <c r="D191" s="21"/>
      <c r="E191" s="21"/>
    </row>
    <row r="192" spans="4:5" x14ac:dyDescent="0.2">
      <c r="D192" s="21"/>
      <c r="E192" s="21"/>
    </row>
    <row r="193" spans="4:5" x14ac:dyDescent="0.2">
      <c r="D193" s="21"/>
      <c r="E193" s="21"/>
    </row>
    <row r="194" spans="4:5" x14ac:dyDescent="0.2">
      <c r="D194" s="21"/>
      <c r="E194" s="21"/>
    </row>
    <row r="195" spans="4:5" x14ac:dyDescent="0.2">
      <c r="D195" s="21"/>
      <c r="E195" s="21"/>
    </row>
    <row r="196" spans="4:5" x14ac:dyDescent="0.2">
      <c r="D196" s="21"/>
      <c r="E196" s="21"/>
    </row>
    <row r="197" spans="4:5" x14ac:dyDescent="0.2">
      <c r="D197" s="21"/>
      <c r="E197" s="21"/>
    </row>
    <row r="198" spans="4:5" x14ac:dyDescent="0.2">
      <c r="D198" s="21"/>
      <c r="E198" s="21"/>
    </row>
    <row r="199" spans="4:5" x14ac:dyDescent="0.2">
      <c r="D199" s="21"/>
      <c r="E199" s="21"/>
    </row>
    <row r="200" spans="4:5" x14ac:dyDescent="0.2">
      <c r="D200" s="21"/>
      <c r="E200" s="21"/>
    </row>
    <row r="201" spans="4:5" x14ac:dyDescent="0.2">
      <c r="D201" s="21"/>
      <c r="E201" s="21"/>
    </row>
    <row r="202" spans="4:5" x14ac:dyDescent="0.2">
      <c r="D202" s="21"/>
      <c r="E202" s="21"/>
    </row>
    <row r="203" spans="4:5" x14ac:dyDescent="0.2">
      <c r="D203" s="21"/>
      <c r="E203" s="21"/>
    </row>
    <row r="204" spans="4:5" x14ac:dyDescent="0.2">
      <c r="D204" s="21"/>
      <c r="E204" s="21"/>
    </row>
    <row r="205" spans="4:5" x14ac:dyDescent="0.2">
      <c r="D205" s="21"/>
      <c r="E205" s="21"/>
    </row>
    <row r="206" spans="4:5" x14ac:dyDescent="0.2">
      <c r="D206" s="21"/>
      <c r="E206" s="21"/>
    </row>
    <row r="207" spans="4:5" x14ac:dyDescent="0.2">
      <c r="D207" s="21"/>
      <c r="E207" s="21"/>
    </row>
    <row r="208" spans="4:5" x14ac:dyDescent="0.2">
      <c r="D208" s="21"/>
      <c r="E208" s="21"/>
    </row>
    <row r="209" spans="4:5" x14ac:dyDescent="0.2">
      <c r="D209" s="21"/>
      <c r="E209" s="21"/>
    </row>
    <row r="210" spans="4:5" x14ac:dyDescent="0.2">
      <c r="D210" s="21"/>
      <c r="E210" s="21"/>
    </row>
    <row r="211" spans="4:5" x14ac:dyDescent="0.2">
      <c r="D211" s="21"/>
      <c r="E211" s="21"/>
    </row>
    <row r="212" spans="4:5" x14ac:dyDescent="0.2">
      <c r="D212" s="21"/>
      <c r="E212" s="21"/>
    </row>
    <row r="213" spans="4:5" x14ac:dyDescent="0.2">
      <c r="D213" s="21"/>
      <c r="E213" s="21"/>
    </row>
    <row r="214" spans="4:5" x14ac:dyDescent="0.2">
      <c r="D214" s="21"/>
      <c r="E214" s="21"/>
    </row>
    <row r="215" spans="4:5" x14ac:dyDescent="0.2">
      <c r="D215" s="21"/>
      <c r="E215" s="21"/>
    </row>
    <row r="216" spans="4:5" x14ac:dyDescent="0.2">
      <c r="D216" s="21"/>
      <c r="E216" s="21"/>
    </row>
    <row r="217" spans="4:5" x14ac:dyDescent="0.2">
      <c r="D217" s="21"/>
      <c r="E217" s="21"/>
    </row>
    <row r="218" spans="4:5" x14ac:dyDescent="0.2">
      <c r="D218" s="21"/>
      <c r="E218" s="21"/>
    </row>
    <row r="219" spans="4:5" x14ac:dyDescent="0.2">
      <c r="D219" s="21"/>
      <c r="E219" s="21"/>
    </row>
    <row r="220" spans="4:5" x14ac:dyDescent="0.2">
      <c r="D220" s="21"/>
      <c r="E220" s="21"/>
    </row>
    <row r="221" spans="4:5" x14ac:dyDescent="0.2">
      <c r="D221" s="21"/>
      <c r="E221" s="21"/>
    </row>
    <row r="222" spans="4:5" x14ac:dyDescent="0.2">
      <c r="D222" s="21"/>
      <c r="E222" s="21"/>
    </row>
    <row r="223" spans="4:5" x14ac:dyDescent="0.2">
      <c r="D223" s="21"/>
      <c r="E223" s="21"/>
    </row>
    <row r="224" spans="4:5" x14ac:dyDescent="0.2">
      <c r="D224" s="21"/>
      <c r="E224" s="21"/>
    </row>
    <row r="225" spans="4:5" x14ac:dyDescent="0.2">
      <c r="D225" s="21"/>
      <c r="E225" s="21"/>
    </row>
    <row r="226" spans="4:5" x14ac:dyDescent="0.2">
      <c r="D226" s="21"/>
      <c r="E226" s="21"/>
    </row>
    <row r="227" spans="4:5" x14ac:dyDescent="0.2">
      <c r="D227" s="21"/>
      <c r="E227" s="21"/>
    </row>
    <row r="228" spans="4:5" x14ac:dyDescent="0.2">
      <c r="D228" s="21"/>
      <c r="E228" s="21"/>
    </row>
    <row r="229" spans="4:5" x14ac:dyDescent="0.2">
      <c r="D229" s="21"/>
      <c r="E229" s="21"/>
    </row>
    <row r="230" spans="4:5" x14ac:dyDescent="0.2">
      <c r="D230" s="21"/>
      <c r="E230" s="21"/>
    </row>
    <row r="231" spans="4:5" x14ac:dyDescent="0.2">
      <c r="D231" s="21"/>
      <c r="E231" s="21"/>
    </row>
    <row r="232" spans="4:5" x14ac:dyDescent="0.2">
      <c r="D232" s="21"/>
      <c r="E232" s="21"/>
    </row>
    <row r="233" spans="4:5" x14ac:dyDescent="0.2">
      <c r="D233" s="21"/>
      <c r="E233" s="21"/>
    </row>
    <row r="234" spans="4:5" x14ac:dyDescent="0.2">
      <c r="D234" s="21"/>
      <c r="E234" s="21"/>
    </row>
    <row r="235" spans="4:5" x14ac:dyDescent="0.2">
      <c r="D235" s="21"/>
      <c r="E235" s="21"/>
    </row>
    <row r="236" spans="4:5" x14ac:dyDescent="0.2">
      <c r="D236" s="21"/>
      <c r="E236" s="21"/>
    </row>
    <row r="237" spans="4:5" x14ac:dyDescent="0.2">
      <c r="D237" s="21"/>
      <c r="E237" s="21"/>
    </row>
    <row r="238" spans="4:5" x14ac:dyDescent="0.2">
      <c r="D238" s="21"/>
      <c r="E238" s="21"/>
    </row>
    <row r="239" spans="4:5" x14ac:dyDescent="0.2">
      <c r="D239" s="21"/>
      <c r="E239" s="21"/>
    </row>
    <row r="240" spans="4:5" x14ac:dyDescent="0.2">
      <c r="D240" s="21"/>
      <c r="E240" s="21"/>
    </row>
    <row r="241" spans="4:5" x14ac:dyDescent="0.2">
      <c r="D241" s="21"/>
      <c r="E241" s="21"/>
    </row>
    <row r="242" spans="4:5" x14ac:dyDescent="0.2">
      <c r="D242" s="21"/>
      <c r="E242" s="21"/>
    </row>
    <row r="243" spans="4:5" x14ac:dyDescent="0.2">
      <c r="D243" s="21"/>
      <c r="E243" s="21"/>
    </row>
    <row r="244" spans="4:5" x14ac:dyDescent="0.2">
      <c r="D244" s="21"/>
      <c r="E244" s="21"/>
    </row>
    <row r="245" spans="4:5" x14ac:dyDescent="0.2">
      <c r="D245" s="21"/>
      <c r="E245" s="21"/>
    </row>
    <row r="246" spans="4:5" x14ac:dyDescent="0.2">
      <c r="D246" s="21"/>
      <c r="E246" s="21"/>
    </row>
    <row r="247" spans="4:5" x14ac:dyDescent="0.2">
      <c r="D247" s="21"/>
      <c r="E247" s="21"/>
    </row>
    <row r="248" spans="4:5" x14ac:dyDescent="0.2">
      <c r="D248" s="21"/>
      <c r="E248" s="21"/>
    </row>
    <row r="249" spans="4:5" x14ac:dyDescent="0.2">
      <c r="D249" s="21"/>
      <c r="E249" s="21"/>
    </row>
    <row r="250" spans="4:5" x14ac:dyDescent="0.2">
      <c r="D250" s="21"/>
      <c r="E250" s="21"/>
    </row>
    <row r="251" spans="4:5" x14ac:dyDescent="0.2">
      <c r="D251" s="21"/>
      <c r="E251" s="21"/>
    </row>
    <row r="252" spans="4:5" x14ac:dyDescent="0.2">
      <c r="D252" s="21"/>
      <c r="E252" s="21"/>
    </row>
    <row r="253" spans="4:5" x14ac:dyDescent="0.2">
      <c r="D253" s="21"/>
      <c r="E253" s="21"/>
    </row>
    <row r="254" spans="4:5" x14ac:dyDescent="0.2">
      <c r="D254" s="21"/>
      <c r="E254" s="21"/>
    </row>
    <row r="255" spans="4:5" x14ac:dyDescent="0.2">
      <c r="D255" s="21"/>
      <c r="E255" s="21"/>
    </row>
    <row r="256" spans="4:5" x14ac:dyDescent="0.2">
      <c r="D256" s="21"/>
      <c r="E256" s="21"/>
    </row>
    <row r="257" spans="4:5" x14ac:dyDescent="0.2">
      <c r="D257" s="21"/>
      <c r="E257" s="21"/>
    </row>
    <row r="258" spans="4:5" x14ac:dyDescent="0.2">
      <c r="D258" s="21"/>
      <c r="E258" s="21"/>
    </row>
    <row r="259" spans="4:5" x14ac:dyDescent="0.2">
      <c r="D259" s="21"/>
      <c r="E259" s="21"/>
    </row>
    <row r="260" spans="4:5" x14ac:dyDescent="0.2">
      <c r="D260" s="21"/>
      <c r="E260" s="21"/>
    </row>
    <row r="261" spans="4:5" x14ac:dyDescent="0.2">
      <c r="D261" s="21"/>
      <c r="E261" s="21"/>
    </row>
    <row r="262" spans="4:5" x14ac:dyDescent="0.2">
      <c r="D262" s="21"/>
      <c r="E262" s="21"/>
    </row>
    <row r="263" spans="4:5" x14ac:dyDescent="0.2">
      <c r="D263" s="21"/>
      <c r="E263" s="21"/>
    </row>
    <row r="264" spans="4:5" x14ac:dyDescent="0.2">
      <c r="D264" s="21"/>
      <c r="E264" s="21"/>
    </row>
    <row r="265" spans="4:5" x14ac:dyDescent="0.2">
      <c r="D265" s="21"/>
      <c r="E265" s="21"/>
    </row>
    <row r="266" spans="4:5" x14ac:dyDescent="0.2">
      <c r="D266" s="21"/>
      <c r="E266" s="21"/>
    </row>
    <row r="267" spans="4:5" x14ac:dyDescent="0.2">
      <c r="D267" s="21"/>
      <c r="E267" s="21"/>
    </row>
    <row r="268" spans="4:5" x14ac:dyDescent="0.2">
      <c r="D268" s="21"/>
      <c r="E268" s="21"/>
    </row>
    <row r="269" spans="4:5" x14ac:dyDescent="0.2">
      <c r="D269" s="21"/>
      <c r="E269" s="21"/>
    </row>
    <row r="270" spans="4:5" x14ac:dyDescent="0.2">
      <c r="D270" s="21"/>
      <c r="E270" s="21"/>
    </row>
    <row r="271" spans="4:5" x14ac:dyDescent="0.2">
      <c r="D271" s="21"/>
      <c r="E271" s="21"/>
    </row>
    <row r="272" spans="4:5" x14ac:dyDescent="0.2">
      <c r="D272" s="21"/>
      <c r="E272" s="21"/>
    </row>
    <row r="273" spans="4:5" x14ac:dyDescent="0.2">
      <c r="D273" s="21"/>
      <c r="E273" s="21"/>
    </row>
    <row r="274" spans="4:5" x14ac:dyDescent="0.2">
      <c r="D274" s="21"/>
      <c r="E274" s="21"/>
    </row>
    <row r="275" spans="4:5" x14ac:dyDescent="0.2">
      <c r="D275" s="21"/>
      <c r="E275" s="21"/>
    </row>
    <row r="276" spans="4:5" x14ac:dyDescent="0.2">
      <c r="D276" s="21"/>
      <c r="E276" s="21"/>
    </row>
    <row r="277" spans="4:5" x14ac:dyDescent="0.2">
      <c r="D277" s="21"/>
      <c r="E277" s="21"/>
    </row>
    <row r="278" spans="4:5" x14ac:dyDescent="0.2">
      <c r="D278" s="21"/>
      <c r="E278" s="21"/>
    </row>
    <row r="279" spans="4:5" x14ac:dyDescent="0.2">
      <c r="D279" s="21"/>
      <c r="E279" s="21"/>
    </row>
    <row r="280" spans="4:5" x14ac:dyDescent="0.2">
      <c r="D280" s="21"/>
      <c r="E280" s="21"/>
    </row>
    <row r="281" spans="4:5" x14ac:dyDescent="0.2">
      <c r="D281" s="21"/>
      <c r="E281" s="21"/>
    </row>
    <row r="282" spans="4:5" x14ac:dyDescent="0.2">
      <c r="D282" s="21"/>
      <c r="E282" s="21"/>
    </row>
    <row r="283" spans="4:5" x14ac:dyDescent="0.2">
      <c r="D283" s="21"/>
      <c r="E283" s="21"/>
    </row>
    <row r="284" spans="4:5" x14ac:dyDescent="0.2">
      <c r="D284" s="21"/>
      <c r="E284" s="21"/>
    </row>
    <row r="285" spans="4:5" x14ac:dyDescent="0.2">
      <c r="D285" s="21"/>
      <c r="E285" s="21"/>
    </row>
    <row r="286" spans="4:5" x14ac:dyDescent="0.2">
      <c r="D286" s="21"/>
      <c r="E286" s="21"/>
    </row>
    <row r="287" spans="4:5" x14ac:dyDescent="0.2">
      <c r="D287" s="21"/>
      <c r="E287" s="21"/>
    </row>
    <row r="288" spans="4:5" x14ac:dyDescent="0.2">
      <c r="D288" s="21"/>
      <c r="E288" s="21"/>
    </row>
    <row r="289" spans="4:5" x14ac:dyDescent="0.2">
      <c r="D289" s="21"/>
      <c r="E289" s="21"/>
    </row>
    <row r="290" spans="4:5" x14ac:dyDescent="0.2">
      <c r="D290" s="21"/>
      <c r="E290" s="21"/>
    </row>
    <row r="291" spans="4:5" x14ac:dyDescent="0.2">
      <c r="D291" s="21"/>
      <c r="E291" s="21"/>
    </row>
    <row r="292" spans="4:5" x14ac:dyDescent="0.2">
      <c r="D292" s="21"/>
      <c r="E292" s="21"/>
    </row>
    <row r="293" spans="4:5" x14ac:dyDescent="0.2">
      <c r="D293" s="21"/>
      <c r="E293" s="21"/>
    </row>
    <row r="294" spans="4:5" x14ac:dyDescent="0.2">
      <c r="D294" s="21"/>
      <c r="E294" s="21"/>
    </row>
    <row r="295" spans="4:5" x14ac:dyDescent="0.2">
      <c r="D295" s="21"/>
      <c r="E295" s="21"/>
    </row>
    <row r="296" spans="4:5" x14ac:dyDescent="0.2">
      <c r="D296" s="21"/>
      <c r="E296" s="21"/>
    </row>
    <row r="297" spans="4:5" x14ac:dyDescent="0.2">
      <c r="D297" s="21"/>
      <c r="E297" s="21"/>
    </row>
    <row r="298" spans="4:5" x14ac:dyDescent="0.2">
      <c r="D298" s="21"/>
      <c r="E298" s="21"/>
    </row>
    <row r="299" spans="4:5" x14ac:dyDescent="0.2">
      <c r="D299" s="21"/>
      <c r="E299" s="21"/>
    </row>
    <row r="300" spans="4:5" x14ac:dyDescent="0.2">
      <c r="D300" s="21"/>
      <c r="E300" s="21"/>
    </row>
    <row r="301" spans="4:5" x14ac:dyDescent="0.2">
      <c r="D301" s="21"/>
      <c r="E301" s="21"/>
    </row>
    <row r="302" spans="4:5" x14ac:dyDescent="0.2">
      <c r="D302" s="21"/>
      <c r="E302" s="21"/>
    </row>
    <row r="303" spans="4:5" x14ac:dyDescent="0.2">
      <c r="D303" s="21"/>
      <c r="E303" s="21"/>
    </row>
    <row r="304" spans="4:5" x14ac:dyDescent="0.2">
      <c r="D304" s="21"/>
      <c r="E304" s="21"/>
    </row>
    <row r="305" spans="4:5" x14ac:dyDescent="0.2">
      <c r="D305" s="21"/>
      <c r="E305" s="21"/>
    </row>
    <row r="306" spans="4:5" x14ac:dyDescent="0.2">
      <c r="D306" s="21"/>
      <c r="E306" s="21"/>
    </row>
    <row r="307" spans="4:5" x14ac:dyDescent="0.2">
      <c r="D307" s="21"/>
      <c r="E307" s="21"/>
    </row>
    <row r="308" spans="4:5" x14ac:dyDescent="0.2">
      <c r="D308" s="21"/>
      <c r="E308" s="21"/>
    </row>
    <row r="309" spans="4:5" x14ac:dyDescent="0.2">
      <c r="D309" s="21"/>
      <c r="E309" s="21"/>
    </row>
    <row r="310" spans="4:5" x14ac:dyDescent="0.2">
      <c r="D310" s="21"/>
      <c r="E310" s="21"/>
    </row>
    <row r="311" spans="4:5" x14ac:dyDescent="0.2">
      <c r="D311" s="21"/>
      <c r="E311" s="21"/>
    </row>
    <row r="312" spans="4:5" x14ac:dyDescent="0.2">
      <c r="D312" s="21"/>
      <c r="E312" s="21"/>
    </row>
    <row r="313" spans="4:5" x14ac:dyDescent="0.2">
      <c r="D313" s="21"/>
      <c r="E313" s="21"/>
    </row>
    <row r="314" spans="4:5" x14ac:dyDescent="0.2">
      <c r="D314" s="21"/>
      <c r="E314" s="21"/>
    </row>
    <row r="315" spans="4:5" x14ac:dyDescent="0.2">
      <c r="D315" s="21"/>
      <c r="E315" s="21"/>
    </row>
    <row r="316" spans="4:5" x14ac:dyDescent="0.2">
      <c r="D316" s="21"/>
      <c r="E316" s="21"/>
    </row>
    <row r="317" spans="4:5" x14ac:dyDescent="0.2">
      <c r="D317" s="21"/>
      <c r="E317" s="21"/>
    </row>
    <row r="318" spans="4:5" x14ac:dyDescent="0.2">
      <c r="D318" s="21"/>
      <c r="E318" s="21"/>
    </row>
    <row r="319" spans="4:5" x14ac:dyDescent="0.2">
      <c r="D319" s="21"/>
      <c r="E319" s="21"/>
    </row>
    <row r="320" spans="4:5" x14ac:dyDescent="0.2">
      <c r="D320" s="21"/>
      <c r="E320" s="21"/>
    </row>
    <row r="321" spans="4:5" x14ac:dyDescent="0.2">
      <c r="D321" s="21"/>
      <c r="E321" s="21"/>
    </row>
    <row r="322" spans="4:5" x14ac:dyDescent="0.2">
      <c r="D322" s="21"/>
      <c r="E322" s="21"/>
    </row>
    <row r="323" spans="4:5" x14ac:dyDescent="0.2">
      <c r="D323" s="21"/>
      <c r="E323" s="21"/>
    </row>
    <row r="324" spans="4:5" x14ac:dyDescent="0.2">
      <c r="D324" s="21"/>
      <c r="E324" s="21"/>
    </row>
    <row r="325" spans="4:5" x14ac:dyDescent="0.2">
      <c r="D325" s="21"/>
      <c r="E325" s="21"/>
    </row>
    <row r="326" spans="4:5" x14ac:dyDescent="0.2">
      <c r="D326" s="21"/>
      <c r="E326" s="21"/>
    </row>
    <row r="327" spans="4:5" x14ac:dyDescent="0.2">
      <c r="D327" s="21"/>
      <c r="E327" s="21"/>
    </row>
    <row r="328" spans="4:5" x14ac:dyDescent="0.2">
      <c r="D328" s="21"/>
      <c r="E328" s="21"/>
    </row>
    <row r="329" spans="4:5" x14ac:dyDescent="0.2">
      <c r="D329" s="21"/>
      <c r="E329" s="21"/>
    </row>
    <row r="330" spans="4:5" x14ac:dyDescent="0.2">
      <c r="D330" s="21"/>
      <c r="E330" s="21"/>
    </row>
    <row r="331" spans="4:5" x14ac:dyDescent="0.2">
      <c r="D331" s="21"/>
      <c r="E331" s="21"/>
    </row>
    <row r="332" spans="4:5" x14ac:dyDescent="0.2">
      <c r="D332" s="21"/>
      <c r="E332" s="21"/>
    </row>
    <row r="333" spans="4:5" x14ac:dyDescent="0.2">
      <c r="D333" s="21"/>
      <c r="E333" s="21"/>
    </row>
    <row r="334" spans="4:5" x14ac:dyDescent="0.2">
      <c r="D334" s="21"/>
      <c r="E334" s="21"/>
    </row>
    <row r="335" spans="4:5" x14ac:dyDescent="0.2">
      <c r="D335" s="21"/>
      <c r="E335" s="21"/>
    </row>
    <row r="336" spans="4:5" x14ac:dyDescent="0.2">
      <c r="D336" s="21"/>
      <c r="E336" s="21"/>
    </row>
    <row r="337" spans="4:5" x14ac:dyDescent="0.2">
      <c r="D337" s="21"/>
      <c r="E337" s="21"/>
    </row>
    <row r="338" spans="4:5" x14ac:dyDescent="0.2">
      <c r="D338" s="21"/>
      <c r="E338" s="21"/>
    </row>
    <row r="339" spans="4:5" x14ac:dyDescent="0.2">
      <c r="D339" s="21"/>
      <c r="E339" s="21"/>
    </row>
    <row r="340" spans="4:5" x14ac:dyDescent="0.2">
      <c r="D340" s="21"/>
      <c r="E340" s="21"/>
    </row>
    <row r="341" spans="4:5" x14ac:dyDescent="0.2">
      <c r="D341" s="21"/>
      <c r="E341" s="21"/>
    </row>
    <row r="342" spans="4:5" x14ac:dyDescent="0.2">
      <c r="D342" s="21"/>
      <c r="E342" s="21"/>
    </row>
    <row r="343" spans="4:5" x14ac:dyDescent="0.2">
      <c r="D343" s="21"/>
      <c r="E343" s="21"/>
    </row>
    <row r="344" spans="4:5" x14ac:dyDescent="0.2">
      <c r="D344" s="21"/>
      <c r="E344" s="21"/>
    </row>
    <row r="345" spans="4:5" x14ac:dyDescent="0.2">
      <c r="D345" s="21"/>
      <c r="E345" s="21"/>
    </row>
    <row r="346" spans="4:5" x14ac:dyDescent="0.2">
      <c r="D346" s="21"/>
      <c r="E346" s="21"/>
    </row>
    <row r="347" spans="4:5" x14ac:dyDescent="0.2">
      <c r="D347" s="21"/>
      <c r="E347" s="21"/>
    </row>
    <row r="348" spans="4:5" x14ac:dyDescent="0.2">
      <c r="D348" s="21"/>
      <c r="E348" s="21"/>
    </row>
    <row r="349" spans="4:5" x14ac:dyDescent="0.2">
      <c r="D349" s="21"/>
      <c r="E349" s="21"/>
    </row>
    <row r="350" spans="4:5" x14ac:dyDescent="0.2">
      <c r="D350" s="21"/>
      <c r="E350" s="21"/>
    </row>
    <row r="351" spans="4:5" x14ac:dyDescent="0.2">
      <c r="D351" s="21"/>
      <c r="E351" s="21"/>
    </row>
    <row r="352" spans="4:5" x14ac:dyDescent="0.2">
      <c r="D352" s="21"/>
      <c r="E352" s="21"/>
    </row>
    <row r="353" spans="4:5" x14ac:dyDescent="0.2">
      <c r="D353" s="21"/>
      <c r="E353" s="21"/>
    </row>
    <row r="354" spans="4:5" x14ac:dyDescent="0.2">
      <c r="D354" s="21"/>
      <c r="E354" s="21"/>
    </row>
    <row r="355" spans="4:5" x14ac:dyDescent="0.2">
      <c r="D355" s="21"/>
      <c r="E355" s="21"/>
    </row>
    <row r="356" spans="4:5" x14ac:dyDescent="0.2">
      <c r="D356" s="21"/>
      <c r="E356" s="21"/>
    </row>
    <row r="357" spans="4:5" x14ac:dyDescent="0.2">
      <c r="D357" s="21"/>
      <c r="E357" s="21"/>
    </row>
    <row r="358" spans="4:5" x14ac:dyDescent="0.2">
      <c r="D358" s="21"/>
      <c r="E358" s="21"/>
    </row>
    <row r="359" spans="4:5" x14ac:dyDescent="0.2">
      <c r="D359" s="21"/>
      <c r="E359" s="21"/>
    </row>
    <row r="360" spans="4:5" x14ac:dyDescent="0.2">
      <c r="D360" s="21"/>
      <c r="E360" s="21"/>
    </row>
    <row r="361" spans="4:5" x14ac:dyDescent="0.2">
      <c r="D361" s="21"/>
      <c r="E361" s="21"/>
    </row>
    <row r="362" spans="4:5" x14ac:dyDescent="0.2">
      <c r="D362" s="21"/>
      <c r="E362" s="21"/>
    </row>
    <row r="363" spans="4:5" x14ac:dyDescent="0.2">
      <c r="D363" s="21"/>
      <c r="E363" s="21"/>
    </row>
    <row r="364" spans="4:5" x14ac:dyDescent="0.2">
      <c r="D364" s="21"/>
      <c r="E364" s="21"/>
    </row>
    <row r="365" spans="4:5" x14ac:dyDescent="0.2">
      <c r="D365" s="21"/>
      <c r="E365" s="21"/>
    </row>
    <row r="366" spans="4:5" x14ac:dyDescent="0.2">
      <c r="D366" s="21"/>
      <c r="E366" s="21"/>
    </row>
    <row r="367" spans="4:5" x14ac:dyDescent="0.2">
      <c r="D367" s="21"/>
      <c r="E367" s="21"/>
    </row>
    <row r="368" spans="4:5" x14ac:dyDescent="0.2">
      <c r="D368" s="21"/>
      <c r="E368" s="21"/>
    </row>
    <row r="369" spans="4:5" x14ac:dyDescent="0.2">
      <c r="D369" s="21"/>
      <c r="E369" s="21"/>
    </row>
    <row r="370" spans="4:5" x14ac:dyDescent="0.2">
      <c r="D370" s="21"/>
      <c r="E370" s="21"/>
    </row>
    <row r="371" spans="4:5" x14ac:dyDescent="0.2">
      <c r="D371" s="21"/>
      <c r="E371" s="21"/>
    </row>
    <row r="372" spans="4:5" x14ac:dyDescent="0.2">
      <c r="D372" s="21"/>
      <c r="E372" s="21"/>
    </row>
    <row r="373" spans="4:5" x14ac:dyDescent="0.2">
      <c r="D373" s="21"/>
      <c r="E373" s="21"/>
    </row>
    <row r="374" spans="4:5" x14ac:dyDescent="0.2">
      <c r="D374" s="21"/>
      <c r="E374" s="21"/>
    </row>
    <row r="375" spans="4:5" x14ac:dyDescent="0.2">
      <c r="D375" s="21"/>
      <c r="E375" s="21"/>
    </row>
    <row r="376" spans="4:5" x14ac:dyDescent="0.2">
      <c r="D376" s="21"/>
      <c r="E376" s="21"/>
    </row>
    <row r="377" spans="4:5" x14ac:dyDescent="0.2">
      <c r="D377" s="21"/>
      <c r="E377" s="21"/>
    </row>
    <row r="378" spans="4:5" x14ac:dyDescent="0.2">
      <c r="D378" s="21"/>
      <c r="E378" s="21"/>
    </row>
    <row r="379" spans="4:5" x14ac:dyDescent="0.2">
      <c r="D379" s="21"/>
      <c r="E379" s="21"/>
    </row>
    <row r="380" spans="4:5" x14ac:dyDescent="0.2">
      <c r="D380" s="21"/>
      <c r="E380" s="21"/>
    </row>
    <row r="381" spans="4:5" x14ac:dyDescent="0.2">
      <c r="D381" s="21"/>
      <c r="E381" s="21"/>
    </row>
    <row r="382" spans="4:5" x14ac:dyDescent="0.2">
      <c r="D382" s="21"/>
      <c r="E382" s="21"/>
    </row>
    <row r="383" spans="4:5" x14ac:dyDescent="0.2">
      <c r="D383" s="21"/>
      <c r="E383" s="21"/>
    </row>
    <row r="384" spans="4:5" x14ac:dyDescent="0.2">
      <c r="D384" s="21"/>
      <c r="E384" s="21"/>
    </row>
    <row r="385" spans="4:5" x14ac:dyDescent="0.2">
      <c r="D385" s="21"/>
      <c r="E385" s="21"/>
    </row>
    <row r="386" spans="4:5" x14ac:dyDescent="0.2">
      <c r="D386" s="21"/>
      <c r="E386" s="21"/>
    </row>
    <row r="387" spans="4:5" x14ac:dyDescent="0.2">
      <c r="D387" s="21"/>
      <c r="E387" s="21"/>
    </row>
    <row r="388" spans="4:5" x14ac:dyDescent="0.2">
      <c r="D388" s="21"/>
      <c r="E388" s="21"/>
    </row>
    <row r="389" spans="4:5" x14ac:dyDescent="0.2">
      <c r="D389" s="21"/>
      <c r="E389" s="21"/>
    </row>
    <row r="390" spans="4:5" x14ac:dyDescent="0.2">
      <c r="D390" s="21"/>
      <c r="E390" s="21"/>
    </row>
    <row r="391" spans="4:5" x14ac:dyDescent="0.2">
      <c r="D391" s="21"/>
      <c r="E391" s="21"/>
    </row>
    <row r="392" spans="4:5" x14ac:dyDescent="0.2">
      <c r="D392" s="21"/>
      <c r="E392" s="21"/>
    </row>
    <row r="393" spans="4:5" x14ac:dyDescent="0.2">
      <c r="D393" s="21"/>
      <c r="E393" s="21"/>
    </row>
    <row r="394" spans="4:5" x14ac:dyDescent="0.2">
      <c r="D394" s="21"/>
      <c r="E394" s="21"/>
    </row>
    <row r="395" spans="4:5" x14ac:dyDescent="0.2">
      <c r="D395" s="21"/>
      <c r="E395" s="21"/>
    </row>
    <row r="396" spans="4:5" x14ac:dyDescent="0.2">
      <c r="D396" s="21"/>
      <c r="E396" s="21"/>
    </row>
    <row r="397" spans="4:5" x14ac:dyDescent="0.2">
      <c r="D397" s="21"/>
      <c r="E397" s="21"/>
    </row>
    <row r="398" spans="4:5" x14ac:dyDescent="0.2">
      <c r="D398" s="21"/>
      <c r="E398" s="21"/>
    </row>
    <row r="399" spans="4:5" x14ac:dyDescent="0.2">
      <c r="D399" s="21"/>
      <c r="E399" s="21"/>
    </row>
    <row r="400" spans="4:5" x14ac:dyDescent="0.2">
      <c r="D400" s="21"/>
      <c r="E400" s="21"/>
    </row>
    <row r="401" spans="4:5" x14ac:dyDescent="0.2">
      <c r="D401" s="21"/>
      <c r="E401" s="21"/>
    </row>
    <row r="402" spans="4:5" x14ac:dyDescent="0.2">
      <c r="D402" s="21"/>
      <c r="E402" s="21"/>
    </row>
    <row r="403" spans="4:5" x14ac:dyDescent="0.2">
      <c r="D403" s="21"/>
      <c r="E403" s="21"/>
    </row>
    <row r="404" spans="4:5" x14ac:dyDescent="0.2">
      <c r="D404" s="21"/>
      <c r="E404" s="21"/>
    </row>
    <row r="405" spans="4:5" x14ac:dyDescent="0.2">
      <c r="D405" s="21"/>
      <c r="E405" s="21"/>
    </row>
    <row r="406" spans="4:5" x14ac:dyDescent="0.2">
      <c r="D406" s="21"/>
      <c r="E406" s="21"/>
    </row>
    <row r="407" spans="4:5" x14ac:dyDescent="0.2">
      <c r="D407" s="21"/>
      <c r="E407" s="21"/>
    </row>
    <row r="408" spans="4:5" x14ac:dyDescent="0.2">
      <c r="D408" s="21"/>
      <c r="E408" s="21"/>
    </row>
    <row r="409" spans="4:5" x14ac:dyDescent="0.2">
      <c r="D409" s="21"/>
      <c r="E409" s="21"/>
    </row>
    <row r="410" spans="4:5" x14ac:dyDescent="0.2">
      <c r="D410" s="21"/>
      <c r="E410" s="21"/>
    </row>
    <row r="411" spans="4:5" x14ac:dyDescent="0.2">
      <c r="D411" s="21"/>
      <c r="E411" s="21"/>
    </row>
    <row r="412" spans="4:5" x14ac:dyDescent="0.2">
      <c r="D412" s="21"/>
      <c r="E412" s="21"/>
    </row>
    <row r="413" spans="4:5" x14ac:dyDescent="0.2">
      <c r="D413" s="21"/>
      <c r="E413" s="21"/>
    </row>
    <row r="414" spans="4:5" x14ac:dyDescent="0.2">
      <c r="D414" s="21"/>
      <c r="E414" s="21"/>
    </row>
    <row r="415" spans="4:5" x14ac:dyDescent="0.2">
      <c r="D415" s="21"/>
      <c r="E415" s="21"/>
    </row>
    <row r="416" spans="4:5" x14ac:dyDescent="0.2">
      <c r="D416" s="21"/>
      <c r="E416" s="21"/>
    </row>
    <row r="417" spans="4:5" x14ac:dyDescent="0.2">
      <c r="D417" s="21"/>
      <c r="E417" s="21"/>
    </row>
    <row r="418" spans="4:5" x14ac:dyDescent="0.2">
      <c r="D418" s="21"/>
      <c r="E418" s="21"/>
    </row>
    <row r="419" spans="4:5" x14ac:dyDescent="0.2">
      <c r="D419" s="21"/>
      <c r="E419" s="21"/>
    </row>
    <row r="420" spans="4:5" x14ac:dyDescent="0.2">
      <c r="D420" s="21"/>
      <c r="E420" s="21"/>
    </row>
    <row r="421" spans="4:5" x14ac:dyDescent="0.2">
      <c r="D421" s="21"/>
      <c r="E421" s="21"/>
    </row>
    <row r="422" spans="4:5" x14ac:dyDescent="0.2">
      <c r="D422" s="21"/>
      <c r="E422" s="21"/>
    </row>
    <row r="423" spans="4:5" x14ac:dyDescent="0.2">
      <c r="D423" s="21"/>
      <c r="E423" s="21"/>
    </row>
    <row r="424" spans="4:5" x14ac:dyDescent="0.2">
      <c r="D424" s="21"/>
      <c r="E424" s="21"/>
    </row>
    <row r="425" spans="4:5" x14ac:dyDescent="0.2">
      <c r="D425" s="21"/>
      <c r="E425" s="21"/>
    </row>
    <row r="426" spans="4:5" x14ac:dyDescent="0.2">
      <c r="D426" s="21"/>
      <c r="E426" s="21"/>
    </row>
    <row r="427" spans="4:5" x14ac:dyDescent="0.2">
      <c r="D427" s="21"/>
      <c r="E427" s="21"/>
    </row>
    <row r="428" spans="4:5" x14ac:dyDescent="0.2">
      <c r="D428" s="21"/>
      <c r="E428" s="21"/>
    </row>
    <row r="429" spans="4:5" x14ac:dyDescent="0.2">
      <c r="D429" s="21"/>
      <c r="E429" s="21"/>
    </row>
    <row r="430" spans="4:5" x14ac:dyDescent="0.2">
      <c r="D430" s="21"/>
      <c r="E430" s="21"/>
    </row>
    <row r="431" spans="4:5" x14ac:dyDescent="0.2">
      <c r="D431" s="21"/>
      <c r="E431" s="21"/>
    </row>
    <row r="432" spans="4:5" x14ac:dyDescent="0.2">
      <c r="D432" s="21"/>
      <c r="E432" s="21"/>
    </row>
    <row r="433" spans="4:5" x14ac:dyDescent="0.2">
      <c r="D433" s="21"/>
      <c r="E433" s="21"/>
    </row>
    <row r="434" spans="4:5" x14ac:dyDescent="0.2">
      <c r="D434" s="21"/>
      <c r="E434" s="21"/>
    </row>
    <row r="435" spans="4:5" x14ac:dyDescent="0.2">
      <c r="D435" s="21"/>
      <c r="E435" s="21"/>
    </row>
    <row r="436" spans="4:5" x14ac:dyDescent="0.2">
      <c r="D436" s="21"/>
      <c r="E436" s="21"/>
    </row>
    <row r="437" spans="4:5" x14ac:dyDescent="0.2">
      <c r="D437" s="21"/>
      <c r="E437" s="21"/>
    </row>
    <row r="438" spans="4:5" x14ac:dyDescent="0.2">
      <c r="D438" s="21"/>
      <c r="E438" s="21"/>
    </row>
    <row r="439" spans="4:5" x14ac:dyDescent="0.2">
      <c r="D439" s="21"/>
      <c r="E439" s="21"/>
    </row>
    <row r="440" spans="4:5" x14ac:dyDescent="0.2">
      <c r="D440" s="21"/>
      <c r="E440" s="21"/>
    </row>
    <row r="441" spans="4:5" x14ac:dyDescent="0.2">
      <c r="D441" s="21"/>
      <c r="E441" s="21"/>
    </row>
    <row r="442" spans="4:5" x14ac:dyDescent="0.2">
      <c r="D442" s="21"/>
      <c r="E442" s="21"/>
    </row>
    <row r="443" spans="4:5" x14ac:dyDescent="0.2">
      <c r="D443" s="21"/>
      <c r="E443" s="21"/>
    </row>
    <row r="444" spans="4:5" x14ac:dyDescent="0.2">
      <c r="D444" s="21"/>
      <c r="E444" s="21"/>
    </row>
    <row r="445" spans="4:5" x14ac:dyDescent="0.2">
      <c r="D445" s="21"/>
      <c r="E445" s="21"/>
    </row>
    <row r="446" spans="4:5" x14ac:dyDescent="0.2">
      <c r="D446" s="21"/>
      <c r="E446" s="21"/>
    </row>
    <row r="447" spans="4:5" x14ac:dyDescent="0.2">
      <c r="D447" s="21"/>
      <c r="E447" s="21"/>
    </row>
    <row r="448" spans="4:5" x14ac:dyDescent="0.2">
      <c r="D448" s="21"/>
      <c r="E448" s="21"/>
    </row>
    <row r="449" spans="4:5" x14ac:dyDescent="0.2">
      <c r="D449" s="21"/>
      <c r="E449" s="21"/>
    </row>
    <row r="450" spans="4:5" x14ac:dyDescent="0.2">
      <c r="D450" s="21"/>
      <c r="E450" s="21"/>
    </row>
    <row r="451" spans="4:5" x14ac:dyDescent="0.2">
      <c r="D451" s="21"/>
      <c r="E451" s="21"/>
    </row>
    <row r="452" spans="4:5" x14ac:dyDescent="0.2">
      <c r="D452" s="21"/>
      <c r="E452" s="21"/>
    </row>
    <row r="453" spans="4:5" x14ac:dyDescent="0.2">
      <c r="D453" s="21"/>
      <c r="E453" s="21"/>
    </row>
    <row r="454" spans="4:5" x14ac:dyDescent="0.2">
      <c r="D454" s="21"/>
      <c r="E454" s="21"/>
    </row>
    <row r="455" spans="4:5" x14ac:dyDescent="0.2">
      <c r="D455" s="21"/>
      <c r="E455" s="21"/>
    </row>
    <row r="456" spans="4:5" x14ac:dyDescent="0.2">
      <c r="D456" s="21"/>
      <c r="E456" s="21"/>
    </row>
    <row r="457" spans="4:5" x14ac:dyDescent="0.2">
      <c r="D457" s="21"/>
      <c r="E457" s="21"/>
    </row>
    <row r="458" spans="4:5" x14ac:dyDescent="0.2">
      <c r="D458" s="21"/>
      <c r="E458" s="21"/>
    </row>
    <row r="459" spans="4:5" x14ac:dyDescent="0.2">
      <c r="D459" s="21"/>
      <c r="E459" s="21"/>
    </row>
    <row r="460" spans="4:5" x14ac:dyDescent="0.2">
      <c r="D460" s="21"/>
      <c r="E460" s="21"/>
    </row>
    <row r="461" spans="4:5" x14ac:dyDescent="0.2">
      <c r="D461" s="21"/>
      <c r="E461" s="21"/>
    </row>
    <row r="462" spans="4:5" x14ac:dyDescent="0.2">
      <c r="D462" s="21"/>
      <c r="E462" s="21"/>
    </row>
    <row r="463" spans="4:5" x14ac:dyDescent="0.2">
      <c r="D463" s="21"/>
      <c r="E463" s="21"/>
    </row>
    <row r="464" spans="4:5" x14ac:dyDescent="0.2">
      <c r="D464" s="21"/>
      <c r="E464" s="21"/>
    </row>
    <row r="465" spans="4:5" x14ac:dyDescent="0.2">
      <c r="D465" s="21"/>
      <c r="E465" s="21"/>
    </row>
    <row r="466" spans="4:5" x14ac:dyDescent="0.2">
      <c r="D466" s="21"/>
      <c r="E466" s="21"/>
    </row>
    <row r="467" spans="4:5" x14ac:dyDescent="0.2">
      <c r="D467" s="21"/>
      <c r="E467" s="21"/>
    </row>
    <row r="468" spans="4:5" x14ac:dyDescent="0.2">
      <c r="D468" s="21"/>
      <c r="E468" s="21"/>
    </row>
    <row r="469" spans="4:5" x14ac:dyDescent="0.2">
      <c r="D469" s="21"/>
      <c r="E469" s="21"/>
    </row>
    <row r="470" spans="4:5" x14ac:dyDescent="0.2">
      <c r="D470" s="21"/>
      <c r="E470" s="21"/>
    </row>
    <row r="471" spans="4:5" x14ac:dyDescent="0.2">
      <c r="D471" s="21"/>
      <c r="E471" s="21"/>
    </row>
    <row r="472" spans="4:5" x14ac:dyDescent="0.2">
      <c r="D472" s="21"/>
      <c r="E472" s="21"/>
    </row>
    <row r="473" spans="4:5" x14ac:dyDescent="0.2">
      <c r="D473" s="21"/>
      <c r="E473" s="21"/>
    </row>
    <row r="474" spans="4:5" x14ac:dyDescent="0.2">
      <c r="D474" s="21"/>
      <c r="E474" s="21"/>
    </row>
    <row r="475" spans="4:5" x14ac:dyDescent="0.2">
      <c r="D475" s="21"/>
      <c r="E475" s="21"/>
    </row>
    <row r="476" spans="4:5" x14ac:dyDescent="0.2">
      <c r="D476" s="21"/>
      <c r="E476" s="21"/>
    </row>
    <row r="477" spans="4:5" x14ac:dyDescent="0.2">
      <c r="D477" s="21"/>
      <c r="E477" s="21"/>
    </row>
    <row r="478" spans="4:5" x14ac:dyDescent="0.2">
      <c r="D478" s="21"/>
      <c r="E478" s="21"/>
    </row>
    <row r="479" spans="4:5" x14ac:dyDescent="0.2">
      <c r="D479" s="21"/>
      <c r="E479" s="21"/>
    </row>
    <row r="480" spans="4:5" x14ac:dyDescent="0.2">
      <c r="D480" s="21"/>
      <c r="E480" s="21"/>
    </row>
    <row r="481" spans="4:5" x14ac:dyDescent="0.2">
      <c r="D481" s="21"/>
      <c r="E481" s="21"/>
    </row>
    <row r="482" spans="4:5" x14ac:dyDescent="0.2">
      <c r="D482" s="21"/>
      <c r="E482" s="21"/>
    </row>
    <row r="483" spans="4:5" x14ac:dyDescent="0.2">
      <c r="D483" s="21"/>
      <c r="E483" s="21"/>
    </row>
    <row r="484" spans="4:5" x14ac:dyDescent="0.2">
      <c r="D484" s="21"/>
      <c r="E484" s="21"/>
    </row>
    <row r="485" spans="4:5" x14ac:dyDescent="0.2">
      <c r="D485" s="21"/>
      <c r="E485" s="21"/>
    </row>
    <row r="486" spans="4:5" x14ac:dyDescent="0.2">
      <c r="D486" s="21"/>
      <c r="E486" s="21"/>
    </row>
    <row r="487" spans="4:5" x14ac:dyDescent="0.2">
      <c r="D487" s="21"/>
      <c r="E487" s="21"/>
    </row>
    <row r="488" spans="4:5" x14ac:dyDescent="0.2">
      <c r="D488" s="21"/>
      <c r="E488" s="21"/>
    </row>
    <row r="489" spans="4:5" x14ac:dyDescent="0.2">
      <c r="D489" s="21"/>
      <c r="E489" s="21"/>
    </row>
    <row r="490" spans="4:5" x14ac:dyDescent="0.2">
      <c r="D490" s="21"/>
      <c r="E490" s="21"/>
    </row>
    <row r="491" spans="4:5" x14ac:dyDescent="0.2">
      <c r="D491" s="21"/>
      <c r="E491" s="21"/>
    </row>
    <row r="492" spans="4:5" x14ac:dyDescent="0.2">
      <c r="D492" s="21"/>
      <c r="E492" s="21"/>
    </row>
    <row r="493" spans="4:5" x14ac:dyDescent="0.2">
      <c r="D493" s="21"/>
      <c r="E493" s="21"/>
    </row>
    <row r="494" spans="4:5" x14ac:dyDescent="0.2">
      <c r="D494" s="21"/>
      <c r="E494" s="21"/>
    </row>
    <row r="495" spans="4:5" x14ac:dyDescent="0.2">
      <c r="D495" s="21"/>
      <c r="E495" s="21"/>
    </row>
    <row r="496" spans="4:5" x14ac:dyDescent="0.2">
      <c r="D496" s="21"/>
      <c r="E496" s="21"/>
    </row>
    <row r="497" spans="4:5" x14ac:dyDescent="0.2">
      <c r="D497" s="21"/>
      <c r="E497" s="21"/>
    </row>
    <row r="498" spans="4:5" x14ac:dyDescent="0.2">
      <c r="D498" s="21"/>
      <c r="E498" s="21"/>
    </row>
    <row r="499" spans="4:5" x14ac:dyDescent="0.2">
      <c r="D499" s="21"/>
      <c r="E499" s="21"/>
    </row>
    <row r="500" spans="4:5" x14ac:dyDescent="0.2">
      <c r="D500" s="21"/>
      <c r="E500" s="21"/>
    </row>
    <row r="501" spans="4:5" x14ac:dyDescent="0.2">
      <c r="D501" s="21"/>
      <c r="E501" s="21"/>
    </row>
    <row r="502" spans="4:5" x14ac:dyDescent="0.2">
      <c r="D502" s="21"/>
      <c r="E502" s="21"/>
    </row>
    <row r="503" spans="4:5" x14ac:dyDescent="0.2">
      <c r="D503" s="21"/>
      <c r="E503" s="21"/>
    </row>
    <row r="504" spans="4:5" x14ac:dyDescent="0.2">
      <c r="D504" s="21"/>
      <c r="E504" s="21"/>
    </row>
    <row r="505" spans="4:5" x14ac:dyDescent="0.2">
      <c r="D505" s="21"/>
      <c r="E505" s="21"/>
    </row>
    <row r="506" spans="4:5" x14ac:dyDescent="0.2">
      <c r="D506" s="21"/>
      <c r="E506" s="21"/>
    </row>
    <row r="507" spans="4:5" x14ac:dyDescent="0.2">
      <c r="D507" s="21"/>
      <c r="E507" s="21"/>
    </row>
    <row r="508" spans="4:5" x14ac:dyDescent="0.2">
      <c r="D508" s="21"/>
      <c r="E508" s="21"/>
    </row>
    <row r="509" spans="4:5" x14ac:dyDescent="0.2">
      <c r="D509" s="21"/>
      <c r="E509" s="21"/>
    </row>
    <row r="510" spans="4:5" x14ac:dyDescent="0.2">
      <c r="D510" s="21"/>
      <c r="E510" s="21"/>
    </row>
    <row r="511" spans="4:5" x14ac:dyDescent="0.2">
      <c r="D511" s="21"/>
      <c r="E511" s="21"/>
    </row>
    <row r="512" spans="4:5" x14ac:dyDescent="0.2">
      <c r="D512" s="21"/>
      <c r="E512" s="21"/>
    </row>
    <row r="513" spans="4:5" x14ac:dyDescent="0.2">
      <c r="D513" s="21"/>
      <c r="E513" s="21"/>
    </row>
    <row r="514" spans="4:5" x14ac:dyDescent="0.2">
      <c r="D514" s="21"/>
      <c r="E514" s="21"/>
    </row>
    <row r="515" spans="4:5" x14ac:dyDescent="0.2">
      <c r="D515" s="21"/>
      <c r="E515" s="21"/>
    </row>
    <row r="516" spans="4:5" x14ac:dyDescent="0.2">
      <c r="D516" s="21"/>
      <c r="E516" s="21"/>
    </row>
    <row r="517" spans="4:5" x14ac:dyDescent="0.2">
      <c r="D517" s="21"/>
      <c r="E517" s="21"/>
    </row>
    <row r="518" spans="4:5" x14ac:dyDescent="0.2">
      <c r="D518" s="21"/>
      <c r="E518" s="21"/>
    </row>
    <row r="519" spans="4:5" x14ac:dyDescent="0.2">
      <c r="D519" s="21"/>
      <c r="E519" s="21"/>
    </row>
    <row r="520" spans="4:5" x14ac:dyDescent="0.2">
      <c r="D520" s="21"/>
      <c r="E520" s="21"/>
    </row>
    <row r="521" spans="4:5" x14ac:dyDescent="0.2">
      <c r="D521" s="21"/>
      <c r="E521" s="21"/>
    </row>
    <row r="522" spans="4:5" x14ac:dyDescent="0.2">
      <c r="D522" s="21"/>
      <c r="E522" s="21"/>
    </row>
    <row r="523" spans="4:5" x14ac:dyDescent="0.2">
      <c r="D523" s="21"/>
      <c r="E523" s="21"/>
    </row>
    <row r="524" spans="4:5" x14ac:dyDescent="0.2">
      <c r="D524" s="21"/>
      <c r="E524" s="21"/>
    </row>
    <row r="525" spans="4:5" x14ac:dyDescent="0.2">
      <c r="D525" s="21"/>
      <c r="E525" s="21"/>
    </row>
    <row r="526" spans="4:5" x14ac:dyDescent="0.2">
      <c r="D526" s="21"/>
      <c r="E526" s="21"/>
    </row>
    <row r="527" spans="4:5" x14ac:dyDescent="0.2">
      <c r="D527" s="21"/>
      <c r="E527" s="21"/>
    </row>
    <row r="528" spans="4:5" x14ac:dyDescent="0.2">
      <c r="D528" s="21"/>
      <c r="E528" s="21"/>
    </row>
    <row r="529" spans="4:5" x14ac:dyDescent="0.2">
      <c r="D529" s="21"/>
      <c r="E529" s="21"/>
    </row>
    <row r="530" spans="4:5" x14ac:dyDescent="0.2">
      <c r="D530" s="21"/>
      <c r="E530" s="21"/>
    </row>
    <row r="531" spans="4:5" x14ac:dyDescent="0.2">
      <c r="D531" s="21"/>
      <c r="E531" s="21"/>
    </row>
    <row r="532" spans="4:5" x14ac:dyDescent="0.2">
      <c r="D532" s="21"/>
      <c r="E532" s="21"/>
    </row>
    <row r="533" spans="4:5" x14ac:dyDescent="0.2">
      <c r="D533" s="21"/>
      <c r="E533" s="21"/>
    </row>
    <row r="534" spans="4:5" x14ac:dyDescent="0.2">
      <c r="D534" s="21"/>
      <c r="E534" s="21"/>
    </row>
    <row r="535" spans="4:5" x14ac:dyDescent="0.2">
      <c r="D535" s="21"/>
      <c r="E535" s="21"/>
    </row>
    <row r="536" spans="4:5" x14ac:dyDescent="0.2">
      <c r="D536" s="21"/>
      <c r="E536" s="21"/>
    </row>
    <row r="537" spans="4:5" x14ac:dyDescent="0.2">
      <c r="D537" s="21"/>
      <c r="E537" s="21"/>
    </row>
    <row r="538" spans="4:5" x14ac:dyDescent="0.2">
      <c r="D538" s="21"/>
      <c r="E538" s="21"/>
    </row>
    <row r="539" spans="4:5" x14ac:dyDescent="0.2">
      <c r="D539" s="21"/>
      <c r="E539" s="21"/>
    </row>
    <row r="540" spans="4:5" x14ac:dyDescent="0.2">
      <c r="D540" s="21"/>
      <c r="E540" s="21"/>
    </row>
    <row r="541" spans="4:5" x14ac:dyDescent="0.2">
      <c r="D541" s="21"/>
      <c r="E541" s="21"/>
    </row>
    <row r="542" spans="4:5" x14ac:dyDescent="0.2">
      <c r="D542" s="21"/>
      <c r="E542" s="21"/>
    </row>
    <row r="543" spans="4:5" x14ac:dyDescent="0.2">
      <c r="D543" s="21"/>
      <c r="E543" s="21"/>
    </row>
    <row r="544" spans="4:5" x14ac:dyDescent="0.2">
      <c r="D544" s="21"/>
      <c r="E544" s="21"/>
    </row>
    <row r="545" spans="4:5" x14ac:dyDescent="0.2">
      <c r="D545" s="21"/>
      <c r="E545" s="21"/>
    </row>
    <row r="546" spans="4:5" x14ac:dyDescent="0.2">
      <c r="D546" s="21"/>
      <c r="E546" s="21"/>
    </row>
    <row r="547" spans="4:5" x14ac:dyDescent="0.2">
      <c r="D547" s="21"/>
      <c r="E547" s="21"/>
    </row>
    <row r="548" spans="4:5" x14ac:dyDescent="0.2">
      <c r="D548" s="21"/>
      <c r="E548" s="21"/>
    </row>
    <row r="549" spans="4:5" x14ac:dyDescent="0.2">
      <c r="D549" s="21"/>
      <c r="E549" s="21"/>
    </row>
    <row r="550" spans="4:5" x14ac:dyDescent="0.2">
      <c r="D550" s="21"/>
      <c r="E550" s="21"/>
    </row>
    <row r="551" spans="4:5" x14ac:dyDescent="0.2">
      <c r="D551" s="21"/>
      <c r="E551" s="21"/>
    </row>
    <row r="552" spans="4:5" x14ac:dyDescent="0.2">
      <c r="D552" s="21"/>
      <c r="E552" s="21"/>
    </row>
    <row r="553" spans="4:5" x14ac:dyDescent="0.2">
      <c r="D553" s="21"/>
      <c r="E553" s="21"/>
    </row>
    <row r="554" spans="4:5" x14ac:dyDescent="0.2">
      <c r="D554" s="21"/>
      <c r="E554" s="21"/>
    </row>
    <row r="555" spans="4:5" x14ac:dyDescent="0.2">
      <c r="D555" s="21"/>
      <c r="E555" s="21"/>
    </row>
    <row r="556" spans="4:5" x14ac:dyDescent="0.2">
      <c r="D556" s="21"/>
      <c r="E556" s="21"/>
    </row>
    <row r="557" spans="4:5" x14ac:dyDescent="0.2">
      <c r="D557" s="21"/>
      <c r="E557" s="21"/>
    </row>
    <row r="558" spans="4:5" x14ac:dyDescent="0.2">
      <c r="D558" s="21"/>
      <c r="E558" s="21"/>
    </row>
    <row r="559" spans="4:5" x14ac:dyDescent="0.2">
      <c r="D559" s="21"/>
      <c r="E559" s="21"/>
    </row>
    <row r="560" spans="4:5" x14ac:dyDescent="0.2">
      <c r="D560" s="21"/>
      <c r="E560" s="21"/>
    </row>
    <row r="561" spans="4:5" x14ac:dyDescent="0.2">
      <c r="D561" s="21"/>
      <c r="E561" s="21"/>
    </row>
    <row r="562" spans="4:5" x14ac:dyDescent="0.2">
      <c r="D562" s="21"/>
      <c r="E562" s="21"/>
    </row>
    <row r="563" spans="4:5" x14ac:dyDescent="0.2">
      <c r="D563" s="21"/>
      <c r="E563" s="21"/>
    </row>
    <row r="564" spans="4:5" x14ac:dyDescent="0.2">
      <c r="D564" s="21"/>
      <c r="E564" s="21"/>
    </row>
    <row r="565" spans="4:5" x14ac:dyDescent="0.2">
      <c r="D565" s="21"/>
      <c r="E565" s="21"/>
    </row>
    <row r="566" spans="4:5" x14ac:dyDescent="0.2">
      <c r="D566" s="21"/>
      <c r="E566" s="21"/>
    </row>
    <row r="567" spans="4:5" x14ac:dyDescent="0.2">
      <c r="D567" s="21"/>
      <c r="E567" s="21"/>
    </row>
    <row r="568" spans="4:5" x14ac:dyDescent="0.2">
      <c r="D568" s="21"/>
      <c r="E568" s="21"/>
    </row>
    <row r="569" spans="4:5" x14ac:dyDescent="0.2">
      <c r="D569" s="21"/>
      <c r="E569" s="21"/>
    </row>
    <row r="570" spans="4:5" x14ac:dyDescent="0.2">
      <c r="D570" s="21"/>
      <c r="E570" s="21"/>
    </row>
    <row r="571" spans="4:5" x14ac:dyDescent="0.2">
      <c r="D571" s="21"/>
      <c r="E571" s="21"/>
    </row>
    <row r="572" spans="4:5" x14ac:dyDescent="0.2">
      <c r="D572" s="21"/>
      <c r="E572" s="21"/>
    </row>
    <row r="573" spans="4:5" x14ac:dyDescent="0.2">
      <c r="D573" s="21"/>
      <c r="E573" s="21"/>
    </row>
    <row r="574" spans="4:5" x14ac:dyDescent="0.2">
      <c r="D574" s="21"/>
      <c r="E574" s="21"/>
    </row>
    <row r="575" spans="4:5" x14ac:dyDescent="0.2">
      <c r="D575" s="21"/>
      <c r="E575" s="21"/>
    </row>
    <row r="576" spans="4:5" x14ac:dyDescent="0.2">
      <c r="D576" s="21"/>
      <c r="E576" s="21"/>
    </row>
    <row r="577" spans="4:5" x14ac:dyDescent="0.2">
      <c r="D577" s="21"/>
      <c r="E577" s="21"/>
    </row>
    <row r="578" spans="4:5" x14ac:dyDescent="0.2">
      <c r="D578" s="21"/>
      <c r="E578" s="21"/>
    </row>
    <row r="579" spans="4:5" x14ac:dyDescent="0.2">
      <c r="D579" s="21"/>
      <c r="E579" s="21"/>
    </row>
    <row r="580" spans="4:5" x14ac:dyDescent="0.2">
      <c r="D580" s="21"/>
      <c r="E580" s="21"/>
    </row>
    <row r="581" spans="4:5" x14ac:dyDescent="0.2">
      <c r="D581" s="21"/>
      <c r="E581" s="21"/>
    </row>
    <row r="582" spans="4:5" x14ac:dyDescent="0.2">
      <c r="D582" s="21"/>
      <c r="E582" s="21"/>
    </row>
    <row r="583" spans="4:5" x14ac:dyDescent="0.2">
      <c r="D583" s="21"/>
      <c r="E583" s="21"/>
    </row>
    <row r="584" spans="4:5" x14ac:dyDescent="0.2">
      <c r="D584" s="21"/>
      <c r="E584" s="21"/>
    </row>
    <row r="585" spans="4:5" x14ac:dyDescent="0.2">
      <c r="D585" s="21"/>
      <c r="E585" s="21"/>
    </row>
    <row r="586" spans="4:5" x14ac:dyDescent="0.2">
      <c r="D586" s="21"/>
      <c r="E586" s="21"/>
    </row>
    <row r="587" spans="4:5" x14ac:dyDescent="0.2">
      <c r="D587" s="21"/>
      <c r="E587" s="21"/>
    </row>
    <row r="588" spans="4:5" x14ac:dyDescent="0.2">
      <c r="D588" s="21"/>
      <c r="E588" s="21"/>
    </row>
    <row r="589" spans="4:5" x14ac:dyDescent="0.2">
      <c r="D589" s="21"/>
      <c r="E589" s="21"/>
    </row>
    <row r="590" spans="4:5" x14ac:dyDescent="0.2">
      <c r="D590" s="21"/>
      <c r="E590" s="21"/>
    </row>
    <row r="591" spans="4:5" x14ac:dyDescent="0.2">
      <c r="D591" s="21"/>
      <c r="E591" s="21"/>
    </row>
    <row r="592" spans="4:5" x14ac:dyDescent="0.2">
      <c r="D592" s="21"/>
      <c r="E592" s="21"/>
    </row>
    <row r="593" spans="4:5" x14ac:dyDescent="0.2">
      <c r="D593" s="21"/>
      <c r="E593" s="21"/>
    </row>
    <row r="594" spans="4:5" x14ac:dyDescent="0.2">
      <c r="D594" s="21"/>
      <c r="E594" s="21"/>
    </row>
    <row r="595" spans="4:5" x14ac:dyDescent="0.2">
      <c r="D595" s="21"/>
      <c r="E595" s="21"/>
    </row>
    <row r="596" spans="4:5" x14ac:dyDescent="0.2">
      <c r="D596" s="21"/>
      <c r="E596" s="21"/>
    </row>
    <row r="597" spans="4:5" x14ac:dyDescent="0.2">
      <c r="D597" s="21"/>
      <c r="E597" s="21"/>
    </row>
    <row r="598" spans="4:5" x14ac:dyDescent="0.2">
      <c r="D598" s="21"/>
      <c r="E598" s="21"/>
    </row>
    <row r="599" spans="4:5" x14ac:dyDescent="0.2">
      <c r="D599" s="21"/>
      <c r="E599" s="21"/>
    </row>
    <row r="600" spans="4:5" x14ac:dyDescent="0.2">
      <c r="D600" s="21"/>
      <c r="E600" s="21"/>
    </row>
    <row r="601" spans="4:5" x14ac:dyDescent="0.2">
      <c r="D601" s="21"/>
      <c r="E601" s="21"/>
    </row>
    <row r="602" spans="4:5" x14ac:dyDescent="0.2">
      <c r="D602" s="21"/>
      <c r="E602" s="21"/>
    </row>
    <row r="603" spans="4:5" x14ac:dyDescent="0.2">
      <c r="D603" s="21"/>
      <c r="E603" s="21"/>
    </row>
    <row r="604" spans="4:5" x14ac:dyDescent="0.2">
      <c r="D604" s="21"/>
      <c r="E604" s="21"/>
    </row>
    <row r="605" spans="4:5" x14ac:dyDescent="0.2">
      <c r="D605" s="21"/>
      <c r="E605" s="21"/>
    </row>
    <row r="606" spans="4:5" x14ac:dyDescent="0.2">
      <c r="D606" s="21"/>
      <c r="E606" s="21"/>
    </row>
    <row r="607" spans="4:5" x14ac:dyDescent="0.2">
      <c r="D607" s="21"/>
      <c r="E607" s="21"/>
    </row>
    <row r="608" spans="4:5" x14ac:dyDescent="0.2">
      <c r="D608" s="21"/>
      <c r="E608" s="21"/>
    </row>
    <row r="609" spans="4:5" x14ac:dyDescent="0.2">
      <c r="D609" s="21"/>
      <c r="E609" s="21"/>
    </row>
    <row r="610" spans="4:5" x14ac:dyDescent="0.2">
      <c r="D610" s="21"/>
      <c r="E610" s="21"/>
    </row>
    <row r="611" spans="4:5" x14ac:dyDescent="0.2">
      <c r="D611" s="21"/>
      <c r="E611" s="21"/>
    </row>
    <row r="612" spans="4:5" x14ac:dyDescent="0.2">
      <c r="D612" s="21"/>
      <c r="E612" s="21"/>
    </row>
    <row r="613" spans="4:5" x14ac:dyDescent="0.2">
      <c r="D613" s="21"/>
      <c r="E613" s="21"/>
    </row>
    <row r="614" spans="4:5" x14ac:dyDescent="0.2">
      <c r="D614" s="21"/>
      <c r="E614" s="21"/>
    </row>
    <row r="615" spans="4:5" x14ac:dyDescent="0.2">
      <c r="D615" s="21"/>
      <c r="E615" s="21"/>
    </row>
    <row r="616" spans="4:5" x14ac:dyDescent="0.2">
      <c r="D616" s="21"/>
      <c r="E616" s="21"/>
    </row>
    <row r="617" spans="4:5" x14ac:dyDescent="0.2">
      <c r="D617" s="21"/>
      <c r="E617" s="21"/>
    </row>
    <row r="618" spans="4:5" x14ac:dyDescent="0.2">
      <c r="D618" s="21"/>
      <c r="E618" s="21"/>
    </row>
    <row r="619" spans="4:5" x14ac:dyDescent="0.2">
      <c r="D619" s="21"/>
      <c r="E619" s="21"/>
    </row>
    <row r="620" spans="4:5" x14ac:dyDescent="0.2">
      <c r="D620" s="21"/>
      <c r="E620" s="21"/>
    </row>
    <row r="621" spans="4:5" x14ac:dyDescent="0.2">
      <c r="D621" s="21"/>
      <c r="E621" s="21"/>
    </row>
    <row r="622" spans="4:5" x14ac:dyDescent="0.2">
      <c r="D622" s="21"/>
      <c r="E622" s="21"/>
    </row>
    <row r="623" spans="4:5" x14ac:dyDescent="0.2">
      <c r="D623" s="21"/>
      <c r="E623" s="21"/>
    </row>
    <row r="624" spans="4:5" x14ac:dyDescent="0.2">
      <c r="D624" s="21"/>
      <c r="E624" s="21"/>
    </row>
    <row r="625" spans="4:5" x14ac:dyDescent="0.2">
      <c r="D625" s="21"/>
      <c r="E625" s="21"/>
    </row>
    <row r="626" spans="4:5" x14ac:dyDescent="0.2">
      <c r="D626" s="21"/>
      <c r="E626" s="21"/>
    </row>
    <row r="627" spans="4:5" x14ac:dyDescent="0.2">
      <c r="D627" s="21"/>
      <c r="E627" s="21"/>
    </row>
    <row r="628" spans="4:5" x14ac:dyDescent="0.2">
      <c r="D628" s="21"/>
      <c r="E628" s="21"/>
    </row>
    <row r="629" spans="4:5" x14ac:dyDescent="0.2">
      <c r="D629" s="21"/>
      <c r="E629" s="21"/>
    </row>
    <row r="630" spans="4:5" x14ac:dyDescent="0.2">
      <c r="D630" s="21"/>
      <c r="E630" s="21"/>
    </row>
    <row r="631" spans="4:5" x14ac:dyDescent="0.2">
      <c r="D631" s="21"/>
      <c r="E631" s="21"/>
    </row>
    <row r="632" spans="4:5" x14ac:dyDescent="0.2">
      <c r="D632" s="21"/>
      <c r="E632" s="21"/>
    </row>
    <row r="633" spans="4:5" x14ac:dyDescent="0.2">
      <c r="D633" s="21"/>
      <c r="E633" s="21"/>
    </row>
    <row r="634" spans="4:5" x14ac:dyDescent="0.2">
      <c r="D634" s="21"/>
      <c r="E634" s="21"/>
    </row>
    <row r="635" spans="4:5" x14ac:dyDescent="0.2">
      <c r="D635" s="21"/>
      <c r="E635" s="21"/>
    </row>
    <row r="636" spans="4:5" x14ac:dyDescent="0.2">
      <c r="D636" s="21"/>
      <c r="E636" s="21"/>
    </row>
    <row r="637" spans="4:5" x14ac:dyDescent="0.2">
      <c r="D637" s="21"/>
      <c r="E637" s="21"/>
    </row>
    <row r="638" spans="4:5" x14ac:dyDescent="0.2">
      <c r="D638" s="21"/>
      <c r="E638" s="21"/>
    </row>
    <row r="639" spans="4:5" x14ac:dyDescent="0.2">
      <c r="D639" s="21"/>
      <c r="E639" s="21"/>
    </row>
    <row r="640" spans="4:5" x14ac:dyDescent="0.2">
      <c r="D640" s="21"/>
      <c r="E640" s="21"/>
    </row>
    <row r="641" spans="4:5" x14ac:dyDescent="0.2">
      <c r="D641" s="21"/>
      <c r="E641" s="21"/>
    </row>
    <row r="642" spans="4:5" x14ac:dyDescent="0.2">
      <c r="D642" s="21"/>
      <c r="E642" s="21"/>
    </row>
    <row r="643" spans="4:5" x14ac:dyDescent="0.2">
      <c r="D643" s="21"/>
      <c r="E643" s="21"/>
    </row>
    <row r="644" spans="4:5" x14ac:dyDescent="0.2">
      <c r="D644" s="21"/>
      <c r="E644" s="21"/>
    </row>
    <row r="645" spans="4:5" x14ac:dyDescent="0.2">
      <c r="D645" s="21"/>
      <c r="E645" s="21"/>
    </row>
    <row r="646" spans="4:5" x14ac:dyDescent="0.2">
      <c r="D646" s="21"/>
      <c r="E646" s="21"/>
    </row>
    <row r="647" spans="4:5" x14ac:dyDescent="0.2">
      <c r="D647" s="21"/>
      <c r="E647" s="21"/>
    </row>
    <row r="648" spans="4:5" x14ac:dyDescent="0.2">
      <c r="D648" s="21"/>
      <c r="E648" s="21"/>
    </row>
    <row r="649" spans="4:5" x14ac:dyDescent="0.2">
      <c r="D649" s="21"/>
      <c r="E649" s="21"/>
    </row>
    <row r="650" spans="4:5" x14ac:dyDescent="0.2">
      <c r="D650" s="21"/>
      <c r="E650" s="21"/>
    </row>
    <row r="651" spans="4:5" x14ac:dyDescent="0.2">
      <c r="D651" s="21"/>
      <c r="E651" s="21"/>
    </row>
    <row r="652" spans="4:5" x14ac:dyDescent="0.2">
      <c r="D652" s="21"/>
      <c r="E652" s="21"/>
    </row>
    <row r="653" spans="4:5" x14ac:dyDescent="0.2">
      <c r="D653" s="21"/>
      <c r="E653" s="21"/>
    </row>
    <row r="654" spans="4:5" x14ac:dyDescent="0.2">
      <c r="D654" s="21"/>
      <c r="E654" s="21"/>
    </row>
    <row r="655" spans="4:5" x14ac:dyDescent="0.2">
      <c r="D655" s="21"/>
      <c r="E655" s="21"/>
    </row>
    <row r="656" spans="4:5" x14ac:dyDescent="0.2">
      <c r="D656" s="21"/>
      <c r="E656" s="21"/>
    </row>
    <row r="657" spans="4:5" x14ac:dyDescent="0.2">
      <c r="D657" s="21"/>
      <c r="E657" s="21"/>
    </row>
    <row r="658" spans="4:5" x14ac:dyDescent="0.2">
      <c r="D658" s="21"/>
      <c r="E658" s="21"/>
    </row>
    <row r="659" spans="4:5" x14ac:dyDescent="0.2">
      <c r="D659" s="21"/>
      <c r="E659" s="21"/>
    </row>
    <row r="660" spans="4:5" x14ac:dyDescent="0.2">
      <c r="D660" s="21"/>
      <c r="E660" s="21"/>
    </row>
    <row r="661" spans="4:5" x14ac:dyDescent="0.2">
      <c r="D661" s="21"/>
      <c r="E661" s="21"/>
    </row>
    <row r="662" spans="4:5" x14ac:dyDescent="0.2">
      <c r="D662" s="21"/>
      <c r="E662" s="21"/>
    </row>
    <row r="663" spans="4:5" x14ac:dyDescent="0.2">
      <c r="D663" s="21"/>
      <c r="E663" s="21"/>
    </row>
    <row r="664" spans="4:5" x14ac:dyDescent="0.2">
      <c r="D664" s="21"/>
      <c r="E664" s="21"/>
    </row>
    <row r="665" spans="4:5" x14ac:dyDescent="0.2">
      <c r="D665" s="21"/>
      <c r="E665" s="21"/>
    </row>
    <row r="666" spans="4:5" x14ac:dyDescent="0.2">
      <c r="D666" s="21"/>
      <c r="E666" s="21"/>
    </row>
    <row r="667" spans="4:5" x14ac:dyDescent="0.2">
      <c r="D667" s="21"/>
      <c r="E667" s="21"/>
    </row>
    <row r="668" spans="4:5" x14ac:dyDescent="0.2">
      <c r="D668" s="21"/>
      <c r="E668" s="21"/>
    </row>
    <row r="669" spans="4:5" x14ac:dyDescent="0.2">
      <c r="D669" s="21"/>
      <c r="E669" s="21"/>
    </row>
    <row r="670" spans="4:5" x14ac:dyDescent="0.2">
      <c r="D670" s="21"/>
      <c r="E670" s="21"/>
    </row>
    <row r="671" spans="4:5" x14ac:dyDescent="0.2">
      <c r="D671" s="21"/>
      <c r="E671" s="21"/>
    </row>
    <row r="672" spans="4:5" x14ac:dyDescent="0.2">
      <c r="D672" s="21"/>
      <c r="E672" s="21"/>
    </row>
    <row r="673" spans="4:5" x14ac:dyDescent="0.2">
      <c r="D673" s="21"/>
      <c r="E673" s="21"/>
    </row>
    <row r="674" spans="4:5" x14ac:dyDescent="0.2">
      <c r="D674" s="21"/>
      <c r="E674" s="21"/>
    </row>
    <row r="675" spans="4:5" x14ac:dyDescent="0.2">
      <c r="D675" s="21"/>
      <c r="E675" s="21"/>
    </row>
    <row r="676" spans="4:5" x14ac:dyDescent="0.2">
      <c r="D676" s="21"/>
      <c r="E676" s="21"/>
    </row>
    <row r="677" spans="4:5" x14ac:dyDescent="0.2">
      <c r="D677" s="21"/>
      <c r="E677" s="21"/>
    </row>
    <row r="678" spans="4:5" x14ac:dyDescent="0.2">
      <c r="D678" s="21"/>
      <c r="E678" s="21"/>
    </row>
    <row r="679" spans="4:5" x14ac:dyDescent="0.2">
      <c r="D679" s="21"/>
      <c r="E679" s="21"/>
    </row>
    <row r="680" spans="4:5" x14ac:dyDescent="0.2">
      <c r="D680" s="21"/>
      <c r="E680" s="21"/>
    </row>
    <row r="681" spans="4:5" x14ac:dyDescent="0.2">
      <c r="D681" s="21"/>
      <c r="E681" s="21"/>
    </row>
    <row r="682" spans="4:5" x14ac:dyDescent="0.2">
      <c r="D682" s="21"/>
      <c r="E682" s="21"/>
    </row>
    <row r="683" spans="4:5" x14ac:dyDescent="0.2">
      <c r="D683" s="21"/>
      <c r="E683" s="21"/>
    </row>
    <row r="684" spans="4:5" x14ac:dyDescent="0.2">
      <c r="D684" s="21"/>
      <c r="E684" s="21"/>
    </row>
    <row r="685" spans="4:5" x14ac:dyDescent="0.2">
      <c r="D685" s="21"/>
      <c r="E685" s="21"/>
    </row>
    <row r="686" spans="4:5" x14ac:dyDescent="0.2">
      <c r="D686" s="21"/>
      <c r="E686" s="21"/>
    </row>
    <row r="687" spans="4:5" x14ac:dyDescent="0.2">
      <c r="D687" s="21"/>
      <c r="E687" s="21"/>
    </row>
    <row r="688" spans="4:5" x14ac:dyDescent="0.2">
      <c r="D688" s="21"/>
      <c r="E688" s="21"/>
    </row>
    <row r="689" spans="4:5" x14ac:dyDescent="0.2">
      <c r="D689" s="21"/>
      <c r="E689" s="21"/>
    </row>
    <row r="690" spans="4:5" x14ac:dyDescent="0.2">
      <c r="D690" s="21"/>
      <c r="E690" s="21"/>
    </row>
    <row r="691" spans="4:5" x14ac:dyDescent="0.2">
      <c r="D691" s="21"/>
      <c r="E691" s="21"/>
    </row>
    <row r="692" spans="4:5" x14ac:dyDescent="0.2">
      <c r="D692" s="21"/>
      <c r="E692" s="21"/>
    </row>
    <row r="693" spans="4:5" x14ac:dyDescent="0.2">
      <c r="D693" s="21"/>
      <c r="E693" s="21"/>
    </row>
    <row r="694" spans="4:5" x14ac:dyDescent="0.2">
      <c r="D694" s="21"/>
      <c r="E694" s="21"/>
    </row>
    <row r="695" spans="4:5" x14ac:dyDescent="0.2">
      <c r="D695" s="21"/>
      <c r="E695" s="21"/>
    </row>
    <row r="696" spans="4:5" x14ac:dyDescent="0.2">
      <c r="D696" s="21"/>
      <c r="E696" s="21"/>
    </row>
    <row r="697" spans="4:5" x14ac:dyDescent="0.2">
      <c r="D697" s="21"/>
      <c r="E697" s="21"/>
    </row>
    <row r="698" spans="4:5" x14ac:dyDescent="0.2">
      <c r="D698" s="21"/>
      <c r="E698" s="21"/>
    </row>
    <row r="699" spans="4:5" x14ac:dyDescent="0.2">
      <c r="D699" s="21"/>
      <c r="E699" s="21"/>
    </row>
    <row r="700" spans="4:5" x14ac:dyDescent="0.2">
      <c r="D700" s="21"/>
      <c r="E700" s="21"/>
    </row>
    <row r="701" spans="4:5" x14ac:dyDescent="0.2">
      <c r="D701" s="21"/>
      <c r="E701" s="21"/>
    </row>
    <row r="702" spans="4:5" x14ac:dyDescent="0.2">
      <c r="D702" s="21"/>
      <c r="E702" s="21"/>
    </row>
    <row r="703" spans="4:5" x14ac:dyDescent="0.2">
      <c r="D703" s="21"/>
      <c r="E703" s="21"/>
    </row>
    <row r="704" spans="4:5" x14ac:dyDescent="0.2">
      <c r="D704" s="21"/>
      <c r="E704" s="21"/>
    </row>
    <row r="705" spans="4:5" x14ac:dyDescent="0.2">
      <c r="D705" s="21"/>
      <c r="E705" s="21"/>
    </row>
    <row r="706" spans="4:5" x14ac:dyDescent="0.2">
      <c r="D706" s="21"/>
      <c r="E706" s="21"/>
    </row>
    <row r="707" spans="4:5" x14ac:dyDescent="0.2">
      <c r="D707" s="21"/>
      <c r="E707" s="21"/>
    </row>
    <row r="708" spans="4:5" x14ac:dyDescent="0.2">
      <c r="D708" s="21"/>
      <c r="E708" s="21"/>
    </row>
    <row r="709" spans="4:5" x14ac:dyDescent="0.2">
      <c r="D709" s="21"/>
      <c r="E709" s="21"/>
    </row>
    <row r="710" spans="4:5" x14ac:dyDescent="0.2">
      <c r="D710" s="21"/>
      <c r="E710" s="21"/>
    </row>
    <row r="711" spans="4:5" x14ac:dyDescent="0.2">
      <c r="D711" s="21"/>
      <c r="E711" s="21"/>
    </row>
    <row r="712" spans="4:5" x14ac:dyDescent="0.2">
      <c r="D712" s="21"/>
      <c r="E712" s="21"/>
    </row>
    <row r="713" spans="4:5" x14ac:dyDescent="0.2">
      <c r="D713" s="21"/>
      <c r="E713" s="21"/>
    </row>
    <row r="714" spans="4:5" x14ac:dyDescent="0.2">
      <c r="D714" s="21"/>
      <c r="E714" s="21"/>
    </row>
    <row r="715" spans="4:5" x14ac:dyDescent="0.2">
      <c r="D715" s="21"/>
      <c r="E715" s="21"/>
    </row>
    <row r="716" spans="4:5" x14ac:dyDescent="0.2">
      <c r="D716" s="21"/>
      <c r="E716" s="21"/>
    </row>
    <row r="717" spans="4:5" x14ac:dyDescent="0.2">
      <c r="D717" s="21"/>
      <c r="E717" s="21"/>
    </row>
    <row r="718" spans="4:5" x14ac:dyDescent="0.2">
      <c r="D718" s="21"/>
      <c r="E718" s="21"/>
    </row>
    <row r="719" spans="4:5" x14ac:dyDescent="0.2">
      <c r="D719" s="21"/>
      <c r="E719" s="21"/>
    </row>
    <row r="720" spans="4:5" x14ac:dyDescent="0.2">
      <c r="D720" s="21"/>
      <c r="E720" s="21"/>
    </row>
    <row r="721" spans="4:5" x14ac:dyDescent="0.2">
      <c r="D721" s="21"/>
      <c r="E721" s="21"/>
    </row>
    <row r="722" spans="4:5" x14ac:dyDescent="0.2">
      <c r="D722" s="21"/>
      <c r="E722" s="21"/>
    </row>
    <row r="723" spans="4:5" x14ac:dyDescent="0.2">
      <c r="D723" s="21"/>
      <c r="E723" s="21"/>
    </row>
    <row r="724" spans="4:5" x14ac:dyDescent="0.2">
      <c r="D724" s="21"/>
      <c r="E724" s="21"/>
    </row>
    <row r="725" spans="4:5" x14ac:dyDescent="0.2">
      <c r="D725" s="21"/>
      <c r="E725" s="21"/>
    </row>
    <row r="726" spans="4:5" x14ac:dyDescent="0.2">
      <c r="D726" s="21"/>
      <c r="E726" s="21"/>
    </row>
    <row r="727" spans="4:5" x14ac:dyDescent="0.2">
      <c r="D727" s="21"/>
      <c r="E727" s="21"/>
    </row>
    <row r="728" spans="4:5" x14ac:dyDescent="0.2">
      <c r="D728" s="21"/>
      <c r="E728" s="21"/>
    </row>
    <row r="729" spans="4:5" x14ac:dyDescent="0.2">
      <c r="D729" s="21"/>
      <c r="E729" s="21"/>
    </row>
    <row r="730" spans="4:5" x14ac:dyDescent="0.2">
      <c r="D730" s="21"/>
      <c r="E730" s="21"/>
    </row>
    <row r="731" spans="4:5" x14ac:dyDescent="0.2">
      <c r="D731" s="21"/>
      <c r="E731" s="21"/>
    </row>
    <row r="732" spans="4:5" x14ac:dyDescent="0.2">
      <c r="D732" s="21"/>
      <c r="E732" s="21"/>
    </row>
    <row r="733" spans="4:5" x14ac:dyDescent="0.2">
      <c r="D733" s="21"/>
      <c r="E733" s="21"/>
    </row>
    <row r="734" spans="4:5" x14ac:dyDescent="0.2">
      <c r="D734" s="21"/>
      <c r="E734" s="21"/>
    </row>
    <row r="735" spans="4:5" x14ac:dyDescent="0.2">
      <c r="D735" s="21"/>
      <c r="E735" s="21"/>
    </row>
    <row r="736" spans="4:5" x14ac:dyDescent="0.2">
      <c r="D736" s="21"/>
      <c r="E736" s="21"/>
    </row>
    <row r="737" spans="4:5" x14ac:dyDescent="0.2">
      <c r="D737" s="21"/>
      <c r="E737" s="21"/>
    </row>
    <row r="738" spans="4:5" x14ac:dyDescent="0.2">
      <c r="D738" s="21"/>
      <c r="E738" s="21"/>
    </row>
    <row r="739" spans="4:5" x14ac:dyDescent="0.2">
      <c r="D739" s="21"/>
      <c r="E739" s="21"/>
    </row>
    <row r="740" spans="4:5" x14ac:dyDescent="0.2">
      <c r="D740" s="21"/>
      <c r="E740" s="21"/>
    </row>
    <row r="741" spans="4:5" x14ac:dyDescent="0.2">
      <c r="D741" s="21"/>
      <c r="E741" s="21"/>
    </row>
    <row r="742" spans="4:5" x14ac:dyDescent="0.2">
      <c r="D742" s="21"/>
      <c r="E742" s="21"/>
    </row>
    <row r="743" spans="4:5" x14ac:dyDescent="0.2">
      <c r="D743" s="21"/>
      <c r="E743" s="21"/>
    </row>
    <row r="744" spans="4:5" x14ac:dyDescent="0.2">
      <c r="D744" s="21"/>
      <c r="E744" s="21"/>
    </row>
    <row r="745" spans="4:5" x14ac:dyDescent="0.2">
      <c r="D745" s="21"/>
      <c r="E745" s="21"/>
    </row>
    <row r="746" spans="4:5" x14ac:dyDescent="0.2">
      <c r="D746" s="21"/>
      <c r="E746" s="21"/>
    </row>
    <row r="747" spans="4:5" x14ac:dyDescent="0.2">
      <c r="D747" s="21"/>
      <c r="E747" s="21"/>
    </row>
    <row r="748" spans="4:5" x14ac:dyDescent="0.2">
      <c r="D748" s="21"/>
      <c r="E748" s="21"/>
    </row>
    <row r="749" spans="4:5" x14ac:dyDescent="0.2">
      <c r="D749" s="21"/>
      <c r="E749" s="21"/>
    </row>
    <row r="750" spans="4:5" x14ac:dyDescent="0.2">
      <c r="D750" s="21"/>
      <c r="E750" s="21"/>
    </row>
    <row r="751" spans="4:5" x14ac:dyDescent="0.2">
      <c r="D751" s="21"/>
      <c r="E751" s="21"/>
    </row>
    <row r="752" spans="4:5" x14ac:dyDescent="0.2">
      <c r="D752" s="21"/>
      <c r="E752" s="21"/>
    </row>
    <row r="753" spans="4:5" x14ac:dyDescent="0.2">
      <c r="D753" s="21"/>
      <c r="E753" s="21"/>
    </row>
    <row r="754" spans="4:5" x14ac:dyDescent="0.2">
      <c r="D754" s="21"/>
      <c r="E754" s="21"/>
    </row>
    <row r="755" spans="4:5" x14ac:dyDescent="0.2">
      <c r="D755" s="21"/>
      <c r="E755" s="21"/>
    </row>
    <row r="756" spans="4:5" x14ac:dyDescent="0.2">
      <c r="D756" s="21"/>
      <c r="E756" s="21"/>
    </row>
    <row r="757" spans="4:5" x14ac:dyDescent="0.2">
      <c r="D757" s="21"/>
      <c r="E757" s="21"/>
    </row>
    <row r="758" spans="4:5" x14ac:dyDescent="0.2">
      <c r="D758" s="21"/>
      <c r="E758" s="21"/>
    </row>
    <row r="759" spans="4:5" x14ac:dyDescent="0.2">
      <c r="D759" s="21"/>
      <c r="E759" s="21"/>
    </row>
    <row r="760" spans="4:5" x14ac:dyDescent="0.2">
      <c r="D760" s="21"/>
      <c r="E760" s="21"/>
    </row>
    <row r="761" spans="4:5" x14ac:dyDescent="0.2">
      <c r="D761" s="21"/>
      <c r="E761" s="21"/>
    </row>
    <row r="762" spans="4:5" x14ac:dyDescent="0.2">
      <c r="D762" s="21"/>
      <c r="E762" s="21"/>
    </row>
    <row r="763" spans="4:5" x14ac:dyDescent="0.2">
      <c r="D763" s="21"/>
      <c r="E763" s="21"/>
    </row>
    <row r="764" spans="4:5" x14ac:dyDescent="0.2">
      <c r="D764" s="21"/>
      <c r="E764" s="21"/>
    </row>
    <row r="765" spans="4:5" x14ac:dyDescent="0.2">
      <c r="D765" s="21"/>
      <c r="E765" s="21"/>
    </row>
    <row r="766" spans="4:5" x14ac:dyDescent="0.2">
      <c r="D766" s="21"/>
      <c r="E766" s="21"/>
    </row>
    <row r="767" spans="4:5" x14ac:dyDescent="0.2">
      <c r="D767" s="21"/>
      <c r="E767" s="21"/>
    </row>
    <row r="768" spans="4:5" x14ac:dyDescent="0.2">
      <c r="D768" s="21"/>
      <c r="E768" s="21"/>
    </row>
    <row r="769" spans="4:5" x14ac:dyDescent="0.2">
      <c r="D769" s="21"/>
      <c r="E769" s="21"/>
    </row>
    <row r="770" spans="4:5" x14ac:dyDescent="0.2">
      <c r="D770" s="21"/>
      <c r="E770" s="21"/>
    </row>
    <row r="771" spans="4:5" x14ac:dyDescent="0.2">
      <c r="D771" s="21"/>
      <c r="E771" s="21"/>
    </row>
    <row r="772" spans="4:5" x14ac:dyDescent="0.2">
      <c r="D772" s="21"/>
      <c r="E772" s="21"/>
    </row>
    <row r="773" spans="4:5" x14ac:dyDescent="0.2">
      <c r="D773" s="21"/>
      <c r="E773" s="21"/>
    </row>
    <row r="774" spans="4:5" x14ac:dyDescent="0.2">
      <c r="D774" s="21"/>
      <c r="E774" s="21"/>
    </row>
    <row r="775" spans="4:5" x14ac:dyDescent="0.2">
      <c r="D775" s="21"/>
      <c r="E775" s="21"/>
    </row>
    <row r="776" spans="4:5" x14ac:dyDescent="0.2">
      <c r="D776" s="21"/>
      <c r="E776" s="21"/>
    </row>
    <row r="777" spans="4:5" x14ac:dyDescent="0.2">
      <c r="D777" s="21"/>
      <c r="E777" s="21"/>
    </row>
    <row r="778" spans="4:5" x14ac:dyDescent="0.2">
      <c r="D778" s="21"/>
      <c r="E778" s="21"/>
    </row>
    <row r="779" spans="4:5" x14ac:dyDescent="0.2">
      <c r="D779" s="21"/>
      <c r="E779" s="21"/>
    </row>
    <row r="780" spans="4:5" x14ac:dyDescent="0.2">
      <c r="D780" s="21"/>
      <c r="E780" s="21"/>
    </row>
    <row r="781" spans="4:5" x14ac:dyDescent="0.2">
      <c r="D781" s="21"/>
      <c r="E781" s="21"/>
    </row>
    <row r="782" spans="4:5" x14ac:dyDescent="0.2">
      <c r="D782" s="21"/>
      <c r="E782" s="21"/>
    </row>
    <row r="783" spans="4:5" x14ac:dyDescent="0.2">
      <c r="D783" s="21"/>
      <c r="E783" s="21"/>
    </row>
    <row r="784" spans="4:5" x14ac:dyDescent="0.2">
      <c r="D784" s="21"/>
      <c r="E784" s="21"/>
    </row>
    <row r="785" spans="4:5" x14ac:dyDescent="0.2">
      <c r="D785" s="21"/>
      <c r="E785" s="21"/>
    </row>
    <row r="786" spans="4:5" x14ac:dyDescent="0.2">
      <c r="D786" s="21"/>
      <c r="E786" s="21"/>
    </row>
    <row r="787" spans="4:5" x14ac:dyDescent="0.2">
      <c r="D787" s="21"/>
      <c r="E787" s="21"/>
    </row>
    <row r="788" spans="4:5" x14ac:dyDescent="0.2">
      <c r="D788" s="21"/>
      <c r="E788" s="21"/>
    </row>
    <row r="789" spans="4:5" x14ac:dyDescent="0.2">
      <c r="D789" s="21"/>
      <c r="E789" s="21"/>
    </row>
    <row r="790" spans="4:5" x14ac:dyDescent="0.2">
      <c r="D790" s="21"/>
      <c r="E790" s="21"/>
    </row>
    <row r="791" spans="4:5" x14ac:dyDescent="0.2">
      <c r="D791" s="21"/>
      <c r="E791" s="21"/>
    </row>
    <row r="792" spans="4:5" x14ac:dyDescent="0.2">
      <c r="D792" s="21"/>
      <c r="E792" s="21"/>
    </row>
    <row r="793" spans="4:5" x14ac:dyDescent="0.2">
      <c r="D793" s="21"/>
      <c r="E793" s="21"/>
    </row>
    <row r="794" spans="4:5" x14ac:dyDescent="0.2">
      <c r="D794" s="21"/>
      <c r="E794" s="21"/>
    </row>
    <row r="795" spans="4:5" x14ac:dyDescent="0.2">
      <c r="D795" s="21"/>
      <c r="E795" s="21"/>
    </row>
    <row r="796" spans="4:5" x14ac:dyDescent="0.2">
      <c r="D796" s="21"/>
      <c r="E796" s="21"/>
    </row>
    <row r="797" spans="4:5" x14ac:dyDescent="0.2">
      <c r="D797" s="21"/>
      <c r="E797" s="21"/>
    </row>
    <row r="798" spans="4:5" x14ac:dyDescent="0.2">
      <c r="D798" s="21"/>
      <c r="E798" s="21"/>
    </row>
    <row r="799" spans="4:5" x14ac:dyDescent="0.2">
      <c r="D799" s="21"/>
      <c r="E799" s="21"/>
    </row>
    <row r="800" spans="4:5" x14ac:dyDescent="0.2">
      <c r="D800" s="21"/>
      <c r="E800" s="21"/>
    </row>
    <row r="801" spans="4:5" x14ac:dyDescent="0.2">
      <c r="D801" s="21"/>
      <c r="E801" s="21"/>
    </row>
    <row r="802" spans="4:5" x14ac:dyDescent="0.2">
      <c r="D802" s="21"/>
      <c r="E802" s="21"/>
    </row>
    <row r="803" spans="4:5" x14ac:dyDescent="0.2">
      <c r="D803" s="21"/>
      <c r="E803" s="21"/>
    </row>
    <row r="804" spans="4:5" x14ac:dyDescent="0.2">
      <c r="D804" s="21"/>
      <c r="E804" s="21"/>
    </row>
    <row r="805" spans="4:5" x14ac:dyDescent="0.2">
      <c r="D805" s="21"/>
      <c r="E805" s="21"/>
    </row>
    <row r="806" spans="4:5" x14ac:dyDescent="0.2">
      <c r="D806" s="21"/>
      <c r="E806" s="21"/>
    </row>
    <row r="807" spans="4:5" x14ac:dyDescent="0.2">
      <c r="D807" s="21"/>
      <c r="E807" s="21"/>
    </row>
    <row r="808" spans="4:5" x14ac:dyDescent="0.2">
      <c r="D808" s="21"/>
      <c r="E808" s="21"/>
    </row>
    <row r="809" spans="4:5" x14ac:dyDescent="0.2">
      <c r="D809" s="21"/>
      <c r="E809" s="21"/>
    </row>
    <row r="810" spans="4:5" x14ac:dyDescent="0.2">
      <c r="D810" s="21"/>
      <c r="E810" s="21"/>
    </row>
    <row r="811" spans="4:5" x14ac:dyDescent="0.2">
      <c r="D811" s="21"/>
      <c r="E811" s="21"/>
    </row>
    <row r="812" spans="4:5" x14ac:dyDescent="0.2">
      <c r="D812" s="21"/>
      <c r="E812" s="21"/>
    </row>
    <row r="813" spans="4:5" x14ac:dyDescent="0.2">
      <c r="D813" s="21"/>
      <c r="E813" s="21"/>
    </row>
    <row r="814" spans="4:5" x14ac:dyDescent="0.2">
      <c r="D814" s="21"/>
      <c r="E814" s="21"/>
    </row>
    <row r="815" spans="4:5" x14ac:dyDescent="0.2">
      <c r="D815" s="21"/>
      <c r="E815" s="21"/>
    </row>
    <row r="816" spans="4:5" x14ac:dyDescent="0.2">
      <c r="D816" s="21"/>
      <c r="E816" s="21"/>
    </row>
    <row r="817" spans="4:5" x14ac:dyDescent="0.2">
      <c r="D817" s="21"/>
      <c r="E817" s="21"/>
    </row>
    <row r="818" spans="4:5" x14ac:dyDescent="0.2">
      <c r="D818" s="21"/>
      <c r="E818" s="21"/>
    </row>
    <row r="819" spans="4:5" x14ac:dyDescent="0.2">
      <c r="D819" s="21"/>
      <c r="E819" s="21"/>
    </row>
    <row r="820" spans="4:5" x14ac:dyDescent="0.2">
      <c r="D820" s="21"/>
      <c r="E820" s="21"/>
    </row>
    <row r="821" spans="4:5" x14ac:dyDescent="0.2">
      <c r="D821" s="21"/>
      <c r="E821" s="21"/>
    </row>
    <row r="822" spans="4:5" x14ac:dyDescent="0.2">
      <c r="D822" s="21"/>
      <c r="E822" s="21"/>
    </row>
    <row r="823" spans="4:5" x14ac:dyDescent="0.2">
      <c r="D823" s="21"/>
      <c r="E823" s="21"/>
    </row>
    <row r="824" spans="4:5" x14ac:dyDescent="0.2">
      <c r="D824" s="21"/>
      <c r="E824" s="21"/>
    </row>
    <row r="825" spans="4:5" x14ac:dyDescent="0.2">
      <c r="D825" s="21"/>
      <c r="E825" s="21"/>
    </row>
    <row r="826" spans="4:5" x14ac:dyDescent="0.2">
      <c r="D826" s="21"/>
      <c r="E826" s="21"/>
    </row>
    <row r="827" spans="4:5" x14ac:dyDescent="0.2">
      <c r="D827" s="21"/>
      <c r="E827" s="21"/>
    </row>
    <row r="828" spans="4:5" x14ac:dyDescent="0.2">
      <c r="D828" s="21"/>
      <c r="E828" s="21"/>
    </row>
    <row r="829" spans="4:5" x14ac:dyDescent="0.2">
      <c r="D829" s="21"/>
      <c r="E829" s="21"/>
    </row>
    <row r="830" spans="4:5" x14ac:dyDescent="0.2">
      <c r="D830" s="21"/>
      <c r="E830" s="21"/>
    </row>
    <row r="831" spans="4:5" x14ac:dyDescent="0.2">
      <c r="D831" s="21"/>
      <c r="E831" s="21"/>
    </row>
    <row r="832" spans="4:5" x14ac:dyDescent="0.2">
      <c r="D832" s="21"/>
      <c r="E832" s="21"/>
    </row>
    <row r="833" spans="4:5" x14ac:dyDescent="0.2">
      <c r="D833" s="21"/>
      <c r="E833" s="21"/>
    </row>
    <row r="834" spans="4:5" x14ac:dyDescent="0.2">
      <c r="D834" s="21"/>
      <c r="E834" s="21"/>
    </row>
    <row r="835" spans="4:5" x14ac:dyDescent="0.2">
      <c r="D835" s="21"/>
      <c r="E835" s="21"/>
    </row>
    <row r="836" spans="4:5" x14ac:dyDescent="0.2">
      <c r="D836" s="21"/>
      <c r="E836" s="21"/>
    </row>
    <row r="837" spans="4:5" x14ac:dyDescent="0.2">
      <c r="D837" s="21"/>
      <c r="E837" s="21"/>
    </row>
    <row r="838" spans="4:5" x14ac:dyDescent="0.2">
      <c r="D838" s="21"/>
      <c r="E838" s="21"/>
    </row>
    <row r="839" spans="4:5" x14ac:dyDescent="0.2">
      <c r="D839" s="21"/>
      <c r="E839" s="21"/>
    </row>
    <row r="840" spans="4:5" x14ac:dyDescent="0.2">
      <c r="D840" s="21"/>
      <c r="E840" s="21"/>
    </row>
    <row r="841" spans="4:5" x14ac:dyDescent="0.2">
      <c r="D841" s="21"/>
      <c r="E841" s="21"/>
    </row>
    <row r="842" spans="4:5" x14ac:dyDescent="0.2">
      <c r="D842" s="21"/>
      <c r="E842" s="21"/>
    </row>
    <row r="843" spans="4:5" x14ac:dyDescent="0.2">
      <c r="D843" s="21"/>
      <c r="E843" s="21"/>
    </row>
    <row r="844" spans="4:5" x14ac:dyDescent="0.2">
      <c r="D844" s="21"/>
      <c r="E844" s="21"/>
    </row>
    <row r="845" spans="4:5" x14ac:dyDescent="0.2">
      <c r="D845" s="21"/>
      <c r="E845" s="21"/>
    </row>
    <row r="846" spans="4:5" x14ac:dyDescent="0.2">
      <c r="D846" s="21"/>
      <c r="E846" s="21"/>
    </row>
    <row r="847" spans="4:5" x14ac:dyDescent="0.2">
      <c r="D847" s="21"/>
      <c r="E847" s="21"/>
    </row>
    <row r="848" spans="4:5" x14ac:dyDescent="0.2">
      <c r="D848" s="21"/>
      <c r="E848" s="21"/>
    </row>
    <row r="849" spans="4:5" x14ac:dyDescent="0.2">
      <c r="D849" s="21"/>
      <c r="E849" s="21"/>
    </row>
    <row r="850" spans="4:5" x14ac:dyDescent="0.2">
      <c r="D850" s="21"/>
      <c r="E850" s="21"/>
    </row>
    <row r="851" spans="4:5" x14ac:dyDescent="0.2">
      <c r="D851" s="21"/>
      <c r="E851" s="21"/>
    </row>
    <row r="852" spans="4:5" x14ac:dyDescent="0.2">
      <c r="D852" s="21"/>
      <c r="E852" s="21"/>
    </row>
    <row r="853" spans="4:5" x14ac:dyDescent="0.2">
      <c r="D853" s="21"/>
      <c r="E853" s="21"/>
    </row>
    <row r="854" spans="4:5" x14ac:dyDescent="0.2">
      <c r="D854" s="21"/>
      <c r="E854" s="21"/>
    </row>
    <row r="855" spans="4:5" x14ac:dyDescent="0.2">
      <c r="D855" s="21"/>
      <c r="E855" s="21"/>
    </row>
    <row r="856" spans="4:5" x14ac:dyDescent="0.2">
      <c r="D856" s="21"/>
      <c r="E856" s="21"/>
    </row>
    <row r="857" spans="4:5" x14ac:dyDescent="0.2">
      <c r="D857" s="21"/>
      <c r="E857" s="21"/>
    </row>
    <row r="858" spans="4:5" x14ac:dyDescent="0.2">
      <c r="D858" s="21"/>
      <c r="E858" s="21"/>
    </row>
    <row r="859" spans="4:5" x14ac:dyDescent="0.2">
      <c r="D859" s="21"/>
      <c r="E859" s="21"/>
    </row>
    <row r="860" spans="4:5" x14ac:dyDescent="0.2">
      <c r="D860" s="21"/>
      <c r="E860" s="21"/>
    </row>
    <row r="861" spans="4:5" x14ac:dyDescent="0.2">
      <c r="D861" s="21"/>
      <c r="E861" s="21"/>
    </row>
    <row r="862" spans="4:5" x14ac:dyDescent="0.2">
      <c r="D862" s="21"/>
      <c r="E862" s="21"/>
    </row>
    <row r="863" spans="4:5" x14ac:dyDescent="0.2">
      <c r="D863" s="21"/>
      <c r="E863" s="21"/>
    </row>
    <row r="864" spans="4:5" x14ac:dyDescent="0.2">
      <c r="D864" s="21"/>
      <c r="E864" s="21"/>
    </row>
    <row r="865" spans="4:5" x14ac:dyDescent="0.2">
      <c r="D865" s="21"/>
      <c r="E865" s="21"/>
    </row>
    <row r="866" spans="4:5" x14ac:dyDescent="0.2">
      <c r="D866" s="21"/>
      <c r="E866" s="21"/>
    </row>
    <row r="867" spans="4:5" x14ac:dyDescent="0.2">
      <c r="D867" s="21"/>
      <c r="E867" s="21"/>
    </row>
    <row r="868" spans="4:5" x14ac:dyDescent="0.2">
      <c r="D868" s="21"/>
      <c r="E868" s="21"/>
    </row>
    <row r="869" spans="4:5" x14ac:dyDescent="0.2">
      <c r="D869" s="21"/>
      <c r="E869" s="21"/>
    </row>
    <row r="870" spans="4:5" x14ac:dyDescent="0.2">
      <c r="D870" s="21"/>
      <c r="E870" s="21"/>
    </row>
    <row r="871" spans="4:5" x14ac:dyDescent="0.2">
      <c r="D871" s="21"/>
      <c r="E871" s="21"/>
    </row>
    <row r="872" spans="4:5" x14ac:dyDescent="0.2">
      <c r="D872" s="21"/>
      <c r="E872" s="21"/>
    </row>
    <row r="873" spans="4:5" x14ac:dyDescent="0.2">
      <c r="D873" s="21"/>
      <c r="E873" s="21"/>
    </row>
    <row r="874" spans="4:5" x14ac:dyDescent="0.2">
      <c r="D874" s="21"/>
      <c r="E874" s="21"/>
    </row>
    <row r="875" spans="4:5" x14ac:dyDescent="0.2">
      <c r="D875" s="21"/>
      <c r="E875" s="21"/>
    </row>
    <row r="876" spans="4:5" x14ac:dyDescent="0.2">
      <c r="D876" s="21"/>
      <c r="E876" s="21"/>
    </row>
    <row r="877" spans="4:5" x14ac:dyDescent="0.2">
      <c r="D877" s="21"/>
      <c r="E877" s="21"/>
    </row>
    <row r="878" spans="4:5" x14ac:dyDescent="0.2">
      <c r="D878" s="21"/>
      <c r="E878" s="21"/>
    </row>
    <row r="879" spans="4:5" x14ac:dyDescent="0.2">
      <c r="D879" s="21"/>
      <c r="E879" s="21"/>
    </row>
    <row r="880" spans="4:5" x14ac:dyDescent="0.2">
      <c r="D880" s="21"/>
      <c r="E880" s="21"/>
    </row>
    <row r="881" spans="4:5" x14ac:dyDescent="0.2">
      <c r="D881" s="21"/>
      <c r="E881" s="21"/>
    </row>
    <row r="882" spans="4:5" x14ac:dyDescent="0.2">
      <c r="D882" s="21"/>
      <c r="E882" s="21"/>
    </row>
    <row r="883" spans="4:5" x14ac:dyDescent="0.2">
      <c r="D883" s="21"/>
      <c r="E883" s="21"/>
    </row>
    <row r="884" spans="4:5" x14ac:dyDescent="0.2">
      <c r="D884" s="21"/>
      <c r="E884" s="21"/>
    </row>
    <row r="885" spans="4:5" x14ac:dyDescent="0.2">
      <c r="D885" s="21"/>
      <c r="E885" s="21"/>
    </row>
    <row r="886" spans="4:5" x14ac:dyDescent="0.2">
      <c r="D886" s="21"/>
      <c r="E886" s="21"/>
    </row>
    <row r="887" spans="4:5" x14ac:dyDescent="0.2">
      <c r="D887" s="21"/>
      <c r="E887" s="21"/>
    </row>
    <row r="888" spans="4:5" x14ac:dyDescent="0.2">
      <c r="D888" s="21"/>
      <c r="E888" s="21"/>
    </row>
    <row r="889" spans="4:5" x14ac:dyDescent="0.2">
      <c r="D889" s="21"/>
      <c r="E889" s="21"/>
    </row>
    <row r="890" spans="4:5" x14ac:dyDescent="0.2">
      <c r="D890" s="21"/>
      <c r="E890" s="21"/>
    </row>
    <row r="891" spans="4:5" x14ac:dyDescent="0.2">
      <c r="D891" s="21"/>
      <c r="E891" s="21"/>
    </row>
    <row r="892" spans="4:5" x14ac:dyDescent="0.2">
      <c r="D892" s="21"/>
      <c r="E892" s="21"/>
    </row>
    <row r="893" spans="4:5" x14ac:dyDescent="0.2">
      <c r="D893" s="21"/>
      <c r="E893" s="21"/>
    </row>
    <row r="894" spans="4:5" x14ac:dyDescent="0.2">
      <c r="D894" s="21"/>
      <c r="E894" s="21"/>
    </row>
    <row r="895" spans="4:5" x14ac:dyDescent="0.2">
      <c r="D895" s="21"/>
      <c r="E895" s="21"/>
    </row>
    <row r="896" spans="4:5" x14ac:dyDescent="0.2">
      <c r="D896" s="21"/>
      <c r="E896" s="21"/>
    </row>
    <row r="897" spans="4:5" x14ac:dyDescent="0.2">
      <c r="D897" s="21"/>
      <c r="E897" s="21"/>
    </row>
    <row r="898" spans="4:5" x14ac:dyDescent="0.2">
      <c r="D898" s="21"/>
      <c r="E898" s="21"/>
    </row>
    <row r="899" spans="4:5" x14ac:dyDescent="0.2">
      <c r="D899" s="21"/>
      <c r="E899" s="21"/>
    </row>
    <row r="900" spans="4:5" x14ac:dyDescent="0.2">
      <c r="D900" s="21"/>
      <c r="E900" s="21"/>
    </row>
    <row r="901" spans="4:5" x14ac:dyDescent="0.2">
      <c r="D901" s="21"/>
      <c r="E901" s="21"/>
    </row>
    <row r="902" spans="4:5" x14ac:dyDescent="0.2">
      <c r="D902" s="21"/>
      <c r="E902" s="21"/>
    </row>
    <row r="903" spans="4:5" x14ac:dyDescent="0.2">
      <c r="D903" s="21"/>
      <c r="E903" s="21"/>
    </row>
    <row r="904" spans="4:5" x14ac:dyDescent="0.2">
      <c r="D904" s="21"/>
      <c r="E904" s="21"/>
    </row>
    <row r="905" spans="4:5" x14ac:dyDescent="0.2">
      <c r="D905" s="21"/>
      <c r="E905" s="21"/>
    </row>
    <row r="906" spans="4:5" x14ac:dyDescent="0.2">
      <c r="D906" s="21"/>
      <c r="E906" s="21"/>
    </row>
    <row r="907" spans="4:5" x14ac:dyDescent="0.2">
      <c r="D907" s="21"/>
      <c r="E907" s="21"/>
    </row>
    <row r="908" spans="4:5" x14ac:dyDescent="0.2">
      <c r="D908" s="21"/>
      <c r="E908" s="21"/>
    </row>
    <row r="909" spans="4:5" x14ac:dyDescent="0.2">
      <c r="D909" s="21"/>
      <c r="E909" s="21"/>
    </row>
    <row r="910" spans="4:5" x14ac:dyDescent="0.2">
      <c r="D910" s="21"/>
      <c r="E910" s="21"/>
    </row>
    <row r="911" spans="4:5" x14ac:dyDescent="0.2">
      <c r="D911" s="21"/>
      <c r="E911" s="21"/>
    </row>
    <row r="912" spans="4:5" x14ac:dyDescent="0.2">
      <c r="D912" s="21"/>
      <c r="E912" s="21"/>
    </row>
    <row r="913" spans="4:5" x14ac:dyDescent="0.2">
      <c r="D913" s="21"/>
      <c r="E913" s="21"/>
    </row>
    <row r="914" spans="4:5" x14ac:dyDescent="0.2">
      <c r="D914" s="21"/>
      <c r="E914" s="21"/>
    </row>
    <row r="915" spans="4:5" x14ac:dyDescent="0.2">
      <c r="D915" s="21"/>
      <c r="E915" s="21"/>
    </row>
    <row r="916" spans="4:5" x14ac:dyDescent="0.2">
      <c r="D916" s="21"/>
      <c r="E916" s="21"/>
    </row>
    <row r="917" spans="4:5" x14ac:dyDescent="0.2">
      <c r="D917" s="21"/>
      <c r="E917" s="21"/>
    </row>
    <row r="918" spans="4:5" x14ac:dyDescent="0.2">
      <c r="D918" s="21"/>
      <c r="E918" s="21"/>
    </row>
    <row r="919" spans="4:5" x14ac:dyDescent="0.2">
      <c r="D919" s="21"/>
      <c r="E919" s="21"/>
    </row>
    <row r="920" spans="4:5" x14ac:dyDescent="0.2">
      <c r="D920" s="21"/>
      <c r="E920" s="21"/>
    </row>
    <row r="921" spans="4:5" x14ac:dyDescent="0.2">
      <c r="D921" s="21"/>
      <c r="E921" s="21"/>
    </row>
    <row r="922" spans="4:5" x14ac:dyDescent="0.2">
      <c r="D922" s="21"/>
      <c r="E922" s="21"/>
    </row>
    <row r="923" spans="4:5" x14ac:dyDescent="0.2">
      <c r="D923" s="21"/>
      <c r="E923" s="21"/>
    </row>
    <row r="924" spans="4:5" x14ac:dyDescent="0.2">
      <c r="D924" s="21"/>
      <c r="E924" s="21"/>
    </row>
    <row r="925" spans="4:5" x14ac:dyDescent="0.2">
      <c r="D925" s="21"/>
      <c r="E925" s="21"/>
    </row>
    <row r="926" spans="4:5" x14ac:dyDescent="0.2">
      <c r="D926" s="21"/>
      <c r="E926" s="21"/>
    </row>
    <row r="927" spans="4:5" x14ac:dyDescent="0.2">
      <c r="D927" s="21"/>
      <c r="E927" s="21"/>
    </row>
    <row r="928" spans="4:5" x14ac:dyDescent="0.2">
      <c r="D928" s="21"/>
      <c r="E928" s="21"/>
    </row>
    <row r="929" spans="4:5" x14ac:dyDescent="0.2">
      <c r="D929" s="21"/>
      <c r="E929" s="21"/>
    </row>
    <row r="930" spans="4:5" x14ac:dyDescent="0.2">
      <c r="D930" s="21"/>
      <c r="E930" s="21"/>
    </row>
    <row r="931" spans="4:5" x14ac:dyDescent="0.2">
      <c r="D931" s="21"/>
      <c r="E931" s="21"/>
    </row>
    <row r="932" spans="4:5" x14ac:dyDescent="0.2">
      <c r="D932" s="21"/>
      <c r="E932" s="21"/>
    </row>
    <row r="933" spans="4:5" x14ac:dyDescent="0.2">
      <c r="D933" s="21"/>
      <c r="E933" s="21"/>
    </row>
    <row r="934" spans="4:5" x14ac:dyDescent="0.2">
      <c r="D934" s="21"/>
      <c r="E934" s="21"/>
    </row>
    <row r="935" spans="4:5" x14ac:dyDescent="0.2">
      <c r="D935" s="21"/>
      <c r="E935" s="21"/>
    </row>
    <row r="936" spans="4:5" x14ac:dyDescent="0.2">
      <c r="D936" s="21"/>
      <c r="E936" s="21"/>
    </row>
    <row r="937" spans="4:5" x14ac:dyDescent="0.2">
      <c r="D937" s="21"/>
      <c r="E937" s="21"/>
    </row>
    <row r="938" spans="4:5" x14ac:dyDescent="0.2">
      <c r="D938" s="21"/>
      <c r="E938" s="21"/>
    </row>
    <row r="939" spans="4:5" x14ac:dyDescent="0.2">
      <c r="D939" s="21"/>
      <c r="E939" s="21"/>
    </row>
    <row r="940" spans="4:5" x14ac:dyDescent="0.2">
      <c r="D940" s="21"/>
      <c r="E940" s="21"/>
    </row>
    <row r="941" spans="4:5" x14ac:dyDescent="0.2">
      <c r="D941" s="21"/>
      <c r="E941" s="21"/>
    </row>
    <row r="942" spans="4:5" x14ac:dyDescent="0.2">
      <c r="D942" s="21"/>
      <c r="E942" s="21"/>
    </row>
    <row r="943" spans="4:5" x14ac:dyDescent="0.2">
      <c r="D943" s="21"/>
      <c r="E943" s="21"/>
    </row>
    <row r="944" spans="4:5" x14ac:dyDescent="0.2">
      <c r="D944" s="21"/>
      <c r="E944" s="21"/>
    </row>
    <row r="945" spans="4:5" x14ac:dyDescent="0.2">
      <c r="D945" s="21"/>
      <c r="E945" s="21"/>
    </row>
    <row r="946" spans="4:5" x14ac:dyDescent="0.2">
      <c r="D946" s="21"/>
      <c r="E946" s="21"/>
    </row>
    <row r="947" spans="4:5" x14ac:dyDescent="0.2">
      <c r="D947" s="21"/>
      <c r="E947" s="21"/>
    </row>
    <row r="948" spans="4:5" x14ac:dyDescent="0.2">
      <c r="D948" s="21"/>
      <c r="E948" s="21"/>
    </row>
    <row r="949" spans="4:5" x14ac:dyDescent="0.2">
      <c r="D949" s="21"/>
      <c r="E949" s="21"/>
    </row>
    <row r="950" spans="4:5" x14ac:dyDescent="0.2">
      <c r="D950" s="21"/>
      <c r="E950" s="21"/>
    </row>
    <row r="951" spans="4:5" x14ac:dyDescent="0.2">
      <c r="D951" s="21"/>
      <c r="E951" s="21"/>
    </row>
    <row r="952" spans="4:5" x14ac:dyDescent="0.2">
      <c r="D952" s="21"/>
      <c r="E952" s="21"/>
    </row>
    <row r="953" spans="4:5" x14ac:dyDescent="0.2">
      <c r="D953" s="21"/>
      <c r="E953" s="21"/>
    </row>
    <row r="954" spans="4:5" x14ac:dyDescent="0.2">
      <c r="D954" s="21"/>
      <c r="E954" s="21"/>
    </row>
    <row r="955" spans="4:5" x14ac:dyDescent="0.2">
      <c r="D955" s="21"/>
      <c r="E955" s="21"/>
    </row>
    <row r="956" spans="4:5" x14ac:dyDescent="0.2">
      <c r="D956" s="21"/>
      <c r="E956" s="21"/>
    </row>
    <row r="957" spans="4:5" x14ac:dyDescent="0.2">
      <c r="D957" s="21"/>
      <c r="E957" s="21"/>
    </row>
    <row r="958" spans="4:5" x14ac:dyDescent="0.2">
      <c r="D958" s="21"/>
      <c r="E958" s="21"/>
    </row>
    <row r="959" spans="4:5" x14ac:dyDescent="0.2">
      <c r="D959" s="21"/>
      <c r="E959" s="21"/>
    </row>
    <row r="960" spans="4:5" x14ac:dyDescent="0.2">
      <c r="D960" s="21"/>
      <c r="E960" s="21"/>
    </row>
    <row r="961" spans="4:5" x14ac:dyDescent="0.2">
      <c r="D961" s="21"/>
      <c r="E961" s="21"/>
    </row>
    <row r="962" spans="4:5" x14ac:dyDescent="0.2">
      <c r="D962" s="21"/>
      <c r="E962" s="21"/>
    </row>
    <row r="963" spans="4:5" x14ac:dyDescent="0.2">
      <c r="D963" s="21"/>
      <c r="E963" s="21"/>
    </row>
    <row r="964" spans="4:5" x14ac:dyDescent="0.2">
      <c r="D964" s="21"/>
      <c r="E964" s="21"/>
    </row>
    <row r="965" spans="4:5" x14ac:dyDescent="0.2">
      <c r="D965" s="21"/>
      <c r="E965" s="21"/>
    </row>
    <row r="966" spans="4:5" x14ac:dyDescent="0.2">
      <c r="D966" s="21"/>
      <c r="E966" s="21"/>
    </row>
    <row r="967" spans="4:5" x14ac:dyDescent="0.2">
      <c r="D967" s="21"/>
      <c r="E967" s="21"/>
    </row>
    <row r="968" spans="4:5" x14ac:dyDescent="0.2">
      <c r="D968" s="21"/>
      <c r="E968" s="21"/>
    </row>
    <row r="969" spans="4:5" x14ac:dyDescent="0.2">
      <c r="D969" s="21"/>
      <c r="E969" s="21"/>
    </row>
    <row r="970" spans="4:5" x14ac:dyDescent="0.2">
      <c r="D970" s="21"/>
      <c r="E970" s="21"/>
    </row>
    <row r="971" spans="4:5" x14ac:dyDescent="0.2">
      <c r="D971" s="21"/>
      <c r="E971" s="21"/>
    </row>
    <row r="972" spans="4:5" x14ac:dyDescent="0.2">
      <c r="D972" s="21"/>
      <c r="E972" s="21"/>
    </row>
    <row r="973" spans="4:5" x14ac:dyDescent="0.2">
      <c r="D973" s="21"/>
      <c r="E973" s="21"/>
    </row>
    <row r="974" spans="4:5" x14ac:dyDescent="0.2">
      <c r="D974" s="21"/>
      <c r="E974" s="21"/>
    </row>
    <row r="975" spans="4:5" x14ac:dyDescent="0.2">
      <c r="D975" s="21"/>
      <c r="E975" s="21"/>
    </row>
    <row r="976" spans="4:5" x14ac:dyDescent="0.2">
      <c r="D976" s="21"/>
      <c r="E976" s="21"/>
    </row>
    <row r="977" spans="4:5" x14ac:dyDescent="0.2">
      <c r="D977" s="21"/>
      <c r="E977" s="21"/>
    </row>
    <row r="978" spans="4:5" x14ac:dyDescent="0.2">
      <c r="D978" s="21"/>
      <c r="E978" s="21"/>
    </row>
    <row r="979" spans="4:5" x14ac:dyDescent="0.2">
      <c r="D979" s="21"/>
      <c r="E979" s="21"/>
    </row>
    <row r="980" spans="4:5" x14ac:dyDescent="0.2">
      <c r="D980" s="21"/>
      <c r="E980" s="21"/>
    </row>
    <row r="981" spans="4:5" x14ac:dyDescent="0.2">
      <c r="D981" s="21"/>
      <c r="E981" s="21"/>
    </row>
    <row r="982" spans="4:5" x14ac:dyDescent="0.2">
      <c r="D982" s="21"/>
      <c r="E982" s="21"/>
    </row>
    <row r="983" spans="4:5" x14ac:dyDescent="0.2">
      <c r="D983" s="21"/>
      <c r="E983" s="21"/>
    </row>
    <row r="984" spans="4:5" x14ac:dyDescent="0.2">
      <c r="D984" s="21"/>
      <c r="E984" s="21"/>
    </row>
    <row r="985" spans="4:5" x14ac:dyDescent="0.2">
      <c r="D985" s="21"/>
      <c r="E985" s="21"/>
    </row>
    <row r="986" spans="4:5" x14ac:dyDescent="0.2">
      <c r="D986" s="21"/>
      <c r="E986" s="21"/>
    </row>
    <row r="987" spans="4:5" x14ac:dyDescent="0.2">
      <c r="D987" s="21"/>
      <c r="E987" s="21"/>
    </row>
    <row r="988" spans="4:5" x14ac:dyDescent="0.2">
      <c r="D988" s="21"/>
      <c r="E988" s="21"/>
    </row>
    <row r="989" spans="4:5" x14ac:dyDescent="0.2">
      <c r="D989" s="21"/>
      <c r="E989" s="21"/>
    </row>
    <row r="990" spans="4:5" x14ac:dyDescent="0.2">
      <c r="D990" s="21"/>
      <c r="E990" s="21"/>
    </row>
    <row r="991" spans="4:5" x14ac:dyDescent="0.2">
      <c r="D991" s="21"/>
      <c r="E991" s="21"/>
    </row>
    <row r="992" spans="4:5" x14ac:dyDescent="0.2">
      <c r="D992" s="21"/>
      <c r="E992" s="21"/>
    </row>
    <row r="993" spans="4:5" x14ac:dyDescent="0.2">
      <c r="D993" s="21"/>
      <c r="E993" s="21"/>
    </row>
    <row r="994" spans="4:5" x14ac:dyDescent="0.2">
      <c r="D994" s="21"/>
      <c r="E994" s="21"/>
    </row>
    <row r="995" spans="4:5" x14ac:dyDescent="0.2">
      <c r="D995" s="21"/>
      <c r="E995" s="21"/>
    </row>
    <row r="996" spans="4:5" x14ac:dyDescent="0.2">
      <c r="D996" s="21"/>
      <c r="E996" s="21"/>
    </row>
    <row r="997" spans="4:5" x14ac:dyDescent="0.2">
      <c r="D997" s="21"/>
      <c r="E997" s="21"/>
    </row>
    <row r="998" spans="4:5" x14ac:dyDescent="0.2">
      <c r="D998" s="21"/>
      <c r="E998" s="21"/>
    </row>
    <row r="999" spans="4:5" x14ac:dyDescent="0.2">
      <c r="D999" s="21"/>
      <c r="E999" s="21"/>
    </row>
    <row r="1000" spans="4:5" x14ac:dyDescent="0.2">
      <c r="D1000" s="21"/>
      <c r="E1000" s="21"/>
    </row>
    <row r="1001" spans="4:5" x14ac:dyDescent="0.2">
      <c r="D1001" s="21"/>
      <c r="E1001" s="21"/>
    </row>
    <row r="1002" spans="4:5" x14ac:dyDescent="0.2">
      <c r="D1002" s="21"/>
      <c r="E1002" s="21"/>
    </row>
    <row r="1003" spans="4:5" x14ac:dyDescent="0.2">
      <c r="D1003" s="21"/>
      <c r="E1003" s="21"/>
    </row>
    <row r="1004" spans="4:5" x14ac:dyDescent="0.2">
      <c r="D1004" s="21"/>
      <c r="E1004" s="21"/>
    </row>
    <row r="1005" spans="4:5" x14ac:dyDescent="0.2">
      <c r="D1005" s="21"/>
      <c r="E1005" s="21"/>
    </row>
    <row r="1006" spans="4:5" x14ac:dyDescent="0.2">
      <c r="D1006" s="21"/>
      <c r="E1006" s="21"/>
    </row>
    <row r="1007" spans="4:5" x14ac:dyDescent="0.2">
      <c r="D1007" s="21"/>
      <c r="E1007" s="21"/>
    </row>
    <row r="1008" spans="4:5" x14ac:dyDescent="0.2">
      <c r="D1008" s="21"/>
      <c r="E1008" s="21"/>
    </row>
    <row r="1009" spans="4:5" x14ac:dyDescent="0.2">
      <c r="D1009" s="21"/>
      <c r="E1009" s="21"/>
    </row>
    <row r="1010" spans="4:5" x14ac:dyDescent="0.2">
      <c r="D1010" s="21"/>
      <c r="E1010" s="21"/>
    </row>
    <row r="1011" spans="4:5" x14ac:dyDescent="0.2">
      <c r="D1011" s="21"/>
      <c r="E1011" s="21"/>
    </row>
    <row r="1012" spans="4:5" x14ac:dyDescent="0.2">
      <c r="D1012" s="21"/>
      <c r="E1012" s="21"/>
    </row>
    <row r="1013" spans="4:5" x14ac:dyDescent="0.2">
      <c r="D1013" s="21"/>
      <c r="E1013" s="21"/>
    </row>
    <row r="1014" spans="4:5" x14ac:dyDescent="0.2">
      <c r="D1014" s="21"/>
      <c r="E1014" s="21"/>
    </row>
    <row r="1015" spans="4:5" x14ac:dyDescent="0.2">
      <c r="D1015" s="21"/>
      <c r="E1015" s="21"/>
    </row>
    <row r="1016" spans="4:5" x14ac:dyDescent="0.2">
      <c r="D1016" s="21"/>
      <c r="E1016" s="21"/>
    </row>
    <row r="1017" spans="4:5" x14ac:dyDescent="0.2">
      <c r="D1017" s="21"/>
      <c r="E1017" s="21"/>
    </row>
    <row r="1018" spans="4:5" x14ac:dyDescent="0.2">
      <c r="D1018" s="21"/>
      <c r="E1018" s="21"/>
    </row>
    <row r="1019" spans="4:5" x14ac:dyDescent="0.2">
      <c r="D1019" s="21"/>
      <c r="E1019" s="21"/>
    </row>
    <row r="1020" spans="4:5" x14ac:dyDescent="0.2">
      <c r="D1020" s="21"/>
      <c r="E1020" s="21"/>
    </row>
    <row r="1021" spans="4:5" x14ac:dyDescent="0.2">
      <c r="D1021" s="21"/>
      <c r="E1021" s="21"/>
    </row>
    <row r="1022" spans="4:5" x14ac:dyDescent="0.2">
      <c r="D1022" s="21"/>
      <c r="E1022" s="21"/>
    </row>
    <row r="1023" spans="4:5" x14ac:dyDescent="0.2">
      <c r="D1023" s="21"/>
      <c r="E1023" s="21"/>
    </row>
    <row r="1024" spans="4:5" x14ac:dyDescent="0.2">
      <c r="D1024" s="21"/>
      <c r="E1024" s="21"/>
    </row>
    <row r="1025" spans="4:5" x14ac:dyDescent="0.2">
      <c r="D1025" s="21"/>
      <c r="E1025" s="21"/>
    </row>
    <row r="1026" spans="4:5" x14ac:dyDescent="0.2">
      <c r="D1026" s="21"/>
      <c r="E1026" s="21"/>
    </row>
    <row r="1027" spans="4:5" x14ac:dyDescent="0.2">
      <c r="D1027" s="21"/>
      <c r="E1027" s="21"/>
    </row>
  </sheetData>
  <autoFilter ref="A1:E7" xr:uid="{2C3E06F7-9242-9D4F-9EA0-9FAD6D8044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</dc:creator>
  <cp:lastModifiedBy>Lloyd</cp:lastModifiedBy>
  <dcterms:created xsi:type="dcterms:W3CDTF">2022-07-05T02:53:59Z</dcterms:created>
  <dcterms:modified xsi:type="dcterms:W3CDTF">2022-07-05T09:32:48Z</dcterms:modified>
</cp:coreProperties>
</file>