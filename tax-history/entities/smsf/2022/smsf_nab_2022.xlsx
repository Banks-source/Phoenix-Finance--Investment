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/Desktop/Taxes 2022/SMSF/"/>
    </mc:Choice>
  </mc:AlternateContent>
  <xr:revisionPtr revIDLastSave="0" documentId="8_{D3207707-C2C6-BB4D-995F-C77959739FD8}" xr6:coauthVersionLast="47" xr6:coauthVersionMax="47" xr10:uidLastSave="{00000000-0000-0000-0000-000000000000}"/>
  <bookViews>
    <workbookView xWindow="11560" yWindow="1800" windowWidth="28040" windowHeight="17440" xr2:uid="{00000000-000D-0000-FFFF-FFFF00000000}"/>
  </bookViews>
  <sheets>
    <sheet name="SMSF - N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6" i="1" l="1"/>
</calcChain>
</file>

<file path=xl/sharedStrings.xml><?xml version="1.0" encoding="utf-8"?>
<sst xmlns="http://schemas.openxmlformats.org/spreadsheetml/2006/main" count="69" uniqueCount="40">
  <si>
    <t>Date</t>
  </si>
  <si>
    <t>Amount</t>
  </si>
  <si>
    <t>Account Number</t>
  </si>
  <si>
    <t>Transaction Type</t>
  </si>
  <si>
    <t>Transaction Details</t>
  </si>
  <si>
    <t>Balance</t>
  </si>
  <si>
    <t>Category</t>
  </si>
  <si>
    <t>Merchant Name</t>
  </si>
  <si>
    <t>TRANSFER DEBIT</t>
  </si>
  <si>
    <t>SWYFTX Z0613931114</t>
  </si>
  <si>
    <t>Transfers out</t>
  </si>
  <si>
    <t>ONLINE D4050722291 tranfer error in LT MS INVES</t>
  </si>
  <si>
    <t>Internal transfers</t>
  </si>
  <si>
    <t>TRANSFER CREDIT</t>
  </si>
  <si>
    <t>ONLINE A5616037691 Linked Acc Trns THOMAS L</t>
  </si>
  <si>
    <t>Other income</t>
  </si>
  <si>
    <t>MISCELLANEOUS CREDIT</t>
  </si>
  <si>
    <t>PLEASE NOTE FROM TODAY YOUR DR INTEREST RATE IS 6.720%</t>
  </si>
  <si>
    <t>Uncategorised</t>
  </si>
  <si>
    <t>INTERNET TRANSFER LT MS INVESTMENT</t>
  </si>
  <si>
    <t>INTER-BANK CREDIT</t>
  </si>
  <si>
    <t>855021088330111896 TELSTRA SUPER PL TTF LT &amp; MS SUPE</t>
  </si>
  <si>
    <t>TelstraSuper</t>
  </si>
  <si>
    <t>INTERNET TRANSFER 210041 THOMAS</t>
  </si>
  <si>
    <t>Gillard Consulting LV8005407717 210041 Thomas</t>
  </si>
  <si>
    <t>INTERNET TRANSFER 210041 Thomas</t>
  </si>
  <si>
    <t>SWYFTX X3272775573 Lt</t>
  </si>
  <si>
    <t>SWYFTX C0812204238 LT MS Investments</t>
  </si>
  <si>
    <t>SWYFTX F6593916584 LT MS Investment</t>
  </si>
  <si>
    <t>Swyftx C4880615051 LT MS Investment</t>
  </si>
  <si>
    <t>SWYFTX SWYFTX</t>
  </si>
  <si>
    <t>SWYFTX Y4383238011 Lloyd Thomas</t>
  </si>
  <si>
    <t>Swyftx T0598795211 Lloyd Thomas</t>
  </si>
  <si>
    <t>913859438501123329 UniSuper Limited THOMAS</t>
  </si>
  <si>
    <t>UniSuper</t>
  </si>
  <si>
    <t>Investments</t>
  </si>
  <si>
    <t>Pacific Bio Fuels</t>
  </si>
  <si>
    <t>Cash Balance</t>
  </si>
  <si>
    <t>Total</t>
  </si>
  <si>
    <t>Crypto - SWFTX &amp; MetaMask Wallets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</si>
</sst>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16" fillId="0" borderId="0" xfId="0" applyFont="1"/>
    <xf numFmtId="0" fontId="0" fillId="0" borderId="10" xfId="0" applyBorder="1"/>
    <xf numFmtId="3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D26" sqref="D26"/>
    </sheetView>
  </sheetViews>
  <sheetFormatPr baseColWidth="10" defaultRowHeight="16" x14ac:dyDescent="0.2"/>
  <cols>
    <col min="1" max="1" width="2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44728</v>
      </c>
      <c r="B2">
        <v>-40000</v>
      </c>
      <c r="C2">
        <v>331700140</v>
      </c>
      <c r="D2" t="s">
        <v>8</v>
      </c>
      <c r="E2" t="s">
        <v>9</v>
      </c>
      <c r="F2">
        <v>16000</v>
      </c>
      <c r="G2" t="s">
        <v>10</v>
      </c>
    </row>
    <row r="3" spans="1:8" x14ac:dyDescent="0.2">
      <c r="A3" s="1">
        <v>44720</v>
      </c>
      <c r="B3">
        <v>-200</v>
      </c>
      <c r="C3">
        <v>331700140</v>
      </c>
      <c r="D3" t="s">
        <v>8</v>
      </c>
      <c r="E3" t="s">
        <v>11</v>
      </c>
      <c r="F3">
        <v>56000</v>
      </c>
      <c r="G3" t="s">
        <v>12</v>
      </c>
    </row>
    <row r="4" spans="1:8" x14ac:dyDescent="0.2">
      <c r="A4" s="1">
        <v>44720</v>
      </c>
      <c r="B4">
        <v>200</v>
      </c>
      <c r="C4">
        <v>331700140</v>
      </c>
      <c r="D4" t="s">
        <v>13</v>
      </c>
      <c r="E4" t="s">
        <v>14</v>
      </c>
      <c r="F4">
        <v>56200</v>
      </c>
      <c r="G4" t="s">
        <v>15</v>
      </c>
    </row>
    <row r="5" spans="1:8" x14ac:dyDescent="0.2">
      <c r="A5" s="1">
        <v>44694</v>
      </c>
      <c r="B5">
        <v>0</v>
      </c>
      <c r="C5">
        <v>331700140</v>
      </c>
      <c r="D5" t="s">
        <v>16</v>
      </c>
      <c r="E5" t="s">
        <v>17</v>
      </c>
      <c r="F5">
        <v>56000</v>
      </c>
      <c r="G5" t="s">
        <v>18</v>
      </c>
    </row>
    <row r="6" spans="1:8" x14ac:dyDescent="0.2">
      <c r="A6" s="1">
        <v>44599</v>
      </c>
      <c r="B6">
        <v>-30000</v>
      </c>
      <c r="C6">
        <v>331700140</v>
      </c>
      <c r="D6" t="s">
        <v>8</v>
      </c>
      <c r="E6" t="s">
        <v>19</v>
      </c>
      <c r="F6">
        <v>56000</v>
      </c>
      <c r="G6" t="s">
        <v>10</v>
      </c>
    </row>
    <row r="7" spans="1:8" x14ac:dyDescent="0.2">
      <c r="A7" s="1">
        <v>44572</v>
      </c>
      <c r="B7">
        <v>10000</v>
      </c>
      <c r="C7">
        <v>331700140</v>
      </c>
      <c r="D7" t="s">
        <v>20</v>
      </c>
      <c r="E7" t="s">
        <v>21</v>
      </c>
      <c r="F7">
        <v>86000</v>
      </c>
      <c r="G7" t="s">
        <v>15</v>
      </c>
      <c r="H7" t="s">
        <v>22</v>
      </c>
    </row>
    <row r="8" spans="1:8" x14ac:dyDescent="0.2">
      <c r="A8" s="1">
        <v>44546</v>
      </c>
      <c r="B8">
        <v>-4000</v>
      </c>
      <c r="C8">
        <v>331700140</v>
      </c>
      <c r="D8" t="s">
        <v>8</v>
      </c>
      <c r="E8" t="s">
        <v>23</v>
      </c>
      <c r="F8">
        <v>76000</v>
      </c>
      <c r="G8" t="s">
        <v>10</v>
      </c>
    </row>
    <row r="9" spans="1:8" x14ac:dyDescent="0.2">
      <c r="A9" s="1">
        <v>44543</v>
      </c>
      <c r="B9">
        <v>-40000</v>
      </c>
      <c r="C9">
        <v>331700140</v>
      </c>
      <c r="D9" t="s">
        <v>8</v>
      </c>
      <c r="E9" t="s">
        <v>24</v>
      </c>
      <c r="F9">
        <v>120000</v>
      </c>
      <c r="G9" t="s">
        <v>10</v>
      </c>
    </row>
    <row r="10" spans="1:8" x14ac:dyDescent="0.2">
      <c r="A10" s="1">
        <v>44543</v>
      </c>
      <c r="B10">
        <v>-40000</v>
      </c>
      <c r="C10">
        <v>331700140</v>
      </c>
      <c r="D10" t="s">
        <v>8</v>
      </c>
      <c r="E10" t="s">
        <v>25</v>
      </c>
      <c r="F10">
        <v>80000</v>
      </c>
      <c r="G10" t="s">
        <v>10</v>
      </c>
    </row>
    <row r="11" spans="1:8" x14ac:dyDescent="0.2">
      <c r="A11" s="1">
        <v>44536</v>
      </c>
      <c r="B11">
        <v>-40000</v>
      </c>
      <c r="C11">
        <v>331700140</v>
      </c>
      <c r="D11" t="s">
        <v>8</v>
      </c>
      <c r="E11" t="s">
        <v>26</v>
      </c>
      <c r="F11">
        <v>160000</v>
      </c>
      <c r="G11" t="s">
        <v>10</v>
      </c>
    </row>
    <row r="12" spans="1:8" x14ac:dyDescent="0.2">
      <c r="A12" s="1">
        <v>44529</v>
      </c>
      <c r="B12">
        <v>-35000</v>
      </c>
      <c r="C12">
        <v>331700140</v>
      </c>
      <c r="D12" t="s">
        <v>8</v>
      </c>
      <c r="E12" t="s">
        <v>27</v>
      </c>
      <c r="F12">
        <v>200000</v>
      </c>
      <c r="G12" t="s">
        <v>10</v>
      </c>
    </row>
    <row r="13" spans="1:8" x14ac:dyDescent="0.2">
      <c r="A13" s="1">
        <v>44526</v>
      </c>
      <c r="B13">
        <v>-35000</v>
      </c>
      <c r="C13">
        <v>331700140</v>
      </c>
      <c r="D13" t="s">
        <v>8</v>
      </c>
      <c r="E13" t="s">
        <v>19</v>
      </c>
      <c r="F13">
        <v>235000</v>
      </c>
      <c r="G13" t="s">
        <v>10</v>
      </c>
    </row>
    <row r="14" spans="1:8" x14ac:dyDescent="0.2">
      <c r="A14" s="1">
        <v>44525</v>
      </c>
      <c r="B14">
        <v>-40000</v>
      </c>
      <c r="C14">
        <v>331700140</v>
      </c>
      <c r="D14" t="s">
        <v>8</v>
      </c>
      <c r="E14" t="s">
        <v>28</v>
      </c>
      <c r="F14">
        <v>270000</v>
      </c>
      <c r="G14" t="s">
        <v>10</v>
      </c>
    </row>
    <row r="15" spans="1:8" x14ac:dyDescent="0.2">
      <c r="A15" s="1">
        <v>44524</v>
      </c>
      <c r="B15">
        <v>-40000</v>
      </c>
      <c r="C15">
        <v>331700140</v>
      </c>
      <c r="D15" t="s">
        <v>8</v>
      </c>
      <c r="E15" t="s">
        <v>29</v>
      </c>
      <c r="F15">
        <v>310000</v>
      </c>
      <c r="G15" t="s">
        <v>10</v>
      </c>
    </row>
    <row r="16" spans="1:8" x14ac:dyDescent="0.2">
      <c r="A16" s="1">
        <v>44524</v>
      </c>
      <c r="B16">
        <v>40000</v>
      </c>
      <c r="C16">
        <v>331700140</v>
      </c>
      <c r="D16" t="s">
        <v>13</v>
      </c>
      <c r="E16" t="s">
        <v>30</v>
      </c>
      <c r="F16">
        <v>350000</v>
      </c>
      <c r="G16" t="s">
        <v>15</v>
      </c>
    </row>
    <row r="17" spans="1:8" x14ac:dyDescent="0.2">
      <c r="A17" s="1">
        <v>44523</v>
      </c>
      <c r="B17">
        <v>-35000</v>
      </c>
      <c r="C17">
        <v>331700140</v>
      </c>
      <c r="D17" t="s">
        <v>8</v>
      </c>
      <c r="E17" t="s">
        <v>31</v>
      </c>
      <c r="F17">
        <v>310000</v>
      </c>
      <c r="G17" t="s">
        <v>10</v>
      </c>
    </row>
    <row r="18" spans="1:8" x14ac:dyDescent="0.2">
      <c r="A18" s="1">
        <v>44523</v>
      </c>
      <c r="B18">
        <v>-5000</v>
      </c>
      <c r="C18">
        <v>331700140</v>
      </c>
      <c r="D18" t="s">
        <v>8</v>
      </c>
      <c r="E18" t="s">
        <v>32</v>
      </c>
      <c r="F18">
        <v>345000</v>
      </c>
      <c r="G18" t="s">
        <v>10</v>
      </c>
    </row>
    <row r="19" spans="1:8" x14ac:dyDescent="0.2">
      <c r="A19" s="1">
        <v>44523</v>
      </c>
      <c r="B19">
        <v>350000</v>
      </c>
      <c r="C19">
        <v>331700140</v>
      </c>
      <c r="D19" t="s">
        <v>20</v>
      </c>
      <c r="E19" t="s">
        <v>33</v>
      </c>
      <c r="F19">
        <v>350000</v>
      </c>
      <c r="G19" t="s">
        <v>15</v>
      </c>
      <c r="H19" t="s">
        <v>34</v>
      </c>
    </row>
    <row r="22" spans="1:8" x14ac:dyDescent="0.2">
      <c r="A22" s="2" t="s">
        <v>35</v>
      </c>
    </row>
    <row r="23" spans="1:8" x14ac:dyDescent="0.2">
      <c r="A23" s="3" t="s">
        <v>36</v>
      </c>
      <c r="B23" s="4">
        <v>84000</v>
      </c>
    </row>
    <row r="24" spans="1:8" x14ac:dyDescent="0.2">
      <c r="A24" s="3" t="s">
        <v>39</v>
      </c>
      <c r="B24" s="3">
        <v>260000</v>
      </c>
    </row>
    <row r="25" spans="1:8" x14ac:dyDescent="0.2">
      <c r="A25" s="3" t="s">
        <v>37</v>
      </c>
      <c r="B25" s="3">
        <v>16000</v>
      </c>
    </row>
    <row r="26" spans="1:8" x14ac:dyDescent="0.2">
      <c r="A26" s="3" t="s">
        <v>38</v>
      </c>
      <c r="B26" s="4">
        <f>SUM(B23:B25)</f>
        <v>360000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SMSF - NAB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</dc:creator>
  <cp:lastModifiedBy>Lloyd Thomas</cp:lastModifiedBy>
  <dcterms:created xsi:type="dcterms:W3CDTF">2022-07-05T02:35:41Z</dcterms:created>
  <dcterms:modified xsi:type="dcterms:W3CDTF">2022-07-05T02:36:32Z</dcterms:modified>
</cp:coreProperties>
</file>